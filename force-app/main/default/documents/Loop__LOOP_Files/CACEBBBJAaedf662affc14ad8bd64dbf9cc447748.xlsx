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13_ncr:1_{78DCAA10-521D-A04C-9AF6-9B292E8950DF}" xr6:coauthVersionLast="47" xr6:coauthVersionMax="47" xr10:uidLastSave="{00000000-0000-0000-0000-000000000000}"/>
  <bookViews>
    <workbookView xWindow="0" yWindow="500" windowWidth="28800" windowHeight="17500" activeTab="1" xr2:uid="{D2CDF3B7-4720-9F49-B7D9-6C8B15F51365}"/>
  </bookViews>
  <sheets>
    <sheet name="SF_data" sheetId="1" r:id="rId1"/>
    <sheet name="AS_Final" sheetId="2" r:id="rId2"/>
  </sheets>
  <definedNames>
    <definedName name="Assembly_Cond_final">AS_Final!$A$1:$G$100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2" l="1"/>
  <c r="B101" i="2"/>
  <c r="C101" i="2"/>
  <c r="D101" i="2"/>
  <c r="E101" i="2"/>
  <c r="F101" i="2"/>
  <c r="G101" i="2"/>
  <c r="A3" i="2"/>
  <c r="B3" i="2" s="1"/>
  <c r="C3" i="2"/>
  <c r="D3" i="2"/>
  <c r="E3" i="2"/>
  <c r="F3" i="2"/>
  <c r="G3" i="2"/>
  <c r="A4" i="2"/>
  <c r="B4" i="2" s="1"/>
  <c r="C4" i="2"/>
  <c r="D4" i="2"/>
  <c r="E4" i="2"/>
  <c r="F4" i="2"/>
  <c r="G4" i="2"/>
  <c r="A5" i="2"/>
  <c r="B5" i="2"/>
  <c r="C5" i="2"/>
  <c r="D5" i="2"/>
  <c r="E5" i="2"/>
  <c r="F5" i="2"/>
  <c r="G5" i="2"/>
  <c r="A6" i="2"/>
  <c r="B6" i="2" s="1"/>
  <c r="C6" i="2"/>
  <c r="D6" i="2"/>
  <c r="E6" i="2"/>
  <c r="F6" i="2"/>
  <c r="G6" i="2"/>
  <c r="A7" i="2"/>
  <c r="B7" i="2"/>
  <c r="C7" i="2"/>
  <c r="D7" i="2"/>
  <c r="E7" i="2"/>
  <c r="F7" i="2"/>
  <c r="G7" i="2"/>
  <c r="A8" i="2"/>
  <c r="B8" i="2" s="1"/>
  <c r="C8" i="2"/>
  <c r="D8" i="2"/>
  <c r="E8" i="2"/>
  <c r="F8" i="2"/>
  <c r="G8" i="2"/>
  <c r="A9" i="2"/>
  <c r="B9" i="2"/>
  <c r="C9" i="2"/>
  <c r="D9" i="2"/>
  <c r="E9" i="2"/>
  <c r="F9" i="2"/>
  <c r="G9" i="2"/>
  <c r="A10" i="2"/>
  <c r="B10" i="2" s="1"/>
  <c r="C10" i="2"/>
  <c r="D10" i="2"/>
  <c r="E10" i="2"/>
  <c r="F10" i="2"/>
  <c r="G10" i="2"/>
  <c r="A11" i="2"/>
  <c r="B11" i="2" s="1"/>
  <c r="C11" i="2"/>
  <c r="D11" i="2"/>
  <c r="E11" i="2"/>
  <c r="F11" i="2"/>
  <c r="G11" i="2"/>
  <c r="A12" i="2"/>
  <c r="B12" i="2"/>
  <c r="C12" i="2"/>
  <c r="D12" i="2"/>
  <c r="E12" i="2"/>
  <c r="F12" i="2"/>
  <c r="G12" i="2"/>
  <c r="A13" i="2"/>
  <c r="B13" i="2" s="1"/>
  <c r="C13" i="2"/>
  <c r="D13" i="2"/>
  <c r="E13" i="2"/>
  <c r="F13" i="2"/>
  <c r="G13" i="2"/>
  <c r="A14" i="2"/>
  <c r="B14" i="2"/>
  <c r="C14" i="2"/>
  <c r="D14" i="2"/>
  <c r="E14" i="2"/>
  <c r="F14" i="2"/>
  <c r="G14" i="2"/>
  <c r="A15" i="2"/>
  <c r="B15" i="2" s="1"/>
  <c r="C15" i="2"/>
  <c r="D15" i="2"/>
  <c r="E15" i="2"/>
  <c r="F15" i="2"/>
  <c r="G15" i="2"/>
  <c r="A16" i="2"/>
  <c r="B16" i="2"/>
  <c r="C16" i="2"/>
  <c r="D16" i="2"/>
  <c r="E16" i="2"/>
  <c r="F16" i="2"/>
  <c r="G16" i="2"/>
  <c r="A17" i="2"/>
  <c r="B17" i="2" s="1"/>
  <c r="C17" i="2"/>
  <c r="D17" i="2"/>
  <c r="E17" i="2"/>
  <c r="F17" i="2"/>
  <c r="G17" i="2"/>
  <c r="A18" i="2"/>
  <c r="B18" i="2" s="1"/>
  <c r="C18" i="2"/>
  <c r="D18" i="2"/>
  <c r="E18" i="2"/>
  <c r="F18" i="2"/>
  <c r="G18" i="2"/>
  <c r="A19" i="2"/>
  <c r="B19" i="2" s="1"/>
  <c r="C19" i="2"/>
  <c r="D19" i="2"/>
  <c r="E19" i="2"/>
  <c r="F19" i="2"/>
  <c r="G19" i="2"/>
  <c r="A20" i="2"/>
  <c r="B20" i="2"/>
  <c r="C20" i="2"/>
  <c r="D20" i="2"/>
  <c r="E20" i="2"/>
  <c r="F20" i="2"/>
  <c r="G20" i="2"/>
  <c r="A21" i="2"/>
  <c r="B21" i="2" s="1"/>
  <c r="C21" i="2"/>
  <c r="D21" i="2"/>
  <c r="E21" i="2"/>
  <c r="F21" i="2"/>
  <c r="G21" i="2"/>
  <c r="A22" i="2"/>
  <c r="B22" i="2"/>
  <c r="C22" i="2"/>
  <c r="D22" i="2"/>
  <c r="E22" i="2"/>
  <c r="F22" i="2"/>
  <c r="G22" i="2"/>
  <c r="A23" i="2"/>
  <c r="B23" i="2"/>
  <c r="C23" i="2"/>
  <c r="D23" i="2"/>
  <c r="E23" i="2"/>
  <c r="F23" i="2"/>
  <c r="G23" i="2"/>
  <c r="A24" i="2"/>
  <c r="B24" i="2"/>
  <c r="C24" i="2"/>
  <c r="D24" i="2"/>
  <c r="E24" i="2"/>
  <c r="F24" i="2"/>
  <c r="G24" i="2"/>
  <c r="A25" i="2"/>
  <c r="B25" i="2" s="1"/>
  <c r="C25" i="2"/>
  <c r="D25" i="2"/>
  <c r="E25" i="2"/>
  <c r="F25" i="2"/>
  <c r="G25" i="2"/>
  <c r="A26" i="2"/>
  <c r="B26" i="2" s="1"/>
  <c r="C26" i="2"/>
  <c r="D26" i="2"/>
  <c r="E26" i="2"/>
  <c r="F26" i="2"/>
  <c r="G26" i="2"/>
  <c r="A27" i="2"/>
  <c r="B27" i="2" s="1"/>
  <c r="C27" i="2"/>
  <c r="D27" i="2"/>
  <c r="E27" i="2"/>
  <c r="F27" i="2"/>
  <c r="G27" i="2"/>
  <c r="A28" i="2"/>
  <c r="B28" i="2"/>
  <c r="C28" i="2"/>
  <c r="D28" i="2"/>
  <c r="E28" i="2"/>
  <c r="F28" i="2"/>
  <c r="G28" i="2"/>
  <c r="A29" i="2"/>
  <c r="B29" i="2" s="1"/>
  <c r="C29" i="2"/>
  <c r="D29" i="2"/>
  <c r="E29" i="2"/>
  <c r="F29" i="2"/>
  <c r="G29" i="2"/>
  <c r="A30" i="2"/>
  <c r="B30" i="2"/>
  <c r="C30" i="2"/>
  <c r="D30" i="2"/>
  <c r="E30" i="2"/>
  <c r="F30" i="2"/>
  <c r="G30" i="2"/>
  <c r="A31" i="2"/>
  <c r="B31" i="2"/>
  <c r="C31" i="2"/>
  <c r="D31" i="2"/>
  <c r="E31" i="2"/>
  <c r="F31" i="2"/>
  <c r="G31" i="2"/>
  <c r="A32" i="2"/>
  <c r="B32" i="2"/>
  <c r="C32" i="2"/>
  <c r="D32" i="2"/>
  <c r="E32" i="2"/>
  <c r="F32" i="2"/>
  <c r="G32" i="2"/>
  <c r="A33" i="2"/>
  <c r="B33" i="2" s="1"/>
  <c r="C33" i="2"/>
  <c r="D33" i="2"/>
  <c r="E33" i="2"/>
  <c r="F33" i="2"/>
  <c r="G33" i="2"/>
  <c r="A34" i="2"/>
  <c r="B34" i="2" s="1"/>
  <c r="C34" i="2"/>
  <c r="D34" i="2"/>
  <c r="E34" i="2"/>
  <c r="F34" i="2"/>
  <c r="G34" i="2"/>
  <c r="A35" i="2"/>
  <c r="B35" i="2" s="1"/>
  <c r="C35" i="2"/>
  <c r="D35" i="2"/>
  <c r="E35" i="2"/>
  <c r="F35" i="2"/>
  <c r="G35" i="2"/>
  <c r="A36" i="2"/>
  <c r="B36" i="2"/>
  <c r="C36" i="2"/>
  <c r="D36" i="2"/>
  <c r="E36" i="2"/>
  <c r="F36" i="2"/>
  <c r="G36" i="2"/>
  <c r="A37" i="2"/>
  <c r="B37" i="2" s="1"/>
  <c r="C37" i="2"/>
  <c r="D37" i="2"/>
  <c r="E37" i="2"/>
  <c r="F37" i="2"/>
  <c r="G37" i="2"/>
  <c r="A38" i="2"/>
  <c r="B38" i="2"/>
  <c r="C38" i="2"/>
  <c r="D38" i="2"/>
  <c r="E38" i="2"/>
  <c r="F38" i="2"/>
  <c r="G38" i="2"/>
  <c r="A39" i="2"/>
  <c r="B39" i="2"/>
  <c r="C39" i="2"/>
  <c r="D39" i="2"/>
  <c r="E39" i="2"/>
  <c r="F39" i="2"/>
  <c r="G39" i="2"/>
  <c r="A40" i="2"/>
  <c r="B40" i="2"/>
  <c r="C40" i="2"/>
  <c r="D40" i="2"/>
  <c r="E40" i="2"/>
  <c r="F40" i="2"/>
  <c r="G40" i="2"/>
  <c r="A41" i="2"/>
  <c r="B41" i="2" s="1"/>
  <c r="C41" i="2"/>
  <c r="D41" i="2"/>
  <c r="E41" i="2"/>
  <c r="F41" i="2"/>
  <c r="G41" i="2"/>
  <c r="A42" i="2"/>
  <c r="B42" i="2" s="1"/>
  <c r="C42" i="2"/>
  <c r="D42" i="2"/>
  <c r="E42" i="2"/>
  <c r="F42" i="2"/>
  <c r="G42" i="2"/>
  <c r="A43" i="2"/>
  <c r="B43" i="2" s="1"/>
  <c r="C43" i="2"/>
  <c r="D43" i="2"/>
  <c r="E43" i="2"/>
  <c r="F43" i="2"/>
  <c r="G43" i="2"/>
  <c r="A44" i="2"/>
  <c r="B44" i="2"/>
  <c r="C44" i="2"/>
  <c r="D44" i="2"/>
  <c r="E44" i="2"/>
  <c r="F44" i="2"/>
  <c r="G44" i="2"/>
  <c r="A45" i="2"/>
  <c r="B45" i="2" s="1"/>
  <c r="C45" i="2"/>
  <c r="D45" i="2"/>
  <c r="E45" i="2"/>
  <c r="F45" i="2"/>
  <c r="G45" i="2"/>
  <c r="A46" i="2"/>
  <c r="B46" i="2"/>
  <c r="C46" i="2"/>
  <c r="D46" i="2"/>
  <c r="E46" i="2"/>
  <c r="F46" i="2"/>
  <c r="G46" i="2"/>
  <c r="A47" i="2"/>
  <c r="B47" i="2"/>
  <c r="C47" i="2"/>
  <c r="D47" i="2"/>
  <c r="E47" i="2"/>
  <c r="F47" i="2"/>
  <c r="G47" i="2"/>
  <c r="A48" i="2"/>
  <c r="B48" i="2"/>
  <c r="C48" i="2"/>
  <c r="D48" i="2"/>
  <c r="E48" i="2"/>
  <c r="F48" i="2"/>
  <c r="G48" i="2"/>
  <c r="A49" i="2"/>
  <c r="B49" i="2" s="1"/>
  <c r="C49" i="2"/>
  <c r="D49" i="2"/>
  <c r="E49" i="2"/>
  <c r="F49" i="2"/>
  <c r="G49" i="2"/>
  <c r="A50" i="2"/>
  <c r="B50" i="2" s="1"/>
  <c r="C50" i="2"/>
  <c r="D50" i="2"/>
  <c r="E50" i="2"/>
  <c r="F50" i="2"/>
  <c r="G50" i="2"/>
  <c r="A51" i="2"/>
  <c r="B51" i="2" s="1"/>
  <c r="C51" i="2"/>
  <c r="D51" i="2"/>
  <c r="E51" i="2"/>
  <c r="F51" i="2"/>
  <c r="G51" i="2"/>
  <c r="A52" i="2"/>
  <c r="B52" i="2"/>
  <c r="C52" i="2"/>
  <c r="D52" i="2"/>
  <c r="E52" i="2"/>
  <c r="F52" i="2"/>
  <c r="G52" i="2"/>
  <c r="A53" i="2"/>
  <c r="B53" i="2" s="1"/>
  <c r="C53" i="2"/>
  <c r="D53" i="2"/>
  <c r="E53" i="2"/>
  <c r="F53" i="2"/>
  <c r="G53" i="2"/>
  <c r="A54" i="2"/>
  <c r="B54" i="2"/>
  <c r="C54" i="2"/>
  <c r="D54" i="2"/>
  <c r="E54" i="2"/>
  <c r="F54" i="2"/>
  <c r="G54" i="2"/>
  <c r="A55" i="2"/>
  <c r="B55" i="2"/>
  <c r="C55" i="2"/>
  <c r="D55" i="2"/>
  <c r="E55" i="2"/>
  <c r="F55" i="2"/>
  <c r="G55" i="2"/>
  <c r="A56" i="2"/>
  <c r="B56" i="2"/>
  <c r="C56" i="2"/>
  <c r="D56" i="2"/>
  <c r="E56" i="2"/>
  <c r="F56" i="2"/>
  <c r="G56" i="2"/>
  <c r="A57" i="2"/>
  <c r="B57" i="2" s="1"/>
  <c r="C57" i="2"/>
  <c r="D57" i="2"/>
  <c r="E57" i="2"/>
  <c r="F57" i="2"/>
  <c r="G57" i="2"/>
  <c r="A58" i="2"/>
  <c r="B58" i="2" s="1"/>
  <c r="C58" i="2"/>
  <c r="D58" i="2"/>
  <c r="E58" i="2"/>
  <c r="F58" i="2"/>
  <c r="G58" i="2"/>
  <c r="A59" i="2"/>
  <c r="B59" i="2" s="1"/>
  <c r="C59" i="2"/>
  <c r="D59" i="2"/>
  <c r="E59" i="2"/>
  <c r="F59" i="2"/>
  <c r="G59" i="2"/>
  <c r="A60" i="2"/>
  <c r="B60" i="2"/>
  <c r="C60" i="2"/>
  <c r="D60" i="2"/>
  <c r="E60" i="2"/>
  <c r="F60" i="2"/>
  <c r="G60" i="2"/>
  <c r="A61" i="2"/>
  <c r="B61" i="2" s="1"/>
  <c r="C61" i="2"/>
  <c r="D61" i="2"/>
  <c r="E61" i="2"/>
  <c r="F61" i="2"/>
  <c r="G61" i="2"/>
  <c r="A62" i="2"/>
  <c r="B62" i="2"/>
  <c r="C62" i="2"/>
  <c r="D62" i="2"/>
  <c r="E62" i="2"/>
  <c r="F62" i="2"/>
  <c r="G62" i="2"/>
  <c r="A63" i="2"/>
  <c r="B63" i="2"/>
  <c r="C63" i="2"/>
  <c r="D63" i="2"/>
  <c r="E63" i="2"/>
  <c r="F63" i="2"/>
  <c r="G63" i="2"/>
  <c r="A64" i="2"/>
  <c r="B64" i="2"/>
  <c r="C64" i="2"/>
  <c r="D64" i="2"/>
  <c r="E64" i="2"/>
  <c r="F64" i="2"/>
  <c r="G64" i="2"/>
  <c r="A65" i="2"/>
  <c r="B65" i="2" s="1"/>
  <c r="C65" i="2"/>
  <c r="D65" i="2"/>
  <c r="E65" i="2"/>
  <c r="F65" i="2"/>
  <c r="G65" i="2"/>
  <c r="A66" i="2"/>
  <c r="B66" i="2" s="1"/>
  <c r="C66" i="2"/>
  <c r="D66" i="2"/>
  <c r="E66" i="2"/>
  <c r="F66" i="2"/>
  <c r="G66" i="2"/>
  <c r="A67" i="2"/>
  <c r="B67" i="2" s="1"/>
  <c r="C67" i="2"/>
  <c r="D67" i="2"/>
  <c r="E67" i="2"/>
  <c r="F67" i="2"/>
  <c r="G67" i="2"/>
  <c r="A68" i="2"/>
  <c r="B68" i="2"/>
  <c r="C68" i="2"/>
  <c r="D68" i="2"/>
  <c r="E68" i="2"/>
  <c r="F68" i="2"/>
  <c r="G68" i="2"/>
  <c r="A69" i="2"/>
  <c r="B69" i="2" s="1"/>
  <c r="C69" i="2"/>
  <c r="D69" i="2"/>
  <c r="E69" i="2"/>
  <c r="F69" i="2"/>
  <c r="G69" i="2"/>
  <c r="A70" i="2"/>
  <c r="B70" i="2"/>
  <c r="C70" i="2"/>
  <c r="D70" i="2"/>
  <c r="E70" i="2"/>
  <c r="F70" i="2"/>
  <c r="G70" i="2"/>
  <c r="A71" i="2"/>
  <c r="B71" i="2"/>
  <c r="C71" i="2"/>
  <c r="D71" i="2"/>
  <c r="E71" i="2"/>
  <c r="F71" i="2"/>
  <c r="G71" i="2"/>
  <c r="A72" i="2"/>
  <c r="B72" i="2"/>
  <c r="C72" i="2"/>
  <c r="D72" i="2"/>
  <c r="E72" i="2"/>
  <c r="F72" i="2"/>
  <c r="G72" i="2"/>
  <c r="A73" i="2"/>
  <c r="B73" i="2" s="1"/>
  <c r="C73" i="2"/>
  <c r="D73" i="2"/>
  <c r="E73" i="2"/>
  <c r="F73" i="2"/>
  <c r="G73" i="2"/>
  <c r="A74" i="2"/>
  <c r="B74" i="2" s="1"/>
  <c r="C74" i="2"/>
  <c r="D74" i="2"/>
  <c r="E74" i="2"/>
  <c r="F74" i="2"/>
  <c r="G74" i="2"/>
  <c r="A75" i="2"/>
  <c r="B75" i="2" s="1"/>
  <c r="C75" i="2"/>
  <c r="D75" i="2"/>
  <c r="E75" i="2"/>
  <c r="F75" i="2"/>
  <c r="G75" i="2"/>
  <c r="A76" i="2"/>
  <c r="B76" i="2"/>
  <c r="C76" i="2"/>
  <c r="D76" i="2"/>
  <c r="E76" i="2"/>
  <c r="F76" i="2"/>
  <c r="G76" i="2"/>
  <c r="A77" i="2"/>
  <c r="B77" i="2" s="1"/>
  <c r="C77" i="2"/>
  <c r="D77" i="2"/>
  <c r="E77" i="2"/>
  <c r="F77" i="2"/>
  <c r="G77" i="2"/>
  <c r="A78" i="2"/>
  <c r="B78" i="2"/>
  <c r="C78" i="2"/>
  <c r="D78" i="2"/>
  <c r="E78" i="2"/>
  <c r="F78" i="2"/>
  <c r="G78" i="2"/>
  <c r="A79" i="2"/>
  <c r="B79" i="2"/>
  <c r="C79" i="2"/>
  <c r="D79" i="2"/>
  <c r="E79" i="2"/>
  <c r="F79" i="2"/>
  <c r="G79" i="2"/>
  <c r="A80" i="2"/>
  <c r="B80" i="2"/>
  <c r="C80" i="2"/>
  <c r="D80" i="2"/>
  <c r="E80" i="2"/>
  <c r="F80" i="2"/>
  <c r="G80" i="2"/>
  <c r="A81" i="2"/>
  <c r="B81" i="2" s="1"/>
  <c r="C81" i="2"/>
  <c r="D81" i="2"/>
  <c r="E81" i="2"/>
  <c r="F81" i="2"/>
  <c r="G81" i="2"/>
  <c r="A82" i="2"/>
  <c r="B82" i="2" s="1"/>
  <c r="C82" i="2"/>
  <c r="D82" i="2"/>
  <c r="E82" i="2"/>
  <c r="F82" i="2"/>
  <c r="G82" i="2"/>
  <c r="A83" i="2"/>
  <c r="B83" i="2" s="1"/>
  <c r="C83" i="2"/>
  <c r="D83" i="2"/>
  <c r="E83" i="2"/>
  <c r="F83" i="2"/>
  <c r="G83" i="2"/>
  <c r="A84" i="2"/>
  <c r="B84" i="2"/>
  <c r="C84" i="2"/>
  <c r="D84" i="2"/>
  <c r="E84" i="2"/>
  <c r="F84" i="2"/>
  <c r="G84" i="2"/>
  <c r="A85" i="2"/>
  <c r="B85" i="2"/>
  <c r="C85" i="2"/>
  <c r="D85" i="2"/>
  <c r="E85" i="2"/>
  <c r="F85" i="2"/>
  <c r="G85" i="2"/>
  <c r="A86" i="2"/>
  <c r="B86" i="2"/>
  <c r="C86" i="2"/>
  <c r="D86" i="2"/>
  <c r="E86" i="2"/>
  <c r="F86" i="2"/>
  <c r="G86" i="2"/>
  <c r="A87" i="2"/>
  <c r="B87" i="2"/>
  <c r="C87" i="2"/>
  <c r="D87" i="2"/>
  <c r="E87" i="2"/>
  <c r="F87" i="2"/>
  <c r="G87" i="2"/>
  <c r="A88" i="2"/>
  <c r="B88" i="2"/>
  <c r="C88" i="2"/>
  <c r="D88" i="2"/>
  <c r="E88" i="2"/>
  <c r="F88" i="2"/>
  <c r="G88" i="2"/>
  <c r="A89" i="2"/>
  <c r="B89" i="2" s="1"/>
  <c r="C89" i="2"/>
  <c r="D89" i="2"/>
  <c r="E89" i="2"/>
  <c r="F89" i="2"/>
  <c r="G89" i="2"/>
  <c r="A90" i="2"/>
  <c r="B90" i="2" s="1"/>
  <c r="C90" i="2"/>
  <c r="D90" i="2"/>
  <c r="E90" i="2"/>
  <c r="F90" i="2"/>
  <c r="G90" i="2"/>
  <c r="A91" i="2"/>
  <c r="B91" i="2" s="1"/>
  <c r="C91" i="2"/>
  <c r="D91" i="2"/>
  <c r="E91" i="2"/>
  <c r="F91" i="2"/>
  <c r="G91" i="2"/>
  <c r="A92" i="2"/>
  <c r="B92" i="2"/>
  <c r="C92" i="2"/>
  <c r="D92" i="2"/>
  <c r="E92" i="2"/>
  <c r="F92" i="2"/>
  <c r="G92" i="2"/>
  <c r="A93" i="2"/>
  <c r="B93" i="2"/>
  <c r="C93" i="2"/>
  <c r="D93" i="2"/>
  <c r="E93" i="2"/>
  <c r="F93" i="2"/>
  <c r="G93" i="2"/>
  <c r="A94" i="2"/>
  <c r="B94" i="2"/>
  <c r="C94" i="2"/>
  <c r="D94" i="2"/>
  <c r="E94" i="2"/>
  <c r="F94" i="2"/>
  <c r="G94" i="2"/>
  <c r="A95" i="2"/>
  <c r="B95" i="2"/>
  <c r="C95" i="2"/>
  <c r="D95" i="2"/>
  <c r="E95" i="2"/>
  <c r="F95" i="2"/>
  <c r="G95" i="2"/>
  <c r="A96" i="2"/>
  <c r="B96" i="2"/>
  <c r="C96" i="2"/>
  <c r="D96" i="2"/>
  <c r="E96" i="2"/>
  <c r="F96" i="2"/>
  <c r="G96" i="2"/>
  <c r="A97" i="2"/>
  <c r="B97" i="2" s="1"/>
  <c r="C97" i="2"/>
  <c r="D97" i="2"/>
  <c r="E97" i="2"/>
  <c r="F97" i="2"/>
  <c r="G97" i="2"/>
  <c r="A98" i="2"/>
  <c r="B98" i="2" s="1"/>
  <c r="C98" i="2"/>
  <c r="D98" i="2"/>
  <c r="E98" i="2"/>
  <c r="F98" i="2"/>
  <c r="G98" i="2"/>
  <c r="A99" i="2"/>
  <c r="B99" i="2" s="1"/>
  <c r="C99" i="2"/>
  <c r="D99" i="2"/>
  <c r="E99" i="2"/>
  <c r="F99" i="2"/>
  <c r="G99" i="2"/>
  <c r="A100" i="2"/>
  <c r="B100" i="2"/>
  <c r="C100" i="2"/>
  <c r="D100" i="2"/>
  <c r="E100" i="2"/>
  <c r="F100" i="2"/>
  <c r="G100" i="2"/>
  <c r="G2" i="2"/>
  <c r="F2" i="2"/>
  <c r="E2" i="2"/>
  <c r="D2" i="2"/>
  <c r="C2" i="2"/>
  <c r="A2" i="2"/>
  <c r="B2" i="2" s="1"/>
</calcChain>
</file>

<file path=xl/sharedStrings.xml><?xml version="1.0" encoding="utf-8"?>
<sst xmlns="http://schemas.openxmlformats.org/spreadsheetml/2006/main" count="23" uniqueCount="18">
  <si>
    <t>Delivery/Return Condition Life: Delivery/Return Condition Life Name</t>
  </si>
  <si>
    <t>Type</t>
  </si>
  <si>
    <t>Use % Instead</t>
  </si>
  <si>
    <t>Life FC</t>
  </si>
  <si>
    <t>Life FH</t>
  </si>
  <si>
    <t>Life Months</t>
  </si>
  <si>
    <t>Life FC %</t>
  </si>
  <si>
    <t>Life FH %</t>
  </si>
  <si>
    <t>Life Months %</t>
  </si>
  <si>
    <t>Life Remaining %</t>
  </si>
  <si>
    <t>Comments</t>
  </si>
  <si>
    <t>Name</t>
  </si>
  <si>
    <t>Life Remaining</t>
  </si>
  <si>
    <t>Airframe - Basic 1 Check - Remaining To Event</t>
  </si>
  <si>
    <t>Full Life</t>
  </si>
  <si>
    <t>Lease Section 11.2(a)</t>
  </si>
  <si>
    <t>Mirror in and Mirror out</t>
  </si>
  <si>
    <t>Mirror in and Mirror out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</si>
</sst>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E930-1721-6F4E-98A7-0D0E2D995B7D}">
  <dimension ref="A1:M12"/>
  <sheetViews>
    <sheetView workbookViewId="0">
      <selection activeCell="L1" sqref="L1:M1"/>
    </sheetView>
  </sheetViews>
  <sheetFormatPr baseColWidth="10" defaultRowHeight="16" x14ac:dyDescent="0.2"/>
  <cols>
    <col min="12" max="12" width="18.6640625" customWidth="1"/>
    <col min="13" max="13" width="31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16</v>
      </c>
      <c r="M1" s="2" t="s">
        <v>17</v>
      </c>
    </row>
    <row r="2" spans="1:13" x14ac:dyDescent="0.2">
      <c r="A2" s="1" t="s">
        <v>13</v>
      </c>
      <c r="B2" s="2" t="s">
        <v>14</v>
      </c>
      <c r="C2" s="2">
        <v>0</v>
      </c>
      <c r="D2" s="2">
        <v>5000</v>
      </c>
      <c r="E2" s="2">
        <v>6000</v>
      </c>
      <c r="F2" s="2">
        <v>24</v>
      </c>
      <c r="G2" s="3"/>
      <c r="H2" s="3"/>
      <c r="I2" s="3"/>
      <c r="J2" s="3"/>
      <c r="K2" s="2" t="s">
        <v>15</v>
      </c>
      <c r="L2" s="2">
        <v>0</v>
      </c>
      <c r="M2" s="3"/>
    </row>
    <row r="3" spans="1:13" x14ac:dyDescent="0.2">
      <c r="A3" s="1"/>
      <c r="B3" s="2"/>
      <c r="C3" s="2"/>
      <c r="D3" s="3"/>
      <c r="E3" s="3"/>
      <c r="F3" s="2"/>
      <c r="G3" s="3"/>
      <c r="H3" s="3"/>
      <c r="I3" s="3"/>
      <c r="J3" s="3"/>
      <c r="K3" s="2"/>
    </row>
    <row r="4" spans="1:13" x14ac:dyDescent="0.2">
      <c r="A4" s="1"/>
      <c r="B4" s="2"/>
      <c r="C4" s="2"/>
      <c r="D4" s="3"/>
      <c r="E4" s="3"/>
      <c r="F4" s="2"/>
      <c r="G4" s="3"/>
      <c r="H4" s="3"/>
      <c r="I4" s="3"/>
      <c r="J4" s="3"/>
      <c r="K4" s="2"/>
    </row>
    <row r="5" spans="1:13" x14ac:dyDescent="0.2">
      <c r="A5" s="1"/>
      <c r="B5" s="2"/>
      <c r="C5" s="2"/>
      <c r="D5" s="2"/>
      <c r="E5" s="3"/>
      <c r="F5" s="3"/>
      <c r="G5" s="3"/>
      <c r="H5" s="3"/>
      <c r="I5" s="3"/>
      <c r="J5" s="3"/>
      <c r="K5" s="2"/>
    </row>
    <row r="6" spans="1:13" x14ac:dyDescent="0.2">
      <c r="A6" s="1"/>
      <c r="B6" s="2"/>
      <c r="C6" s="2"/>
      <c r="D6" s="3"/>
      <c r="E6" s="2"/>
      <c r="F6" s="3"/>
      <c r="G6" s="3"/>
      <c r="H6" s="3"/>
      <c r="I6" s="3"/>
      <c r="J6" s="3"/>
      <c r="K6" s="2"/>
    </row>
    <row r="7" spans="1:13" x14ac:dyDescent="0.2">
      <c r="A7" s="1"/>
      <c r="B7" s="2"/>
      <c r="C7" s="2"/>
      <c r="D7" s="2"/>
      <c r="E7" s="3"/>
      <c r="F7" s="3"/>
      <c r="G7" s="3"/>
      <c r="H7" s="3"/>
      <c r="I7" s="3"/>
      <c r="J7" s="3"/>
      <c r="K7" s="2"/>
    </row>
    <row r="8" spans="1:13" x14ac:dyDescent="0.2">
      <c r="A8" s="1"/>
      <c r="B8" s="2"/>
      <c r="C8" s="2"/>
      <c r="D8" s="3"/>
      <c r="E8" s="2"/>
      <c r="F8" s="3"/>
      <c r="G8" s="3"/>
      <c r="H8" s="3"/>
      <c r="I8" s="3"/>
      <c r="J8" s="3"/>
      <c r="K8" s="2"/>
    </row>
    <row r="9" spans="1:13" x14ac:dyDescent="0.2">
      <c r="A9" s="1"/>
      <c r="B9" s="2"/>
      <c r="C9" s="2"/>
      <c r="D9" s="3"/>
      <c r="E9" s="3"/>
      <c r="F9" s="2"/>
      <c r="G9" s="3"/>
      <c r="H9" s="3"/>
      <c r="I9" s="3"/>
      <c r="J9" s="3"/>
      <c r="K9" s="2"/>
    </row>
    <row r="10" spans="1:13" x14ac:dyDescent="0.2">
      <c r="A10" s="1"/>
      <c r="B10" s="2"/>
      <c r="C10" s="2"/>
      <c r="D10" s="3"/>
      <c r="E10" s="3"/>
      <c r="F10" s="2"/>
      <c r="G10" s="3"/>
      <c r="H10" s="3"/>
      <c r="I10" s="3"/>
      <c r="J10" s="3"/>
      <c r="K10" s="2"/>
    </row>
    <row r="11" spans="1:13" x14ac:dyDescent="0.2">
      <c r="A11" s="1"/>
      <c r="B11" s="2"/>
      <c r="C11" s="2"/>
      <c r="D11" s="3"/>
      <c r="E11" s="3"/>
      <c r="F11" s="2"/>
      <c r="G11" s="3"/>
      <c r="H11" s="3"/>
      <c r="I11" s="3"/>
      <c r="J11" s="3"/>
      <c r="K11" s="2"/>
    </row>
    <row r="12" spans="1:13" x14ac:dyDescent="0.2">
      <c r="A12" s="1"/>
      <c r="B12" s="2"/>
      <c r="C12" s="2"/>
      <c r="D12" s="3"/>
      <c r="E12" s="3"/>
      <c r="F12" s="3"/>
      <c r="G12" s="3"/>
      <c r="H12" s="3"/>
      <c r="I12" s="3"/>
      <c r="J12" s="2"/>
      <c r="K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C0B3-2676-5E4E-82EB-7DFF7E2297E6}">
  <dimension ref="A1:G101"/>
  <sheetViews>
    <sheetView tabSelected="1" workbookViewId="0">
      <selection activeCell="A2" sqref="A2:G101"/>
    </sheetView>
  </sheetViews>
  <sheetFormatPr baseColWidth="10" defaultRowHeight="16" x14ac:dyDescent="0.2"/>
  <cols>
    <col min="1" max="1" width="48.1640625" customWidth="1"/>
    <col min="2" max="2" width="30.5" customWidth="1"/>
    <col min="3" max="3" width="20.83203125" customWidth="1"/>
    <col min="4" max="4" width="18.83203125" customWidth="1"/>
    <col min="5" max="5" width="18.5" customWidth="1"/>
    <col min="6" max="6" width="18" customWidth="1"/>
    <col min="7" max="7" width="30" customWidth="1"/>
  </cols>
  <sheetData>
    <row r="1" spans="1:7" ht="17" thickBot="1" x14ac:dyDescent="0.25">
      <c r="A1" s="4" t="s">
        <v>11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12</v>
      </c>
      <c r="G1" s="6" t="s">
        <v>10</v>
      </c>
    </row>
    <row r="2" spans="1:7" x14ac:dyDescent="0.2">
      <c r="A2" t="str">
        <f>IF(SF_data!A2="","",SF_data!A2)</f>
        <v>Airframe - Basic 1 Check - Remaining To Event</v>
      </c>
      <c r="B2" s="8" t="str">
        <f>IF(A2="","",SF_data!B2)</f>
        <v>Full Life</v>
      </c>
      <c r="C2" s="7">
        <f>IF(SF_data!L2=0,IF(IF(SF_data!$C2=1,SF_data!G2,SF_data!D2)="","",IF(SF_data!$C2=1,SF_data!G2,SF_data!D2)),"")</f>
        <v>5000</v>
      </c>
      <c r="D2" s="7">
        <f>IF(SF_data!L2=0,IF(IF(SF_data!$C2=1,SF_data!H2,SF_data!E2)="","",IF(SF_data!$C2=1,SF_data!H2,SF_data!E2)),"")</f>
        <v>6000</v>
      </c>
      <c r="E2" s="7">
        <f>IF(SF_data!L2=0,IF(IF(SF_data!$C2=1,SF_data!I2,SF_data!F2)="","",IF(SF_data!$C2=1,SF_data!I2,SF_data!F2)),"")</f>
        <v>24</v>
      </c>
      <c r="F2" s="9" t="str">
        <f>IF(SF_data!L2=0,IF(SF_data!J2="","",SF_data!J2/100),"")</f>
        <v/>
      </c>
      <c r="G2" t="str">
        <f>IF(SF_data!L2=0,IF(SF_data!K2="","",SF_data!K2),SF_data!M2)</f>
        <v>Lease Section 11.2(a)</v>
      </c>
    </row>
    <row r="3" spans="1:7" x14ac:dyDescent="0.2">
      <c r="A3" t="str">
        <f>IF(SF_data!A3="","",SF_data!A3)</f>
        <v/>
      </c>
      <c r="B3" s="8" t="str">
        <f>IF(A3="","",SF_data!B3)</f>
        <v/>
      </c>
      <c r="C3" s="7" t="str">
        <f>IF(SF_data!L3=0,IF(IF(SF_data!$C3=1,SF_data!G3,SF_data!D3)="","",IF(SF_data!$C3=1,SF_data!G3,SF_data!D3)),"")</f>
        <v/>
      </c>
      <c r="D3" s="7" t="str">
        <f>IF(SF_data!L3=0,IF(IF(SF_data!$C3=1,SF_data!H3,SF_data!E3)="","",IF(SF_data!$C3=1,SF_data!H3,SF_data!E3)),"")</f>
        <v/>
      </c>
      <c r="E3" s="7" t="str">
        <f>IF(SF_data!L3=0,IF(IF(SF_data!$C3=1,SF_data!I3,SF_data!F3)="","",IF(SF_data!$C3=1,SF_data!I3,SF_data!F3)),"")</f>
        <v/>
      </c>
      <c r="F3" s="9" t="str">
        <f>IF(SF_data!L3=0,IF(SF_data!J3="","",SF_data!J3/100),"")</f>
        <v/>
      </c>
      <c r="G3" t="str">
        <f>IF(SF_data!L3=0,IF(SF_data!K3="","",SF_data!K3),SF_data!M3)</f>
        <v/>
      </c>
    </row>
    <row r="4" spans="1:7" x14ac:dyDescent="0.2">
      <c r="A4" t="str">
        <f>IF(SF_data!A4="","",SF_data!A4)</f>
        <v/>
      </c>
      <c r="B4" s="8" t="str">
        <f>IF(A4="","",SF_data!B4)</f>
        <v/>
      </c>
      <c r="C4" s="7" t="str">
        <f>IF(SF_data!L4=0,IF(IF(SF_data!$C4=1,SF_data!G4,SF_data!D4)="","",IF(SF_data!$C4=1,SF_data!G4,SF_data!D4)),"")</f>
        <v/>
      </c>
      <c r="D4" s="7" t="str">
        <f>IF(SF_data!L4=0,IF(IF(SF_data!$C4=1,SF_data!H4,SF_data!E4)="","",IF(SF_data!$C4=1,SF_data!H4,SF_data!E4)),"")</f>
        <v/>
      </c>
      <c r="E4" s="7" t="str">
        <f>IF(SF_data!L4=0,IF(IF(SF_data!$C4=1,SF_data!I4,SF_data!F4)="","",IF(SF_data!$C4=1,SF_data!I4,SF_data!F4)),"")</f>
        <v/>
      </c>
      <c r="F4" s="9" t="str">
        <f>IF(SF_data!L4=0,IF(SF_data!J4="","",SF_data!J4/100),"")</f>
        <v/>
      </c>
      <c r="G4" t="str">
        <f>IF(SF_data!L4=0,IF(SF_data!K4="","",SF_data!K4),SF_data!M4)</f>
        <v/>
      </c>
    </row>
    <row r="5" spans="1:7" x14ac:dyDescent="0.2">
      <c r="A5" t="str">
        <f>IF(SF_data!A5="","",SF_data!A5)</f>
        <v/>
      </c>
      <c r="B5" s="8" t="str">
        <f>IF(A5="","",SF_data!B5)</f>
        <v/>
      </c>
      <c r="C5" s="7" t="str">
        <f>IF(SF_data!L5=0,IF(IF(SF_data!$C5=1,SF_data!G5,SF_data!D5)="","",IF(SF_data!$C5=1,SF_data!G5,SF_data!D5)),"")</f>
        <v/>
      </c>
      <c r="D5" s="7" t="str">
        <f>IF(SF_data!L5=0,IF(IF(SF_data!$C5=1,SF_data!H5,SF_data!E5)="","",IF(SF_data!$C5=1,SF_data!H5,SF_data!E5)),"")</f>
        <v/>
      </c>
      <c r="E5" s="7" t="str">
        <f>IF(SF_data!L5=0,IF(IF(SF_data!$C5=1,SF_data!I5,SF_data!F5)="","",IF(SF_data!$C5=1,SF_data!I5,SF_data!F5)),"")</f>
        <v/>
      </c>
      <c r="F5" s="9" t="str">
        <f>IF(SF_data!L5=0,IF(SF_data!J5="","",SF_data!J5/100),"")</f>
        <v/>
      </c>
      <c r="G5" t="str">
        <f>IF(SF_data!L5=0,IF(SF_data!K5="","",SF_data!K5),SF_data!M5)</f>
        <v/>
      </c>
    </row>
    <row r="6" spans="1:7" x14ac:dyDescent="0.2">
      <c r="A6" t="str">
        <f>IF(SF_data!A6="","",SF_data!A6)</f>
        <v/>
      </c>
      <c r="B6" s="8" t="str">
        <f>IF(A6="","",SF_data!B6)</f>
        <v/>
      </c>
      <c r="C6" s="7" t="str">
        <f>IF(SF_data!L6=0,IF(IF(SF_data!$C6=1,SF_data!G6,SF_data!D6)="","",IF(SF_data!$C6=1,SF_data!G6,SF_data!D6)),"")</f>
        <v/>
      </c>
      <c r="D6" s="7" t="str">
        <f>IF(SF_data!L6=0,IF(IF(SF_data!$C6=1,SF_data!H6,SF_data!E6)="","",IF(SF_data!$C6=1,SF_data!H6,SF_data!E6)),"")</f>
        <v/>
      </c>
      <c r="E6" s="7" t="str">
        <f>IF(SF_data!L6=0,IF(IF(SF_data!$C6=1,SF_data!I6,SF_data!F6)="","",IF(SF_data!$C6=1,SF_data!I6,SF_data!F6)),"")</f>
        <v/>
      </c>
      <c r="F6" s="9" t="str">
        <f>IF(SF_data!L6=0,IF(SF_data!J6="","",SF_data!J6/100),"")</f>
        <v/>
      </c>
      <c r="G6" t="str">
        <f>IF(SF_data!L6=0,IF(SF_data!K6="","",SF_data!K6),SF_data!M6)</f>
        <v/>
      </c>
    </row>
    <row r="7" spans="1:7" x14ac:dyDescent="0.2">
      <c r="A7" t="str">
        <f>IF(SF_data!A7="","",SF_data!A7)</f>
        <v/>
      </c>
      <c r="B7" s="8" t="str">
        <f>IF(A7="","",SF_data!B7)</f>
        <v/>
      </c>
      <c r="C7" s="7" t="str">
        <f>IF(SF_data!L7=0,IF(IF(SF_data!$C7=1,SF_data!G7,SF_data!D7)="","",IF(SF_data!$C7=1,SF_data!G7,SF_data!D7)),"")</f>
        <v/>
      </c>
      <c r="D7" s="7" t="str">
        <f>IF(SF_data!L7=0,IF(IF(SF_data!$C7=1,SF_data!H7,SF_data!E7)="","",IF(SF_data!$C7=1,SF_data!H7,SF_data!E7)),"")</f>
        <v/>
      </c>
      <c r="E7" s="7" t="str">
        <f>IF(SF_data!L7=0,IF(IF(SF_data!$C7=1,SF_data!I7,SF_data!F7)="","",IF(SF_data!$C7=1,SF_data!I7,SF_data!F7)),"")</f>
        <v/>
      </c>
      <c r="F7" s="9" t="str">
        <f>IF(SF_data!L7=0,IF(SF_data!J7="","",SF_data!J7/100),"")</f>
        <v/>
      </c>
      <c r="G7" t="str">
        <f>IF(SF_data!L7=0,IF(SF_data!K7="","",SF_data!K7),SF_data!M7)</f>
        <v/>
      </c>
    </row>
    <row r="8" spans="1:7" x14ac:dyDescent="0.2">
      <c r="A8" t="str">
        <f>IF(SF_data!A8="","",SF_data!A8)</f>
        <v/>
      </c>
      <c r="B8" s="8" t="str">
        <f>IF(A8="","",SF_data!B8)</f>
        <v/>
      </c>
      <c r="C8" s="7" t="str">
        <f>IF(SF_data!L8=0,IF(IF(SF_data!$C8=1,SF_data!G8,SF_data!D8)="","",IF(SF_data!$C8=1,SF_data!G8,SF_data!D8)),"")</f>
        <v/>
      </c>
      <c r="D8" s="7" t="str">
        <f>IF(SF_data!L8=0,IF(IF(SF_data!$C8=1,SF_data!H8,SF_data!E8)="","",IF(SF_data!$C8=1,SF_data!H8,SF_data!E8)),"")</f>
        <v/>
      </c>
      <c r="E8" s="7" t="str">
        <f>IF(SF_data!L8=0,IF(IF(SF_data!$C8=1,SF_data!I8,SF_data!F8)="","",IF(SF_data!$C8=1,SF_data!I8,SF_data!F8)),"")</f>
        <v/>
      </c>
      <c r="F8" s="9" t="str">
        <f>IF(SF_data!L8=0,IF(SF_data!J8="","",SF_data!J8/100),"")</f>
        <v/>
      </c>
      <c r="G8" t="str">
        <f>IF(SF_data!L8=0,IF(SF_data!K8="","",SF_data!K8),SF_data!M8)</f>
        <v/>
      </c>
    </row>
    <row r="9" spans="1:7" x14ac:dyDescent="0.2">
      <c r="A9" t="str">
        <f>IF(SF_data!A9="","",SF_data!A9)</f>
        <v/>
      </c>
      <c r="B9" s="8" t="str">
        <f>IF(A9="","",SF_data!B9)</f>
        <v/>
      </c>
      <c r="C9" s="7" t="str">
        <f>IF(SF_data!L9=0,IF(IF(SF_data!$C9=1,SF_data!G9,SF_data!D9)="","",IF(SF_data!$C9=1,SF_data!G9,SF_data!D9)),"")</f>
        <v/>
      </c>
      <c r="D9" s="7" t="str">
        <f>IF(SF_data!L9=0,IF(IF(SF_data!$C9=1,SF_data!H9,SF_data!E9)="","",IF(SF_data!$C9=1,SF_data!H9,SF_data!E9)),"")</f>
        <v/>
      </c>
      <c r="E9" s="7" t="str">
        <f>IF(SF_data!L9=0,IF(IF(SF_data!$C9=1,SF_data!I9,SF_data!F9)="","",IF(SF_data!$C9=1,SF_data!I9,SF_data!F9)),"")</f>
        <v/>
      </c>
      <c r="F9" s="9" t="str">
        <f>IF(SF_data!L9=0,IF(SF_data!J9="","",SF_data!J9/100),"")</f>
        <v/>
      </c>
      <c r="G9" t="str">
        <f>IF(SF_data!L9=0,IF(SF_data!K9="","",SF_data!K9),SF_data!M9)</f>
        <v/>
      </c>
    </row>
    <row r="10" spans="1:7" x14ac:dyDescent="0.2">
      <c r="A10" t="str">
        <f>IF(SF_data!A10="","",SF_data!A10)</f>
        <v/>
      </c>
      <c r="B10" s="8" t="str">
        <f>IF(A10="","",SF_data!B10)</f>
        <v/>
      </c>
      <c r="C10" s="7" t="str">
        <f>IF(SF_data!L10=0,IF(IF(SF_data!$C10=1,SF_data!G10,SF_data!D10)="","",IF(SF_data!$C10=1,SF_data!G10,SF_data!D10)),"")</f>
        <v/>
      </c>
      <c r="D10" s="7" t="str">
        <f>IF(SF_data!L10=0,IF(IF(SF_data!$C10=1,SF_data!H10,SF_data!E10)="","",IF(SF_data!$C10=1,SF_data!H10,SF_data!E10)),"")</f>
        <v/>
      </c>
      <c r="E10" s="7" t="str">
        <f>IF(SF_data!L10=0,IF(IF(SF_data!$C10=1,SF_data!I10,SF_data!F10)="","",IF(SF_data!$C10=1,SF_data!I10,SF_data!F10)),"")</f>
        <v/>
      </c>
      <c r="F10" s="9" t="str">
        <f>IF(SF_data!L10=0,IF(SF_data!J10="","",SF_data!J10/100),"")</f>
        <v/>
      </c>
      <c r="G10" t="str">
        <f>IF(SF_data!L10=0,IF(SF_data!K10="","",SF_data!K10),SF_data!M10)</f>
        <v/>
      </c>
    </row>
    <row r="11" spans="1:7" x14ac:dyDescent="0.2">
      <c r="A11" t="str">
        <f>IF(SF_data!A11="","",SF_data!A11)</f>
        <v/>
      </c>
      <c r="B11" s="8" t="str">
        <f>IF(A11="","",SF_data!B11)</f>
        <v/>
      </c>
      <c r="C11" s="7" t="str">
        <f>IF(SF_data!L11=0,IF(IF(SF_data!$C11=1,SF_data!G11,SF_data!D11)="","",IF(SF_data!$C11=1,SF_data!G11,SF_data!D11)),"")</f>
        <v/>
      </c>
      <c r="D11" s="7" t="str">
        <f>IF(SF_data!L11=0,IF(IF(SF_data!$C11=1,SF_data!H11,SF_data!E11)="","",IF(SF_data!$C11=1,SF_data!H11,SF_data!E11)),"")</f>
        <v/>
      </c>
      <c r="E11" s="7" t="str">
        <f>IF(SF_data!L11=0,IF(IF(SF_data!$C11=1,SF_data!I11,SF_data!F11)="","",IF(SF_data!$C11=1,SF_data!I11,SF_data!F11)),"")</f>
        <v/>
      </c>
      <c r="F11" s="9" t="str">
        <f>IF(SF_data!L11=0,IF(SF_data!J11="","",SF_data!J11/100),"")</f>
        <v/>
      </c>
      <c r="G11" t="str">
        <f>IF(SF_data!L11=0,IF(SF_data!K11="","",SF_data!K11),SF_data!M11)</f>
        <v/>
      </c>
    </row>
    <row r="12" spans="1:7" x14ac:dyDescent="0.2">
      <c r="A12" t="str">
        <f>IF(SF_data!A12="","",SF_data!A12)</f>
        <v/>
      </c>
      <c r="B12" s="8" t="str">
        <f>IF(A12="","",SF_data!B12)</f>
        <v/>
      </c>
      <c r="C12" s="7" t="str">
        <f>IF(SF_data!L12=0,IF(IF(SF_data!$C12=1,SF_data!G12,SF_data!D12)="","",IF(SF_data!$C12=1,SF_data!G12,SF_data!D12)),"")</f>
        <v/>
      </c>
      <c r="D12" s="7" t="str">
        <f>IF(SF_data!L12=0,IF(IF(SF_data!$C12=1,SF_data!H12,SF_data!E12)="","",IF(SF_data!$C12=1,SF_data!H12,SF_data!E12)),"")</f>
        <v/>
      </c>
      <c r="E12" s="7" t="str">
        <f>IF(SF_data!L12=0,IF(IF(SF_data!$C12=1,SF_data!I12,SF_data!F12)="","",IF(SF_data!$C12=1,SF_data!I12,SF_data!F12)),"")</f>
        <v/>
      </c>
      <c r="F12" s="9" t="str">
        <f>IF(SF_data!L12=0,IF(SF_data!J12="","",SF_data!J12/100),"")</f>
        <v/>
      </c>
      <c r="G12" t="str">
        <f>IF(SF_data!L12=0,IF(SF_data!K12="","",SF_data!K12),SF_data!M12)</f>
        <v/>
      </c>
    </row>
    <row r="13" spans="1:7" x14ac:dyDescent="0.2">
      <c r="A13" t="str">
        <f>IF(SF_data!A13="","",SF_data!A13)</f>
        <v/>
      </c>
      <c r="B13" s="8" t="str">
        <f>IF(A13="","",SF_data!B13)</f>
        <v/>
      </c>
      <c r="C13" s="7" t="str">
        <f>IF(SF_data!L13=0,IF(IF(SF_data!$C13=1,SF_data!G13,SF_data!D13)="","",IF(SF_data!$C13=1,SF_data!G13,SF_data!D13)),"")</f>
        <v/>
      </c>
      <c r="D13" s="7" t="str">
        <f>IF(SF_data!L13=0,IF(IF(SF_data!$C13=1,SF_data!H13,SF_data!E13)="","",IF(SF_data!$C13=1,SF_data!H13,SF_data!E13)),"")</f>
        <v/>
      </c>
      <c r="E13" s="7" t="str">
        <f>IF(SF_data!L13=0,IF(IF(SF_data!$C13=1,SF_data!I13,SF_data!F13)="","",IF(SF_data!$C13=1,SF_data!I13,SF_data!F13)),"")</f>
        <v/>
      </c>
      <c r="F13" s="9" t="str">
        <f>IF(SF_data!L13=0,IF(SF_data!J13="","",SF_data!J13/100),"")</f>
        <v/>
      </c>
      <c r="G13" t="str">
        <f>IF(SF_data!L13=0,IF(SF_data!K13="","",SF_data!K13),SF_data!M13)</f>
        <v/>
      </c>
    </row>
    <row r="14" spans="1:7" x14ac:dyDescent="0.2">
      <c r="A14" t="str">
        <f>IF(SF_data!A14="","",SF_data!A14)</f>
        <v/>
      </c>
      <c r="B14" s="8" t="str">
        <f>IF(A14="","",SF_data!B14)</f>
        <v/>
      </c>
      <c r="C14" s="7" t="str">
        <f>IF(SF_data!L14=0,IF(IF(SF_data!$C14=1,SF_data!G14,SF_data!D14)="","",IF(SF_data!$C14=1,SF_data!G14,SF_data!D14)),"")</f>
        <v/>
      </c>
      <c r="D14" s="7" t="str">
        <f>IF(SF_data!L14=0,IF(IF(SF_data!$C14=1,SF_data!H14,SF_data!E14)="","",IF(SF_data!$C14=1,SF_data!H14,SF_data!E14)),"")</f>
        <v/>
      </c>
      <c r="E14" s="7" t="str">
        <f>IF(SF_data!L14=0,IF(IF(SF_data!$C14=1,SF_data!I14,SF_data!F14)="","",IF(SF_data!$C14=1,SF_data!I14,SF_data!F14)),"")</f>
        <v/>
      </c>
      <c r="F14" s="9" t="str">
        <f>IF(SF_data!L14=0,IF(SF_data!J14="","",SF_data!J14/100),"")</f>
        <v/>
      </c>
      <c r="G14" t="str">
        <f>IF(SF_data!L14=0,IF(SF_data!K14="","",SF_data!K14),SF_data!M14)</f>
        <v/>
      </c>
    </row>
    <row r="15" spans="1:7" x14ac:dyDescent="0.2">
      <c r="A15" t="str">
        <f>IF(SF_data!A15="","",SF_data!A15)</f>
        <v/>
      </c>
      <c r="B15" s="8" t="str">
        <f>IF(A15="","",SF_data!B15)</f>
        <v/>
      </c>
      <c r="C15" s="7" t="str">
        <f>IF(SF_data!L15=0,IF(IF(SF_data!$C15=1,SF_data!G15,SF_data!D15)="","",IF(SF_data!$C15=1,SF_data!G15,SF_data!D15)),"")</f>
        <v/>
      </c>
      <c r="D15" s="7" t="str">
        <f>IF(SF_data!L15=0,IF(IF(SF_data!$C15=1,SF_data!H15,SF_data!E15)="","",IF(SF_data!$C15=1,SF_data!H15,SF_data!E15)),"")</f>
        <v/>
      </c>
      <c r="E15" s="7" t="str">
        <f>IF(SF_data!L15=0,IF(IF(SF_data!$C15=1,SF_data!I15,SF_data!F15)="","",IF(SF_data!$C15=1,SF_data!I15,SF_data!F15)),"")</f>
        <v/>
      </c>
      <c r="F15" s="9" t="str">
        <f>IF(SF_data!L15=0,IF(SF_data!J15="","",SF_data!J15/100),"")</f>
        <v/>
      </c>
      <c r="G15" t="str">
        <f>IF(SF_data!L15=0,IF(SF_data!K15="","",SF_data!K15),SF_data!M15)</f>
        <v/>
      </c>
    </row>
    <row r="16" spans="1:7" x14ac:dyDescent="0.2">
      <c r="A16" t="str">
        <f>IF(SF_data!A16="","",SF_data!A16)</f>
        <v/>
      </c>
      <c r="B16" s="8" t="str">
        <f>IF(A16="","",SF_data!B16)</f>
        <v/>
      </c>
      <c r="C16" s="7" t="str">
        <f>IF(SF_data!L16=0,IF(IF(SF_data!$C16=1,SF_data!G16,SF_data!D16)="","",IF(SF_data!$C16=1,SF_data!G16,SF_data!D16)),"")</f>
        <v/>
      </c>
      <c r="D16" s="7" t="str">
        <f>IF(SF_data!L16=0,IF(IF(SF_data!$C16=1,SF_data!H16,SF_data!E16)="","",IF(SF_data!$C16=1,SF_data!H16,SF_data!E16)),"")</f>
        <v/>
      </c>
      <c r="E16" s="7" t="str">
        <f>IF(SF_data!L16=0,IF(IF(SF_data!$C16=1,SF_data!I16,SF_data!F16)="","",IF(SF_data!$C16=1,SF_data!I16,SF_data!F16)),"")</f>
        <v/>
      </c>
      <c r="F16" s="9" t="str">
        <f>IF(SF_data!L16=0,IF(SF_data!J16="","",SF_data!J16/100),"")</f>
        <v/>
      </c>
      <c r="G16" t="str">
        <f>IF(SF_data!L16=0,IF(SF_data!K16="","",SF_data!K16),SF_data!M16)</f>
        <v/>
      </c>
    </row>
    <row r="17" spans="1:7" x14ac:dyDescent="0.2">
      <c r="A17" t="str">
        <f>IF(SF_data!A17="","",SF_data!A17)</f>
        <v/>
      </c>
      <c r="B17" s="8" t="str">
        <f>IF(A17="","",SF_data!B17)</f>
        <v/>
      </c>
      <c r="C17" s="7" t="str">
        <f>IF(SF_data!L17=0,IF(IF(SF_data!$C17=1,SF_data!G17,SF_data!D17)="","",IF(SF_data!$C17=1,SF_data!G17,SF_data!D17)),"")</f>
        <v/>
      </c>
      <c r="D17" s="7" t="str">
        <f>IF(SF_data!L17=0,IF(IF(SF_data!$C17=1,SF_data!H17,SF_data!E17)="","",IF(SF_data!$C17=1,SF_data!H17,SF_data!E17)),"")</f>
        <v/>
      </c>
      <c r="E17" s="7" t="str">
        <f>IF(SF_data!L17=0,IF(IF(SF_data!$C17=1,SF_data!I17,SF_data!F17)="","",IF(SF_data!$C17=1,SF_data!I17,SF_data!F17)),"")</f>
        <v/>
      </c>
      <c r="F17" s="9" t="str">
        <f>IF(SF_data!L17=0,IF(SF_data!J17="","",SF_data!J17/100),"")</f>
        <v/>
      </c>
      <c r="G17" t="str">
        <f>IF(SF_data!L17=0,IF(SF_data!K17="","",SF_data!K17),SF_data!M17)</f>
        <v/>
      </c>
    </row>
    <row r="18" spans="1:7" x14ac:dyDescent="0.2">
      <c r="A18" t="str">
        <f>IF(SF_data!A18="","",SF_data!A18)</f>
        <v/>
      </c>
      <c r="B18" s="8" t="str">
        <f>IF(A18="","",SF_data!B18)</f>
        <v/>
      </c>
      <c r="C18" s="7" t="str">
        <f>IF(SF_data!L18=0,IF(IF(SF_data!$C18=1,SF_data!G18,SF_data!D18)="","",IF(SF_data!$C18=1,SF_data!G18,SF_data!D18)),"")</f>
        <v/>
      </c>
      <c r="D18" s="7" t="str">
        <f>IF(SF_data!L18=0,IF(IF(SF_data!$C18=1,SF_data!H18,SF_data!E18)="","",IF(SF_data!$C18=1,SF_data!H18,SF_data!E18)),"")</f>
        <v/>
      </c>
      <c r="E18" s="7" t="str">
        <f>IF(SF_data!L18=0,IF(IF(SF_data!$C18=1,SF_data!I18,SF_data!F18)="","",IF(SF_data!$C18=1,SF_data!I18,SF_data!F18)),"")</f>
        <v/>
      </c>
      <c r="F18" s="9" t="str">
        <f>IF(SF_data!L18=0,IF(SF_data!J18="","",SF_data!J18/100),"")</f>
        <v/>
      </c>
      <c r="G18" t="str">
        <f>IF(SF_data!L18=0,IF(SF_data!K18="","",SF_data!K18),SF_data!M18)</f>
        <v/>
      </c>
    </row>
    <row r="19" spans="1:7" x14ac:dyDescent="0.2">
      <c r="A19" t="str">
        <f>IF(SF_data!A19="","",SF_data!A19)</f>
        <v/>
      </c>
      <c r="B19" s="8" t="str">
        <f>IF(A19="","",SF_data!B19)</f>
        <v/>
      </c>
      <c r="C19" s="7" t="str">
        <f>IF(SF_data!L19=0,IF(IF(SF_data!$C19=1,SF_data!G19,SF_data!D19)="","",IF(SF_data!$C19=1,SF_data!G19,SF_data!D19)),"")</f>
        <v/>
      </c>
      <c r="D19" s="7" t="str">
        <f>IF(SF_data!L19=0,IF(IF(SF_data!$C19=1,SF_data!H19,SF_data!E19)="","",IF(SF_data!$C19=1,SF_data!H19,SF_data!E19)),"")</f>
        <v/>
      </c>
      <c r="E19" s="7" t="str">
        <f>IF(SF_data!L19=0,IF(IF(SF_data!$C19=1,SF_data!I19,SF_data!F19)="","",IF(SF_data!$C19=1,SF_data!I19,SF_data!F19)),"")</f>
        <v/>
      </c>
      <c r="F19" s="9" t="str">
        <f>IF(SF_data!L19=0,IF(SF_data!J19="","",SF_data!J19/100),"")</f>
        <v/>
      </c>
      <c r="G19" t="str">
        <f>IF(SF_data!L19=0,IF(SF_data!K19="","",SF_data!K19),SF_data!M19)</f>
        <v/>
      </c>
    </row>
    <row r="20" spans="1:7" x14ac:dyDescent="0.2">
      <c r="A20" t="str">
        <f>IF(SF_data!A20="","",SF_data!A20)</f>
        <v/>
      </c>
      <c r="B20" s="8" t="str">
        <f>IF(A20="","",SF_data!B20)</f>
        <v/>
      </c>
      <c r="C20" s="7" t="str">
        <f>IF(SF_data!L20=0,IF(IF(SF_data!$C20=1,SF_data!G20,SF_data!D20)="","",IF(SF_data!$C20=1,SF_data!G20,SF_data!D20)),"")</f>
        <v/>
      </c>
      <c r="D20" s="7" t="str">
        <f>IF(SF_data!L20=0,IF(IF(SF_data!$C20=1,SF_data!H20,SF_data!E20)="","",IF(SF_data!$C20=1,SF_data!H20,SF_data!E20)),"")</f>
        <v/>
      </c>
      <c r="E20" s="7" t="str">
        <f>IF(SF_data!L20=0,IF(IF(SF_data!$C20=1,SF_data!I20,SF_data!F20)="","",IF(SF_data!$C20=1,SF_data!I20,SF_data!F20)),"")</f>
        <v/>
      </c>
      <c r="F20" s="9" t="str">
        <f>IF(SF_data!L20=0,IF(SF_data!J20="","",SF_data!J20/100),"")</f>
        <v/>
      </c>
      <c r="G20" t="str">
        <f>IF(SF_data!L20=0,IF(SF_data!K20="","",SF_data!K20),SF_data!M20)</f>
        <v/>
      </c>
    </row>
    <row r="21" spans="1:7" x14ac:dyDescent="0.2">
      <c r="A21" t="str">
        <f>IF(SF_data!A21="","",SF_data!A21)</f>
        <v/>
      </c>
      <c r="B21" s="8" t="str">
        <f>IF(A21="","",SF_data!B21)</f>
        <v/>
      </c>
      <c r="C21" s="7" t="str">
        <f>IF(SF_data!L21=0,IF(IF(SF_data!$C21=1,SF_data!G21,SF_data!D21)="","",IF(SF_data!$C21=1,SF_data!G21,SF_data!D21)),"")</f>
        <v/>
      </c>
      <c r="D21" s="7" t="str">
        <f>IF(SF_data!L21=0,IF(IF(SF_data!$C21=1,SF_data!H21,SF_data!E21)="","",IF(SF_data!$C21=1,SF_data!H21,SF_data!E21)),"")</f>
        <v/>
      </c>
      <c r="E21" s="7" t="str">
        <f>IF(SF_data!L21=0,IF(IF(SF_data!$C21=1,SF_data!I21,SF_data!F21)="","",IF(SF_data!$C21=1,SF_data!I21,SF_data!F21)),"")</f>
        <v/>
      </c>
      <c r="F21" s="9" t="str">
        <f>IF(SF_data!L21=0,IF(SF_data!J21="","",SF_data!J21/100),"")</f>
        <v/>
      </c>
      <c r="G21" t="str">
        <f>IF(SF_data!L21=0,IF(SF_data!K21="","",SF_data!K21),SF_data!M21)</f>
        <v/>
      </c>
    </row>
    <row r="22" spans="1:7" x14ac:dyDescent="0.2">
      <c r="A22" t="str">
        <f>IF(SF_data!A22="","",SF_data!A22)</f>
        <v/>
      </c>
      <c r="B22" s="8" t="str">
        <f>IF(A22="","",SF_data!B22)</f>
        <v/>
      </c>
      <c r="C22" s="7" t="str">
        <f>IF(SF_data!L22=0,IF(IF(SF_data!$C22=1,SF_data!G22,SF_data!D22)="","",IF(SF_data!$C22=1,SF_data!G22,SF_data!D22)),"")</f>
        <v/>
      </c>
      <c r="D22" s="7" t="str">
        <f>IF(SF_data!L22=0,IF(IF(SF_data!$C22=1,SF_data!H22,SF_data!E22)="","",IF(SF_data!$C22=1,SF_data!H22,SF_data!E22)),"")</f>
        <v/>
      </c>
      <c r="E22" s="7" t="str">
        <f>IF(SF_data!L22=0,IF(IF(SF_data!$C22=1,SF_data!I22,SF_data!F22)="","",IF(SF_data!$C22=1,SF_data!I22,SF_data!F22)),"")</f>
        <v/>
      </c>
      <c r="F22" s="9" t="str">
        <f>IF(SF_data!L22=0,IF(SF_data!J22="","",SF_data!J22/100),"")</f>
        <v/>
      </c>
      <c r="G22" t="str">
        <f>IF(SF_data!L22=0,IF(SF_data!K22="","",SF_data!K22),SF_data!M22)</f>
        <v/>
      </c>
    </row>
    <row r="23" spans="1:7" x14ac:dyDescent="0.2">
      <c r="A23" t="str">
        <f>IF(SF_data!A23="","",SF_data!A23)</f>
        <v/>
      </c>
      <c r="B23" s="8" t="str">
        <f>IF(A23="","",SF_data!B23)</f>
        <v/>
      </c>
      <c r="C23" s="7" t="str">
        <f>IF(SF_data!L23=0,IF(IF(SF_data!$C23=1,SF_data!G23,SF_data!D23)="","",IF(SF_data!$C23=1,SF_data!G23,SF_data!D23)),"")</f>
        <v/>
      </c>
      <c r="D23" s="7" t="str">
        <f>IF(SF_data!L23=0,IF(IF(SF_data!$C23=1,SF_data!H23,SF_data!E23)="","",IF(SF_data!$C23=1,SF_data!H23,SF_data!E23)),"")</f>
        <v/>
      </c>
      <c r="E23" s="7" t="str">
        <f>IF(SF_data!L23=0,IF(IF(SF_data!$C23=1,SF_data!I23,SF_data!F23)="","",IF(SF_data!$C23=1,SF_data!I23,SF_data!F23)),"")</f>
        <v/>
      </c>
      <c r="F23" s="9" t="str">
        <f>IF(SF_data!L23=0,IF(SF_data!J23="","",SF_data!J23/100),"")</f>
        <v/>
      </c>
      <c r="G23" t="str">
        <f>IF(SF_data!L23=0,IF(SF_data!K23="","",SF_data!K23),SF_data!M23)</f>
        <v/>
      </c>
    </row>
    <row r="24" spans="1:7" x14ac:dyDescent="0.2">
      <c r="A24" t="str">
        <f>IF(SF_data!A24="","",SF_data!A24)</f>
        <v/>
      </c>
      <c r="B24" s="8" t="str">
        <f>IF(A24="","",SF_data!B24)</f>
        <v/>
      </c>
      <c r="C24" s="7" t="str">
        <f>IF(SF_data!L24=0,IF(IF(SF_data!$C24=1,SF_data!G24,SF_data!D24)="","",IF(SF_data!$C24=1,SF_data!G24,SF_data!D24)),"")</f>
        <v/>
      </c>
      <c r="D24" s="7" t="str">
        <f>IF(SF_data!L24=0,IF(IF(SF_data!$C24=1,SF_data!H24,SF_data!E24)="","",IF(SF_data!$C24=1,SF_data!H24,SF_data!E24)),"")</f>
        <v/>
      </c>
      <c r="E24" s="7" t="str">
        <f>IF(SF_data!L24=0,IF(IF(SF_data!$C24=1,SF_data!I24,SF_data!F24)="","",IF(SF_data!$C24=1,SF_data!I24,SF_data!F24)),"")</f>
        <v/>
      </c>
      <c r="F24" s="9" t="str">
        <f>IF(SF_data!L24=0,IF(SF_data!J24="","",SF_data!J24/100),"")</f>
        <v/>
      </c>
      <c r="G24" t="str">
        <f>IF(SF_data!L24=0,IF(SF_data!K24="","",SF_data!K24),SF_data!M24)</f>
        <v/>
      </c>
    </row>
    <row r="25" spans="1:7" x14ac:dyDescent="0.2">
      <c r="A25" t="str">
        <f>IF(SF_data!A25="","",SF_data!A25)</f>
        <v/>
      </c>
      <c r="B25" s="8" t="str">
        <f>IF(A25="","",SF_data!B25)</f>
        <v/>
      </c>
      <c r="C25" s="7" t="str">
        <f>IF(SF_data!L25=0,IF(IF(SF_data!$C25=1,SF_data!G25,SF_data!D25)="","",IF(SF_data!$C25=1,SF_data!G25,SF_data!D25)),"")</f>
        <v/>
      </c>
      <c r="D25" s="7" t="str">
        <f>IF(SF_data!L25=0,IF(IF(SF_data!$C25=1,SF_data!H25,SF_data!E25)="","",IF(SF_data!$C25=1,SF_data!H25,SF_data!E25)),"")</f>
        <v/>
      </c>
      <c r="E25" s="7" t="str">
        <f>IF(SF_data!L25=0,IF(IF(SF_data!$C25=1,SF_data!I25,SF_data!F25)="","",IF(SF_data!$C25=1,SF_data!I25,SF_data!F25)),"")</f>
        <v/>
      </c>
      <c r="F25" s="9" t="str">
        <f>IF(SF_data!L25=0,IF(SF_data!J25="","",SF_data!J25/100),"")</f>
        <v/>
      </c>
      <c r="G25" t="str">
        <f>IF(SF_data!L25=0,IF(SF_data!K25="","",SF_data!K25),SF_data!M25)</f>
        <v/>
      </c>
    </row>
    <row r="26" spans="1:7" x14ac:dyDescent="0.2">
      <c r="A26" t="str">
        <f>IF(SF_data!A26="","",SF_data!A26)</f>
        <v/>
      </c>
      <c r="B26" s="8" t="str">
        <f>IF(A26="","",SF_data!B26)</f>
        <v/>
      </c>
      <c r="C26" s="7" t="str">
        <f>IF(SF_data!L26=0,IF(IF(SF_data!$C26=1,SF_data!G26,SF_data!D26)="","",IF(SF_data!$C26=1,SF_data!G26,SF_data!D26)),"")</f>
        <v/>
      </c>
      <c r="D26" s="7" t="str">
        <f>IF(SF_data!L26=0,IF(IF(SF_data!$C26=1,SF_data!H26,SF_data!E26)="","",IF(SF_data!$C26=1,SF_data!H26,SF_data!E26)),"")</f>
        <v/>
      </c>
      <c r="E26" s="7" t="str">
        <f>IF(SF_data!L26=0,IF(IF(SF_data!$C26=1,SF_data!I26,SF_data!F26)="","",IF(SF_data!$C26=1,SF_data!I26,SF_data!F26)),"")</f>
        <v/>
      </c>
      <c r="F26" s="9" t="str">
        <f>IF(SF_data!L26=0,IF(SF_data!J26="","",SF_data!J26/100),"")</f>
        <v/>
      </c>
      <c r="G26" t="str">
        <f>IF(SF_data!L26=0,IF(SF_data!K26="","",SF_data!K26),SF_data!M26)</f>
        <v/>
      </c>
    </row>
    <row r="27" spans="1:7" x14ac:dyDescent="0.2">
      <c r="A27" t="str">
        <f>IF(SF_data!A27="","",SF_data!A27)</f>
        <v/>
      </c>
      <c r="B27" s="8" t="str">
        <f>IF(A27="","",SF_data!B27)</f>
        <v/>
      </c>
      <c r="C27" s="7" t="str">
        <f>IF(SF_data!L27=0,IF(IF(SF_data!$C27=1,SF_data!G27,SF_data!D27)="","",IF(SF_data!$C27=1,SF_data!G27,SF_data!D27)),"")</f>
        <v/>
      </c>
      <c r="D27" s="7" t="str">
        <f>IF(SF_data!L27=0,IF(IF(SF_data!$C27=1,SF_data!H27,SF_data!E27)="","",IF(SF_data!$C27=1,SF_data!H27,SF_data!E27)),"")</f>
        <v/>
      </c>
      <c r="E27" s="7" t="str">
        <f>IF(SF_data!L27=0,IF(IF(SF_data!$C27=1,SF_data!I27,SF_data!F27)="","",IF(SF_data!$C27=1,SF_data!I27,SF_data!F27)),"")</f>
        <v/>
      </c>
      <c r="F27" s="9" t="str">
        <f>IF(SF_data!L27=0,IF(SF_data!J27="","",SF_data!J27/100),"")</f>
        <v/>
      </c>
      <c r="G27" t="str">
        <f>IF(SF_data!L27=0,IF(SF_data!K27="","",SF_data!K27),SF_data!M27)</f>
        <v/>
      </c>
    </row>
    <row r="28" spans="1:7" x14ac:dyDescent="0.2">
      <c r="A28" t="str">
        <f>IF(SF_data!A28="","",SF_data!A28)</f>
        <v/>
      </c>
      <c r="B28" s="8" t="str">
        <f>IF(A28="","",SF_data!B28)</f>
        <v/>
      </c>
      <c r="C28" s="7" t="str">
        <f>IF(SF_data!L28=0,IF(IF(SF_data!$C28=1,SF_data!G28,SF_data!D28)="","",IF(SF_data!$C28=1,SF_data!G28,SF_data!D28)),"")</f>
        <v/>
      </c>
      <c r="D28" s="7" t="str">
        <f>IF(SF_data!L28=0,IF(IF(SF_data!$C28=1,SF_data!H28,SF_data!E28)="","",IF(SF_data!$C28=1,SF_data!H28,SF_data!E28)),"")</f>
        <v/>
      </c>
      <c r="E28" s="7" t="str">
        <f>IF(SF_data!L28=0,IF(IF(SF_data!$C28=1,SF_data!I28,SF_data!F28)="","",IF(SF_data!$C28=1,SF_data!I28,SF_data!F28)),"")</f>
        <v/>
      </c>
      <c r="F28" s="9" t="str">
        <f>IF(SF_data!L28=0,IF(SF_data!J28="","",SF_data!J28/100),"")</f>
        <v/>
      </c>
      <c r="G28" t="str">
        <f>IF(SF_data!L28=0,IF(SF_data!K28="","",SF_data!K28),SF_data!M28)</f>
        <v/>
      </c>
    </row>
    <row r="29" spans="1:7" x14ac:dyDescent="0.2">
      <c r="A29" t="str">
        <f>IF(SF_data!A29="","",SF_data!A29)</f>
        <v/>
      </c>
      <c r="B29" s="8" t="str">
        <f>IF(A29="","",SF_data!B29)</f>
        <v/>
      </c>
      <c r="C29" s="7" t="str">
        <f>IF(SF_data!L29=0,IF(IF(SF_data!$C29=1,SF_data!G29,SF_data!D29)="","",IF(SF_data!$C29=1,SF_data!G29,SF_data!D29)),"")</f>
        <v/>
      </c>
      <c r="D29" s="7" t="str">
        <f>IF(SF_data!L29=0,IF(IF(SF_data!$C29=1,SF_data!H29,SF_data!E29)="","",IF(SF_data!$C29=1,SF_data!H29,SF_data!E29)),"")</f>
        <v/>
      </c>
      <c r="E29" s="7" t="str">
        <f>IF(SF_data!L29=0,IF(IF(SF_data!$C29=1,SF_data!I29,SF_data!F29)="","",IF(SF_data!$C29=1,SF_data!I29,SF_data!F29)),"")</f>
        <v/>
      </c>
      <c r="F29" s="9" t="str">
        <f>IF(SF_data!L29=0,IF(SF_data!J29="","",SF_data!J29/100),"")</f>
        <v/>
      </c>
      <c r="G29" t="str">
        <f>IF(SF_data!L29=0,IF(SF_data!K29="","",SF_data!K29),SF_data!M29)</f>
        <v/>
      </c>
    </row>
    <row r="30" spans="1:7" x14ac:dyDescent="0.2">
      <c r="A30" t="str">
        <f>IF(SF_data!A30="","",SF_data!A30)</f>
        <v/>
      </c>
      <c r="B30" s="8" t="str">
        <f>IF(A30="","",SF_data!B30)</f>
        <v/>
      </c>
      <c r="C30" s="7" t="str">
        <f>IF(SF_data!L30=0,IF(IF(SF_data!$C30=1,SF_data!G30,SF_data!D30)="","",IF(SF_data!$C30=1,SF_data!G30,SF_data!D30)),"")</f>
        <v/>
      </c>
      <c r="D30" s="7" t="str">
        <f>IF(SF_data!L30=0,IF(IF(SF_data!$C30=1,SF_data!H30,SF_data!E30)="","",IF(SF_data!$C30=1,SF_data!H30,SF_data!E30)),"")</f>
        <v/>
      </c>
      <c r="E30" s="7" t="str">
        <f>IF(SF_data!L30=0,IF(IF(SF_data!$C30=1,SF_data!I30,SF_data!F30)="","",IF(SF_data!$C30=1,SF_data!I30,SF_data!F30)),"")</f>
        <v/>
      </c>
      <c r="F30" s="9" t="str">
        <f>IF(SF_data!L30=0,IF(SF_data!J30="","",SF_data!J30/100),"")</f>
        <v/>
      </c>
      <c r="G30" t="str">
        <f>IF(SF_data!L30=0,IF(SF_data!K30="","",SF_data!K30),SF_data!M30)</f>
        <v/>
      </c>
    </row>
    <row r="31" spans="1:7" x14ac:dyDescent="0.2">
      <c r="A31" t="str">
        <f>IF(SF_data!A31="","",SF_data!A31)</f>
        <v/>
      </c>
      <c r="B31" s="8" t="str">
        <f>IF(A31="","",SF_data!B31)</f>
        <v/>
      </c>
      <c r="C31" s="7" t="str">
        <f>IF(SF_data!L31=0,IF(IF(SF_data!$C31=1,SF_data!G31,SF_data!D31)="","",IF(SF_data!$C31=1,SF_data!G31,SF_data!D31)),"")</f>
        <v/>
      </c>
      <c r="D31" s="7" t="str">
        <f>IF(SF_data!L31=0,IF(IF(SF_data!$C31=1,SF_data!H31,SF_data!E31)="","",IF(SF_data!$C31=1,SF_data!H31,SF_data!E31)),"")</f>
        <v/>
      </c>
      <c r="E31" s="7" t="str">
        <f>IF(SF_data!L31=0,IF(IF(SF_data!$C31=1,SF_data!I31,SF_data!F31)="","",IF(SF_data!$C31=1,SF_data!I31,SF_data!F31)),"")</f>
        <v/>
      </c>
      <c r="F31" s="9" t="str">
        <f>IF(SF_data!L31=0,IF(SF_data!J31="","",SF_data!J31/100),"")</f>
        <v/>
      </c>
      <c r="G31" t="str">
        <f>IF(SF_data!L31=0,IF(SF_data!K31="","",SF_data!K31),SF_data!M31)</f>
        <v/>
      </c>
    </row>
    <row r="32" spans="1:7" x14ac:dyDescent="0.2">
      <c r="A32" t="str">
        <f>IF(SF_data!A32="","",SF_data!A32)</f>
        <v/>
      </c>
      <c r="B32" s="8" t="str">
        <f>IF(A32="","",SF_data!B32)</f>
        <v/>
      </c>
      <c r="C32" s="7" t="str">
        <f>IF(SF_data!L32=0,IF(IF(SF_data!$C32=1,SF_data!G32,SF_data!D32)="","",IF(SF_data!$C32=1,SF_data!G32,SF_data!D32)),"")</f>
        <v/>
      </c>
      <c r="D32" s="7" t="str">
        <f>IF(SF_data!L32=0,IF(IF(SF_data!$C32=1,SF_data!H32,SF_data!E32)="","",IF(SF_data!$C32=1,SF_data!H32,SF_data!E32)),"")</f>
        <v/>
      </c>
      <c r="E32" s="7" t="str">
        <f>IF(SF_data!L32=0,IF(IF(SF_data!$C32=1,SF_data!I32,SF_data!F32)="","",IF(SF_data!$C32=1,SF_data!I32,SF_data!F32)),"")</f>
        <v/>
      </c>
      <c r="F32" s="9" t="str">
        <f>IF(SF_data!L32=0,IF(SF_data!J32="","",SF_data!J32/100),"")</f>
        <v/>
      </c>
      <c r="G32" t="str">
        <f>IF(SF_data!L32=0,IF(SF_data!K32="","",SF_data!K32),SF_data!M32)</f>
        <v/>
      </c>
    </row>
    <row r="33" spans="1:7" x14ac:dyDescent="0.2">
      <c r="A33" t="str">
        <f>IF(SF_data!A33="","",SF_data!A33)</f>
        <v/>
      </c>
      <c r="B33" s="8" t="str">
        <f>IF(A33="","",SF_data!B33)</f>
        <v/>
      </c>
      <c r="C33" s="7" t="str">
        <f>IF(SF_data!L33=0,IF(IF(SF_data!$C33=1,SF_data!G33,SF_data!D33)="","",IF(SF_data!$C33=1,SF_data!G33,SF_data!D33)),"")</f>
        <v/>
      </c>
      <c r="D33" s="7" t="str">
        <f>IF(SF_data!L33=0,IF(IF(SF_data!$C33=1,SF_data!H33,SF_data!E33)="","",IF(SF_data!$C33=1,SF_data!H33,SF_data!E33)),"")</f>
        <v/>
      </c>
      <c r="E33" s="7" t="str">
        <f>IF(SF_data!L33=0,IF(IF(SF_data!$C33=1,SF_data!I33,SF_data!F33)="","",IF(SF_data!$C33=1,SF_data!I33,SF_data!F33)),"")</f>
        <v/>
      </c>
      <c r="F33" s="9" t="str">
        <f>IF(SF_data!L33=0,IF(SF_data!J33="","",SF_data!J33/100),"")</f>
        <v/>
      </c>
      <c r="G33" t="str">
        <f>IF(SF_data!L33=0,IF(SF_data!K33="","",SF_data!K33),SF_data!M33)</f>
        <v/>
      </c>
    </row>
    <row r="34" spans="1:7" x14ac:dyDescent="0.2">
      <c r="A34" t="str">
        <f>IF(SF_data!A34="","",SF_data!A34)</f>
        <v/>
      </c>
      <c r="B34" s="8" t="str">
        <f>IF(A34="","",SF_data!B34)</f>
        <v/>
      </c>
      <c r="C34" s="7" t="str">
        <f>IF(SF_data!L34=0,IF(IF(SF_data!$C34=1,SF_data!G34,SF_data!D34)="","",IF(SF_data!$C34=1,SF_data!G34,SF_data!D34)),"")</f>
        <v/>
      </c>
      <c r="D34" s="7" t="str">
        <f>IF(SF_data!L34=0,IF(IF(SF_data!$C34=1,SF_data!H34,SF_data!E34)="","",IF(SF_data!$C34=1,SF_data!H34,SF_data!E34)),"")</f>
        <v/>
      </c>
      <c r="E34" s="7" t="str">
        <f>IF(SF_data!L34=0,IF(IF(SF_data!$C34=1,SF_data!I34,SF_data!F34)="","",IF(SF_data!$C34=1,SF_data!I34,SF_data!F34)),"")</f>
        <v/>
      </c>
      <c r="F34" s="9" t="str">
        <f>IF(SF_data!L34=0,IF(SF_data!J34="","",SF_data!J34/100),"")</f>
        <v/>
      </c>
      <c r="G34" t="str">
        <f>IF(SF_data!L34=0,IF(SF_data!K34="","",SF_data!K34),SF_data!M34)</f>
        <v/>
      </c>
    </row>
    <row r="35" spans="1:7" x14ac:dyDescent="0.2">
      <c r="A35" t="str">
        <f>IF(SF_data!A35="","",SF_data!A35)</f>
        <v/>
      </c>
      <c r="B35" s="8" t="str">
        <f>IF(A35="","",SF_data!B35)</f>
        <v/>
      </c>
      <c r="C35" s="7" t="str">
        <f>IF(SF_data!L35=0,IF(IF(SF_data!$C35=1,SF_data!G35,SF_data!D35)="","",IF(SF_data!$C35=1,SF_data!G35,SF_data!D35)),"")</f>
        <v/>
      </c>
      <c r="D35" s="7" t="str">
        <f>IF(SF_data!L35=0,IF(IF(SF_data!$C35=1,SF_data!H35,SF_data!E35)="","",IF(SF_data!$C35=1,SF_data!H35,SF_data!E35)),"")</f>
        <v/>
      </c>
      <c r="E35" s="7" t="str">
        <f>IF(SF_data!L35=0,IF(IF(SF_data!$C35=1,SF_data!I35,SF_data!F35)="","",IF(SF_data!$C35=1,SF_data!I35,SF_data!F35)),"")</f>
        <v/>
      </c>
      <c r="F35" s="9" t="str">
        <f>IF(SF_data!L35=0,IF(SF_data!J35="","",SF_data!J35/100),"")</f>
        <v/>
      </c>
      <c r="G35" t="str">
        <f>IF(SF_data!L35=0,IF(SF_data!K35="","",SF_data!K35),SF_data!M35)</f>
        <v/>
      </c>
    </row>
    <row r="36" spans="1:7" x14ac:dyDescent="0.2">
      <c r="A36" t="str">
        <f>IF(SF_data!A36="","",SF_data!A36)</f>
        <v/>
      </c>
      <c r="B36" s="8" t="str">
        <f>IF(A36="","",SF_data!B36)</f>
        <v/>
      </c>
      <c r="C36" s="7" t="str">
        <f>IF(SF_data!L36=0,IF(IF(SF_data!$C36=1,SF_data!G36,SF_data!D36)="","",IF(SF_data!$C36=1,SF_data!G36,SF_data!D36)),"")</f>
        <v/>
      </c>
      <c r="D36" s="7" t="str">
        <f>IF(SF_data!L36=0,IF(IF(SF_data!$C36=1,SF_data!H36,SF_data!E36)="","",IF(SF_data!$C36=1,SF_data!H36,SF_data!E36)),"")</f>
        <v/>
      </c>
      <c r="E36" s="7" t="str">
        <f>IF(SF_data!L36=0,IF(IF(SF_data!$C36=1,SF_data!I36,SF_data!F36)="","",IF(SF_data!$C36=1,SF_data!I36,SF_data!F36)),"")</f>
        <v/>
      </c>
      <c r="F36" s="9" t="str">
        <f>IF(SF_data!L36=0,IF(SF_data!J36="","",SF_data!J36/100),"")</f>
        <v/>
      </c>
      <c r="G36" t="str">
        <f>IF(SF_data!L36=0,IF(SF_data!K36="","",SF_data!K36),SF_data!M36)</f>
        <v/>
      </c>
    </row>
    <row r="37" spans="1:7" x14ac:dyDescent="0.2">
      <c r="A37" t="str">
        <f>IF(SF_data!A37="","",SF_data!A37)</f>
        <v/>
      </c>
      <c r="B37" s="8" t="str">
        <f>IF(A37="","",SF_data!B37)</f>
        <v/>
      </c>
      <c r="C37" s="7" t="str">
        <f>IF(SF_data!L37=0,IF(IF(SF_data!$C37=1,SF_data!G37,SF_data!D37)="","",IF(SF_data!$C37=1,SF_data!G37,SF_data!D37)),"")</f>
        <v/>
      </c>
      <c r="D37" s="7" t="str">
        <f>IF(SF_data!L37=0,IF(IF(SF_data!$C37=1,SF_data!H37,SF_data!E37)="","",IF(SF_data!$C37=1,SF_data!H37,SF_data!E37)),"")</f>
        <v/>
      </c>
      <c r="E37" s="7" t="str">
        <f>IF(SF_data!L37=0,IF(IF(SF_data!$C37=1,SF_data!I37,SF_data!F37)="","",IF(SF_data!$C37=1,SF_data!I37,SF_data!F37)),"")</f>
        <v/>
      </c>
      <c r="F37" s="9" t="str">
        <f>IF(SF_data!L37=0,IF(SF_data!J37="","",SF_data!J37/100),"")</f>
        <v/>
      </c>
      <c r="G37" t="str">
        <f>IF(SF_data!L37=0,IF(SF_data!K37="","",SF_data!K37),SF_data!M37)</f>
        <v/>
      </c>
    </row>
    <row r="38" spans="1:7" x14ac:dyDescent="0.2">
      <c r="A38" t="str">
        <f>IF(SF_data!A38="","",SF_data!A38)</f>
        <v/>
      </c>
      <c r="B38" s="8" t="str">
        <f>IF(A38="","",SF_data!B38)</f>
        <v/>
      </c>
      <c r="C38" s="7" t="str">
        <f>IF(SF_data!L38=0,IF(IF(SF_data!$C38=1,SF_data!G38,SF_data!D38)="","",IF(SF_data!$C38=1,SF_data!G38,SF_data!D38)),"")</f>
        <v/>
      </c>
      <c r="D38" s="7" t="str">
        <f>IF(SF_data!L38=0,IF(IF(SF_data!$C38=1,SF_data!H38,SF_data!E38)="","",IF(SF_data!$C38=1,SF_data!H38,SF_data!E38)),"")</f>
        <v/>
      </c>
      <c r="E38" s="7" t="str">
        <f>IF(SF_data!L38=0,IF(IF(SF_data!$C38=1,SF_data!I38,SF_data!F38)="","",IF(SF_data!$C38=1,SF_data!I38,SF_data!F38)),"")</f>
        <v/>
      </c>
      <c r="F38" s="9" t="str">
        <f>IF(SF_data!L38=0,IF(SF_data!J38="","",SF_data!J38/100),"")</f>
        <v/>
      </c>
      <c r="G38" t="str">
        <f>IF(SF_data!L38=0,IF(SF_data!K38="","",SF_data!K38),SF_data!M38)</f>
        <v/>
      </c>
    </row>
    <row r="39" spans="1:7" x14ac:dyDescent="0.2">
      <c r="A39" t="str">
        <f>IF(SF_data!A39="","",SF_data!A39)</f>
        <v/>
      </c>
      <c r="B39" s="8" t="str">
        <f>IF(A39="","",SF_data!B39)</f>
        <v/>
      </c>
      <c r="C39" s="7" t="str">
        <f>IF(SF_data!L39=0,IF(IF(SF_data!$C39=1,SF_data!G39,SF_data!D39)="","",IF(SF_data!$C39=1,SF_data!G39,SF_data!D39)),"")</f>
        <v/>
      </c>
      <c r="D39" s="7" t="str">
        <f>IF(SF_data!L39=0,IF(IF(SF_data!$C39=1,SF_data!H39,SF_data!E39)="","",IF(SF_data!$C39=1,SF_data!H39,SF_data!E39)),"")</f>
        <v/>
      </c>
      <c r="E39" s="7" t="str">
        <f>IF(SF_data!L39=0,IF(IF(SF_data!$C39=1,SF_data!I39,SF_data!F39)="","",IF(SF_data!$C39=1,SF_data!I39,SF_data!F39)),"")</f>
        <v/>
      </c>
      <c r="F39" s="9" t="str">
        <f>IF(SF_data!L39=0,IF(SF_data!J39="","",SF_data!J39/100),"")</f>
        <v/>
      </c>
      <c r="G39" t="str">
        <f>IF(SF_data!L39=0,IF(SF_data!K39="","",SF_data!K39),SF_data!M39)</f>
        <v/>
      </c>
    </row>
    <row r="40" spans="1:7" x14ac:dyDescent="0.2">
      <c r="A40" t="str">
        <f>IF(SF_data!A40="","",SF_data!A40)</f>
        <v/>
      </c>
      <c r="B40" s="8" t="str">
        <f>IF(A40="","",SF_data!B40)</f>
        <v/>
      </c>
      <c r="C40" s="7" t="str">
        <f>IF(SF_data!L40=0,IF(IF(SF_data!$C40=1,SF_data!G40,SF_data!D40)="","",IF(SF_data!$C40=1,SF_data!G40,SF_data!D40)),"")</f>
        <v/>
      </c>
      <c r="D40" s="7" t="str">
        <f>IF(SF_data!L40=0,IF(IF(SF_data!$C40=1,SF_data!H40,SF_data!E40)="","",IF(SF_data!$C40=1,SF_data!H40,SF_data!E40)),"")</f>
        <v/>
      </c>
      <c r="E40" s="7" t="str">
        <f>IF(SF_data!L40=0,IF(IF(SF_data!$C40=1,SF_data!I40,SF_data!F40)="","",IF(SF_data!$C40=1,SF_data!I40,SF_data!F40)),"")</f>
        <v/>
      </c>
      <c r="F40" s="9" t="str">
        <f>IF(SF_data!L40=0,IF(SF_data!J40="","",SF_data!J40/100),"")</f>
        <v/>
      </c>
      <c r="G40" t="str">
        <f>IF(SF_data!L40=0,IF(SF_data!K40="","",SF_data!K40),SF_data!M40)</f>
        <v/>
      </c>
    </row>
    <row r="41" spans="1:7" x14ac:dyDescent="0.2">
      <c r="A41" t="str">
        <f>IF(SF_data!A41="","",SF_data!A41)</f>
        <v/>
      </c>
      <c r="B41" s="8" t="str">
        <f>IF(A41="","",SF_data!B41)</f>
        <v/>
      </c>
      <c r="C41" s="7" t="str">
        <f>IF(SF_data!L41=0,IF(IF(SF_data!$C41=1,SF_data!G41,SF_data!D41)="","",IF(SF_data!$C41=1,SF_data!G41,SF_data!D41)),"")</f>
        <v/>
      </c>
      <c r="D41" s="7" t="str">
        <f>IF(SF_data!L41=0,IF(IF(SF_data!$C41=1,SF_data!H41,SF_data!E41)="","",IF(SF_data!$C41=1,SF_data!H41,SF_data!E41)),"")</f>
        <v/>
      </c>
      <c r="E41" s="7" t="str">
        <f>IF(SF_data!L41=0,IF(IF(SF_data!$C41=1,SF_data!I41,SF_data!F41)="","",IF(SF_data!$C41=1,SF_data!I41,SF_data!F41)),"")</f>
        <v/>
      </c>
      <c r="F41" s="9" t="str">
        <f>IF(SF_data!L41=0,IF(SF_data!J41="","",SF_data!J41/100),"")</f>
        <v/>
      </c>
      <c r="G41" t="str">
        <f>IF(SF_data!L41=0,IF(SF_data!K41="","",SF_data!K41),SF_data!M41)</f>
        <v/>
      </c>
    </row>
    <row r="42" spans="1:7" x14ac:dyDescent="0.2">
      <c r="A42" t="str">
        <f>IF(SF_data!A42="","",SF_data!A42)</f>
        <v/>
      </c>
      <c r="B42" s="8" t="str">
        <f>IF(A42="","",SF_data!B42)</f>
        <v/>
      </c>
      <c r="C42" s="7" t="str">
        <f>IF(SF_data!L42=0,IF(IF(SF_data!$C42=1,SF_data!G42,SF_data!D42)="","",IF(SF_data!$C42=1,SF_data!G42,SF_data!D42)),"")</f>
        <v/>
      </c>
      <c r="D42" s="7" t="str">
        <f>IF(SF_data!L42=0,IF(IF(SF_data!$C42=1,SF_data!H42,SF_data!E42)="","",IF(SF_data!$C42=1,SF_data!H42,SF_data!E42)),"")</f>
        <v/>
      </c>
      <c r="E42" s="7" t="str">
        <f>IF(SF_data!L42=0,IF(IF(SF_data!$C42=1,SF_data!I42,SF_data!F42)="","",IF(SF_data!$C42=1,SF_data!I42,SF_data!F42)),"")</f>
        <v/>
      </c>
      <c r="F42" s="9" t="str">
        <f>IF(SF_data!L42=0,IF(SF_data!J42="","",SF_data!J42/100),"")</f>
        <v/>
      </c>
      <c r="G42" t="str">
        <f>IF(SF_data!L42=0,IF(SF_data!K42="","",SF_data!K42),SF_data!M42)</f>
        <v/>
      </c>
    </row>
    <row r="43" spans="1:7" x14ac:dyDescent="0.2">
      <c r="A43" t="str">
        <f>IF(SF_data!A43="","",SF_data!A43)</f>
        <v/>
      </c>
      <c r="B43" s="8" t="str">
        <f>IF(A43="","",SF_data!B43)</f>
        <v/>
      </c>
      <c r="C43" s="7" t="str">
        <f>IF(SF_data!L43=0,IF(IF(SF_data!$C43=1,SF_data!G43,SF_data!D43)="","",IF(SF_data!$C43=1,SF_data!G43,SF_data!D43)),"")</f>
        <v/>
      </c>
      <c r="D43" s="7" t="str">
        <f>IF(SF_data!L43=0,IF(IF(SF_data!$C43=1,SF_data!H43,SF_data!E43)="","",IF(SF_data!$C43=1,SF_data!H43,SF_data!E43)),"")</f>
        <v/>
      </c>
      <c r="E43" s="7" t="str">
        <f>IF(SF_data!L43=0,IF(IF(SF_data!$C43=1,SF_data!I43,SF_data!F43)="","",IF(SF_data!$C43=1,SF_data!I43,SF_data!F43)),"")</f>
        <v/>
      </c>
      <c r="F43" s="9" t="str">
        <f>IF(SF_data!L43=0,IF(SF_data!J43="","",SF_data!J43/100),"")</f>
        <v/>
      </c>
      <c r="G43" t="str">
        <f>IF(SF_data!L43=0,IF(SF_data!K43="","",SF_data!K43),SF_data!M43)</f>
        <v/>
      </c>
    </row>
    <row r="44" spans="1:7" x14ac:dyDescent="0.2">
      <c r="A44" t="str">
        <f>IF(SF_data!A44="","",SF_data!A44)</f>
        <v/>
      </c>
      <c r="B44" s="8" t="str">
        <f>IF(A44="","",SF_data!B44)</f>
        <v/>
      </c>
      <c r="C44" s="7" t="str">
        <f>IF(SF_data!L44=0,IF(IF(SF_data!$C44=1,SF_data!G44,SF_data!D44)="","",IF(SF_data!$C44=1,SF_data!G44,SF_data!D44)),"")</f>
        <v/>
      </c>
      <c r="D44" s="7" t="str">
        <f>IF(SF_data!L44=0,IF(IF(SF_data!$C44=1,SF_data!H44,SF_data!E44)="","",IF(SF_data!$C44=1,SF_data!H44,SF_data!E44)),"")</f>
        <v/>
      </c>
      <c r="E44" s="7" t="str">
        <f>IF(SF_data!L44=0,IF(IF(SF_data!$C44=1,SF_data!I44,SF_data!F44)="","",IF(SF_data!$C44=1,SF_data!I44,SF_data!F44)),"")</f>
        <v/>
      </c>
      <c r="F44" s="9" t="str">
        <f>IF(SF_data!L44=0,IF(SF_data!J44="","",SF_data!J44/100),"")</f>
        <v/>
      </c>
      <c r="G44" t="str">
        <f>IF(SF_data!L44=0,IF(SF_data!K44="","",SF_data!K44),SF_data!M44)</f>
        <v/>
      </c>
    </row>
    <row r="45" spans="1:7" x14ac:dyDescent="0.2">
      <c r="A45" t="str">
        <f>IF(SF_data!A45="","",SF_data!A45)</f>
        <v/>
      </c>
      <c r="B45" s="8" t="str">
        <f>IF(A45="","",SF_data!B45)</f>
        <v/>
      </c>
      <c r="C45" s="7" t="str">
        <f>IF(SF_data!L45=0,IF(IF(SF_data!$C45=1,SF_data!G45,SF_data!D45)="","",IF(SF_data!$C45=1,SF_data!G45,SF_data!D45)),"")</f>
        <v/>
      </c>
      <c r="D45" s="7" t="str">
        <f>IF(SF_data!L45=0,IF(IF(SF_data!$C45=1,SF_data!H45,SF_data!E45)="","",IF(SF_data!$C45=1,SF_data!H45,SF_data!E45)),"")</f>
        <v/>
      </c>
      <c r="E45" s="7" t="str">
        <f>IF(SF_data!L45=0,IF(IF(SF_data!$C45=1,SF_data!I45,SF_data!F45)="","",IF(SF_data!$C45=1,SF_data!I45,SF_data!F45)),"")</f>
        <v/>
      </c>
      <c r="F45" s="9" t="str">
        <f>IF(SF_data!L45=0,IF(SF_data!J45="","",SF_data!J45/100),"")</f>
        <v/>
      </c>
      <c r="G45" t="str">
        <f>IF(SF_data!L45=0,IF(SF_data!K45="","",SF_data!K45),SF_data!M45)</f>
        <v/>
      </c>
    </row>
    <row r="46" spans="1:7" x14ac:dyDescent="0.2">
      <c r="A46" t="str">
        <f>IF(SF_data!A46="","",SF_data!A46)</f>
        <v/>
      </c>
      <c r="B46" s="8" t="str">
        <f>IF(A46="","",SF_data!B46)</f>
        <v/>
      </c>
      <c r="C46" s="7" t="str">
        <f>IF(SF_data!L46=0,IF(IF(SF_data!$C46=1,SF_data!G46,SF_data!D46)="","",IF(SF_data!$C46=1,SF_data!G46,SF_data!D46)),"")</f>
        <v/>
      </c>
      <c r="D46" s="7" t="str">
        <f>IF(SF_data!L46=0,IF(IF(SF_data!$C46=1,SF_data!H46,SF_data!E46)="","",IF(SF_data!$C46=1,SF_data!H46,SF_data!E46)),"")</f>
        <v/>
      </c>
      <c r="E46" s="7" t="str">
        <f>IF(SF_data!L46=0,IF(IF(SF_data!$C46=1,SF_data!I46,SF_data!F46)="","",IF(SF_data!$C46=1,SF_data!I46,SF_data!F46)),"")</f>
        <v/>
      </c>
      <c r="F46" s="9" t="str">
        <f>IF(SF_data!L46=0,IF(SF_data!J46="","",SF_data!J46/100),"")</f>
        <v/>
      </c>
      <c r="G46" t="str">
        <f>IF(SF_data!L46=0,IF(SF_data!K46="","",SF_data!K46),SF_data!M46)</f>
        <v/>
      </c>
    </row>
    <row r="47" spans="1:7" x14ac:dyDescent="0.2">
      <c r="A47" t="str">
        <f>IF(SF_data!A47="","",SF_data!A47)</f>
        <v/>
      </c>
      <c r="B47" s="8" t="str">
        <f>IF(A47="","",SF_data!B47)</f>
        <v/>
      </c>
      <c r="C47" s="7" t="str">
        <f>IF(SF_data!L47=0,IF(IF(SF_data!$C47=1,SF_data!G47,SF_data!D47)="","",IF(SF_data!$C47=1,SF_data!G47,SF_data!D47)),"")</f>
        <v/>
      </c>
      <c r="D47" s="7" t="str">
        <f>IF(SF_data!L47=0,IF(IF(SF_data!$C47=1,SF_data!H47,SF_data!E47)="","",IF(SF_data!$C47=1,SF_data!H47,SF_data!E47)),"")</f>
        <v/>
      </c>
      <c r="E47" s="7" t="str">
        <f>IF(SF_data!L47=0,IF(IF(SF_data!$C47=1,SF_data!I47,SF_data!F47)="","",IF(SF_data!$C47=1,SF_data!I47,SF_data!F47)),"")</f>
        <v/>
      </c>
      <c r="F47" s="9" t="str">
        <f>IF(SF_data!L47=0,IF(SF_data!J47="","",SF_data!J47/100),"")</f>
        <v/>
      </c>
      <c r="G47" t="str">
        <f>IF(SF_data!L47=0,IF(SF_data!K47="","",SF_data!K47),SF_data!M47)</f>
        <v/>
      </c>
    </row>
    <row r="48" spans="1:7" x14ac:dyDescent="0.2">
      <c r="A48" t="str">
        <f>IF(SF_data!A48="","",SF_data!A48)</f>
        <v/>
      </c>
      <c r="B48" s="8" t="str">
        <f>IF(A48="","",SF_data!B48)</f>
        <v/>
      </c>
      <c r="C48" s="7" t="str">
        <f>IF(SF_data!L48=0,IF(IF(SF_data!$C48=1,SF_data!G48,SF_data!D48)="","",IF(SF_data!$C48=1,SF_data!G48,SF_data!D48)),"")</f>
        <v/>
      </c>
      <c r="D48" s="7" t="str">
        <f>IF(SF_data!L48=0,IF(IF(SF_data!$C48=1,SF_data!H48,SF_data!E48)="","",IF(SF_data!$C48=1,SF_data!H48,SF_data!E48)),"")</f>
        <v/>
      </c>
      <c r="E48" s="7" t="str">
        <f>IF(SF_data!L48=0,IF(IF(SF_data!$C48=1,SF_data!I48,SF_data!F48)="","",IF(SF_data!$C48=1,SF_data!I48,SF_data!F48)),"")</f>
        <v/>
      </c>
      <c r="F48" s="9" t="str">
        <f>IF(SF_data!L48=0,IF(SF_data!J48="","",SF_data!J48/100),"")</f>
        <v/>
      </c>
      <c r="G48" t="str">
        <f>IF(SF_data!L48=0,IF(SF_data!K48="","",SF_data!K48),SF_data!M48)</f>
        <v/>
      </c>
    </row>
    <row r="49" spans="1:7" x14ac:dyDescent="0.2">
      <c r="A49" t="str">
        <f>IF(SF_data!A49="","",SF_data!A49)</f>
        <v/>
      </c>
      <c r="B49" s="8" t="str">
        <f>IF(A49="","",SF_data!B49)</f>
        <v/>
      </c>
      <c r="C49" s="7" t="str">
        <f>IF(SF_data!L49=0,IF(IF(SF_data!$C49=1,SF_data!G49,SF_data!D49)="","",IF(SF_data!$C49=1,SF_data!G49,SF_data!D49)),"")</f>
        <v/>
      </c>
      <c r="D49" s="7" t="str">
        <f>IF(SF_data!L49=0,IF(IF(SF_data!$C49=1,SF_data!H49,SF_data!E49)="","",IF(SF_data!$C49=1,SF_data!H49,SF_data!E49)),"")</f>
        <v/>
      </c>
      <c r="E49" s="7" t="str">
        <f>IF(SF_data!L49=0,IF(IF(SF_data!$C49=1,SF_data!I49,SF_data!F49)="","",IF(SF_data!$C49=1,SF_data!I49,SF_data!F49)),"")</f>
        <v/>
      </c>
      <c r="F49" s="9" t="str">
        <f>IF(SF_data!L49=0,IF(SF_data!J49="","",SF_data!J49/100),"")</f>
        <v/>
      </c>
      <c r="G49" t="str">
        <f>IF(SF_data!L49=0,IF(SF_data!K49="","",SF_data!K49),SF_data!M49)</f>
        <v/>
      </c>
    </row>
    <row r="50" spans="1:7" x14ac:dyDescent="0.2">
      <c r="A50" t="str">
        <f>IF(SF_data!A50="","",SF_data!A50)</f>
        <v/>
      </c>
      <c r="B50" s="8" t="str">
        <f>IF(A50="","",SF_data!B50)</f>
        <v/>
      </c>
      <c r="C50" s="7" t="str">
        <f>IF(SF_data!L50=0,IF(IF(SF_data!$C50=1,SF_data!G50,SF_data!D50)="","",IF(SF_data!$C50=1,SF_data!G50,SF_data!D50)),"")</f>
        <v/>
      </c>
      <c r="D50" s="7" t="str">
        <f>IF(SF_data!L50=0,IF(IF(SF_data!$C50=1,SF_data!H50,SF_data!E50)="","",IF(SF_data!$C50=1,SF_data!H50,SF_data!E50)),"")</f>
        <v/>
      </c>
      <c r="E50" s="7" t="str">
        <f>IF(SF_data!L50=0,IF(IF(SF_data!$C50=1,SF_data!I50,SF_data!F50)="","",IF(SF_data!$C50=1,SF_data!I50,SF_data!F50)),"")</f>
        <v/>
      </c>
      <c r="F50" s="9" t="str">
        <f>IF(SF_data!L50=0,IF(SF_data!J50="","",SF_data!J50/100),"")</f>
        <v/>
      </c>
      <c r="G50" t="str">
        <f>IF(SF_data!L50=0,IF(SF_data!K50="","",SF_data!K50),SF_data!M50)</f>
        <v/>
      </c>
    </row>
    <row r="51" spans="1:7" x14ac:dyDescent="0.2">
      <c r="A51" t="str">
        <f>IF(SF_data!A51="","",SF_data!A51)</f>
        <v/>
      </c>
      <c r="B51" s="8" t="str">
        <f>IF(A51="","",SF_data!B51)</f>
        <v/>
      </c>
      <c r="C51" s="7" t="str">
        <f>IF(SF_data!L51=0,IF(IF(SF_data!$C51=1,SF_data!G51,SF_data!D51)="","",IF(SF_data!$C51=1,SF_data!G51,SF_data!D51)),"")</f>
        <v/>
      </c>
      <c r="D51" s="7" t="str">
        <f>IF(SF_data!L51=0,IF(IF(SF_data!$C51=1,SF_data!H51,SF_data!E51)="","",IF(SF_data!$C51=1,SF_data!H51,SF_data!E51)),"")</f>
        <v/>
      </c>
      <c r="E51" s="7" t="str">
        <f>IF(SF_data!L51=0,IF(IF(SF_data!$C51=1,SF_data!I51,SF_data!F51)="","",IF(SF_data!$C51=1,SF_data!I51,SF_data!F51)),"")</f>
        <v/>
      </c>
      <c r="F51" s="9" t="str">
        <f>IF(SF_data!L51=0,IF(SF_data!J51="","",SF_data!J51/100),"")</f>
        <v/>
      </c>
      <c r="G51" t="str">
        <f>IF(SF_data!L51=0,IF(SF_data!K51="","",SF_data!K51),SF_data!M51)</f>
        <v/>
      </c>
    </row>
    <row r="52" spans="1:7" x14ac:dyDescent="0.2">
      <c r="A52" t="str">
        <f>IF(SF_data!A52="","",SF_data!A52)</f>
        <v/>
      </c>
      <c r="B52" s="8" t="str">
        <f>IF(A52="","",SF_data!B52)</f>
        <v/>
      </c>
      <c r="C52" s="7" t="str">
        <f>IF(SF_data!L52=0,IF(IF(SF_data!$C52=1,SF_data!G52,SF_data!D52)="","",IF(SF_data!$C52=1,SF_data!G52,SF_data!D52)),"")</f>
        <v/>
      </c>
      <c r="D52" s="7" t="str">
        <f>IF(SF_data!L52=0,IF(IF(SF_data!$C52=1,SF_data!H52,SF_data!E52)="","",IF(SF_data!$C52=1,SF_data!H52,SF_data!E52)),"")</f>
        <v/>
      </c>
      <c r="E52" s="7" t="str">
        <f>IF(SF_data!L52=0,IF(IF(SF_data!$C52=1,SF_data!I52,SF_data!F52)="","",IF(SF_data!$C52=1,SF_data!I52,SF_data!F52)),"")</f>
        <v/>
      </c>
      <c r="F52" s="9" t="str">
        <f>IF(SF_data!L52=0,IF(SF_data!J52="","",SF_data!J52/100),"")</f>
        <v/>
      </c>
      <c r="G52" t="str">
        <f>IF(SF_data!L52=0,IF(SF_data!K52="","",SF_data!K52),SF_data!M52)</f>
        <v/>
      </c>
    </row>
    <row r="53" spans="1:7" x14ac:dyDescent="0.2">
      <c r="A53" t="str">
        <f>IF(SF_data!A53="","",SF_data!A53)</f>
        <v/>
      </c>
      <c r="B53" s="8" t="str">
        <f>IF(A53="","",SF_data!B53)</f>
        <v/>
      </c>
      <c r="C53" s="7" t="str">
        <f>IF(SF_data!L53=0,IF(IF(SF_data!$C53=1,SF_data!G53,SF_data!D53)="","",IF(SF_data!$C53=1,SF_data!G53,SF_data!D53)),"")</f>
        <v/>
      </c>
      <c r="D53" s="7" t="str">
        <f>IF(SF_data!L53=0,IF(IF(SF_data!$C53=1,SF_data!H53,SF_data!E53)="","",IF(SF_data!$C53=1,SF_data!H53,SF_data!E53)),"")</f>
        <v/>
      </c>
      <c r="E53" s="7" t="str">
        <f>IF(SF_data!L53=0,IF(IF(SF_data!$C53=1,SF_data!I53,SF_data!F53)="","",IF(SF_data!$C53=1,SF_data!I53,SF_data!F53)),"")</f>
        <v/>
      </c>
      <c r="F53" s="9" t="str">
        <f>IF(SF_data!L53=0,IF(SF_data!J53="","",SF_data!J53/100),"")</f>
        <v/>
      </c>
      <c r="G53" t="str">
        <f>IF(SF_data!L53=0,IF(SF_data!K53="","",SF_data!K53),SF_data!M53)</f>
        <v/>
      </c>
    </row>
    <row r="54" spans="1:7" x14ac:dyDescent="0.2">
      <c r="A54" t="str">
        <f>IF(SF_data!A54="","",SF_data!A54)</f>
        <v/>
      </c>
      <c r="B54" s="8" t="str">
        <f>IF(A54="","",SF_data!B54)</f>
        <v/>
      </c>
      <c r="C54" s="7" t="str">
        <f>IF(SF_data!L54=0,IF(IF(SF_data!$C54=1,SF_data!G54,SF_data!D54)="","",IF(SF_data!$C54=1,SF_data!G54,SF_data!D54)),"")</f>
        <v/>
      </c>
      <c r="D54" s="7" t="str">
        <f>IF(SF_data!L54=0,IF(IF(SF_data!$C54=1,SF_data!H54,SF_data!E54)="","",IF(SF_data!$C54=1,SF_data!H54,SF_data!E54)),"")</f>
        <v/>
      </c>
      <c r="E54" s="7" t="str">
        <f>IF(SF_data!L54=0,IF(IF(SF_data!$C54=1,SF_data!I54,SF_data!F54)="","",IF(SF_data!$C54=1,SF_data!I54,SF_data!F54)),"")</f>
        <v/>
      </c>
      <c r="F54" s="9" t="str">
        <f>IF(SF_data!L54=0,IF(SF_data!J54="","",SF_data!J54/100),"")</f>
        <v/>
      </c>
      <c r="G54" t="str">
        <f>IF(SF_data!L54=0,IF(SF_data!K54="","",SF_data!K54),SF_data!M54)</f>
        <v/>
      </c>
    </row>
    <row r="55" spans="1:7" x14ac:dyDescent="0.2">
      <c r="A55" t="str">
        <f>IF(SF_data!A55="","",SF_data!A55)</f>
        <v/>
      </c>
      <c r="B55" s="8" t="str">
        <f>IF(A55="","",SF_data!B55)</f>
        <v/>
      </c>
      <c r="C55" s="7" t="str">
        <f>IF(SF_data!L55=0,IF(IF(SF_data!$C55=1,SF_data!G55,SF_data!D55)="","",IF(SF_data!$C55=1,SF_data!G55,SF_data!D55)),"")</f>
        <v/>
      </c>
      <c r="D55" s="7" t="str">
        <f>IF(SF_data!L55=0,IF(IF(SF_data!$C55=1,SF_data!H55,SF_data!E55)="","",IF(SF_data!$C55=1,SF_data!H55,SF_data!E55)),"")</f>
        <v/>
      </c>
      <c r="E55" s="7" t="str">
        <f>IF(SF_data!L55=0,IF(IF(SF_data!$C55=1,SF_data!I55,SF_data!F55)="","",IF(SF_data!$C55=1,SF_data!I55,SF_data!F55)),"")</f>
        <v/>
      </c>
      <c r="F55" s="9" t="str">
        <f>IF(SF_data!L55=0,IF(SF_data!J55="","",SF_data!J55/100),"")</f>
        <v/>
      </c>
      <c r="G55" t="str">
        <f>IF(SF_data!L55=0,IF(SF_data!K55="","",SF_data!K55),SF_data!M55)</f>
        <v/>
      </c>
    </row>
    <row r="56" spans="1:7" x14ac:dyDescent="0.2">
      <c r="A56" t="str">
        <f>IF(SF_data!A56="","",SF_data!A56)</f>
        <v/>
      </c>
      <c r="B56" s="8" t="str">
        <f>IF(A56="","",SF_data!B56)</f>
        <v/>
      </c>
      <c r="C56" s="7" t="str">
        <f>IF(SF_data!L56=0,IF(IF(SF_data!$C56=1,SF_data!G56,SF_data!D56)="","",IF(SF_data!$C56=1,SF_data!G56,SF_data!D56)),"")</f>
        <v/>
      </c>
      <c r="D56" s="7" t="str">
        <f>IF(SF_data!L56=0,IF(IF(SF_data!$C56=1,SF_data!H56,SF_data!E56)="","",IF(SF_data!$C56=1,SF_data!H56,SF_data!E56)),"")</f>
        <v/>
      </c>
      <c r="E56" s="7" t="str">
        <f>IF(SF_data!L56=0,IF(IF(SF_data!$C56=1,SF_data!I56,SF_data!F56)="","",IF(SF_data!$C56=1,SF_data!I56,SF_data!F56)),"")</f>
        <v/>
      </c>
      <c r="F56" s="9" t="str">
        <f>IF(SF_data!L56=0,IF(SF_data!J56="","",SF_data!J56/100),"")</f>
        <v/>
      </c>
      <c r="G56" t="str">
        <f>IF(SF_data!L56=0,IF(SF_data!K56="","",SF_data!K56),SF_data!M56)</f>
        <v/>
      </c>
    </row>
    <row r="57" spans="1:7" x14ac:dyDescent="0.2">
      <c r="A57" t="str">
        <f>IF(SF_data!A57="","",SF_data!A57)</f>
        <v/>
      </c>
      <c r="B57" s="8" t="str">
        <f>IF(A57="","",SF_data!B57)</f>
        <v/>
      </c>
      <c r="C57" s="7" t="str">
        <f>IF(SF_data!L57=0,IF(IF(SF_data!$C57=1,SF_data!G57,SF_data!D57)="","",IF(SF_data!$C57=1,SF_data!G57,SF_data!D57)),"")</f>
        <v/>
      </c>
      <c r="D57" s="7" t="str">
        <f>IF(SF_data!L57=0,IF(IF(SF_data!$C57=1,SF_data!H57,SF_data!E57)="","",IF(SF_data!$C57=1,SF_data!H57,SF_data!E57)),"")</f>
        <v/>
      </c>
      <c r="E57" s="7" t="str">
        <f>IF(SF_data!L57=0,IF(IF(SF_data!$C57=1,SF_data!I57,SF_data!F57)="","",IF(SF_data!$C57=1,SF_data!I57,SF_data!F57)),"")</f>
        <v/>
      </c>
      <c r="F57" s="9" t="str">
        <f>IF(SF_data!L57=0,IF(SF_data!J57="","",SF_data!J57/100),"")</f>
        <v/>
      </c>
      <c r="G57" t="str">
        <f>IF(SF_data!L57=0,IF(SF_data!K57="","",SF_data!K57),SF_data!M57)</f>
        <v/>
      </c>
    </row>
    <row r="58" spans="1:7" x14ac:dyDescent="0.2">
      <c r="A58" t="str">
        <f>IF(SF_data!A58="","",SF_data!A58)</f>
        <v/>
      </c>
      <c r="B58" s="8" t="str">
        <f>IF(A58="","",SF_data!B58)</f>
        <v/>
      </c>
      <c r="C58" s="7" t="str">
        <f>IF(SF_data!L58=0,IF(IF(SF_data!$C58=1,SF_data!G58,SF_data!D58)="","",IF(SF_data!$C58=1,SF_data!G58,SF_data!D58)),"")</f>
        <v/>
      </c>
      <c r="D58" s="7" t="str">
        <f>IF(SF_data!L58=0,IF(IF(SF_data!$C58=1,SF_data!H58,SF_data!E58)="","",IF(SF_data!$C58=1,SF_data!H58,SF_data!E58)),"")</f>
        <v/>
      </c>
      <c r="E58" s="7" t="str">
        <f>IF(SF_data!L58=0,IF(IF(SF_data!$C58=1,SF_data!I58,SF_data!F58)="","",IF(SF_data!$C58=1,SF_data!I58,SF_data!F58)),"")</f>
        <v/>
      </c>
      <c r="F58" s="9" t="str">
        <f>IF(SF_data!L58=0,IF(SF_data!J58="","",SF_data!J58/100),"")</f>
        <v/>
      </c>
      <c r="G58" t="str">
        <f>IF(SF_data!L58=0,IF(SF_data!K58="","",SF_data!K58),SF_data!M58)</f>
        <v/>
      </c>
    </row>
    <row r="59" spans="1:7" x14ac:dyDescent="0.2">
      <c r="A59" t="str">
        <f>IF(SF_data!A59="","",SF_data!A59)</f>
        <v/>
      </c>
      <c r="B59" s="8" t="str">
        <f>IF(A59="","",SF_data!B59)</f>
        <v/>
      </c>
      <c r="C59" s="7" t="str">
        <f>IF(SF_data!L59=0,IF(IF(SF_data!$C59=1,SF_data!G59,SF_data!D59)="","",IF(SF_data!$C59=1,SF_data!G59,SF_data!D59)),"")</f>
        <v/>
      </c>
      <c r="D59" s="7" t="str">
        <f>IF(SF_data!L59=0,IF(IF(SF_data!$C59=1,SF_data!H59,SF_data!E59)="","",IF(SF_data!$C59=1,SF_data!H59,SF_data!E59)),"")</f>
        <v/>
      </c>
      <c r="E59" s="7" t="str">
        <f>IF(SF_data!L59=0,IF(IF(SF_data!$C59=1,SF_data!I59,SF_data!F59)="","",IF(SF_data!$C59=1,SF_data!I59,SF_data!F59)),"")</f>
        <v/>
      </c>
      <c r="F59" s="9" t="str">
        <f>IF(SF_data!L59=0,IF(SF_data!J59="","",SF_data!J59/100),"")</f>
        <v/>
      </c>
      <c r="G59" t="str">
        <f>IF(SF_data!L59=0,IF(SF_data!K59="","",SF_data!K59),SF_data!M59)</f>
        <v/>
      </c>
    </row>
    <row r="60" spans="1:7" x14ac:dyDescent="0.2">
      <c r="A60" t="str">
        <f>IF(SF_data!A60="","",SF_data!A60)</f>
        <v/>
      </c>
      <c r="B60" s="8" t="str">
        <f>IF(A60="","",SF_data!B60)</f>
        <v/>
      </c>
      <c r="C60" s="7" t="str">
        <f>IF(SF_data!L60=0,IF(IF(SF_data!$C60=1,SF_data!G60,SF_data!D60)="","",IF(SF_data!$C60=1,SF_data!G60,SF_data!D60)),"")</f>
        <v/>
      </c>
      <c r="D60" s="7" t="str">
        <f>IF(SF_data!L60=0,IF(IF(SF_data!$C60=1,SF_data!H60,SF_data!E60)="","",IF(SF_data!$C60=1,SF_data!H60,SF_data!E60)),"")</f>
        <v/>
      </c>
      <c r="E60" s="7" t="str">
        <f>IF(SF_data!L60=0,IF(IF(SF_data!$C60=1,SF_data!I60,SF_data!F60)="","",IF(SF_data!$C60=1,SF_data!I60,SF_data!F60)),"")</f>
        <v/>
      </c>
      <c r="F60" s="9" t="str">
        <f>IF(SF_data!L60=0,IF(SF_data!J60="","",SF_data!J60/100),"")</f>
        <v/>
      </c>
      <c r="G60" t="str">
        <f>IF(SF_data!L60=0,IF(SF_data!K60="","",SF_data!K60),SF_data!M60)</f>
        <v/>
      </c>
    </row>
    <row r="61" spans="1:7" x14ac:dyDescent="0.2">
      <c r="A61" t="str">
        <f>IF(SF_data!A61="","",SF_data!A61)</f>
        <v/>
      </c>
      <c r="B61" s="8" t="str">
        <f>IF(A61="","",SF_data!B61)</f>
        <v/>
      </c>
      <c r="C61" s="7" t="str">
        <f>IF(SF_data!L61=0,IF(IF(SF_data!$C61=1,SF_data!G61,SF_data!D61)="","",IF(SF_data!$C61=1,SF_data!G61,SF_data!D61)),"")</f>
        <v/>
      </c>
      <c r="D61" s="7" t="str">
        <f>IF(SF_data!L61=0,IF(IF(SF_data!$C61=1,SF_data!H61,SF_data!E61)="","",IF(SF_data!$C61=1,SF_data!H61,SF_data!E61)),"")</f>
        <v/>
      </c>
      <c r="E61" s="7" t="str">
        <f>IF(SF_data!L61=0,IF(IF(SF_data!$C61=1,SF_data!I61,SF_data!F61)="","",IF(SF_data!$C61=1,SF_data!I61,SF_data!F61)),"")</f>
        <v/>
      </c>
      <c r="F61" s="9" t="str">
        <f>IF(SF_data!L61=0,IF(SF_data!J61="","",SF_data!J61/100),"")</f>
        <v/>
      </c>
      <c r="G61" t="str">
        <f>IF(SF_data!L61=0,IF(SF_data!K61="","",SF_data!K61),SF_data!M61)</f>
        <v/>
      </c>
    </row>
    <row r="62" spans="1:7" x14ac:dyDescent="0.2">
      <c r="A62" t="str">
        <f>IF(SF_data!A62="","",SF_data!A62)</f>
        <v/>
      </c>
      <c r="B62" s="8" t="str">
        <f>IF(A62="","",SF_data!B62)</f>
        <v/>
      </c>
      <c r="C62" s="7" t="str">
        <f>IF(SF_data!L62=0,IF(IF(SF_data!$C62=1,SF_data!G62,SF_data!D62)="","",IF(SF_data!$C62=1,SF_data!G62,SF_data!D62)),"")</f>
        <v/>
      </c>
      <c r="D62" s="7" t="str">
        <f>IF(SF_data!L62=0,IF(IF(SF_data!$C62=1,SF_data!H62,SF_data!E62)="","",IF(SF_data!$C62=1,SF_data!H62,SF_data!E62)),"")</f>
        <v/>
      </c>
      <c r="E62" s="7" t="str">
        <f>IF(SF_data!L62=0,IF(IF(SF_data!$C62=1,SF_data!I62,SF_data!F62)="","",IF(SF_data!$C62=1,SF_data!I62,SF_data!F62)),"")</f>
        <v/>
      </c>
      <c r="F62" s="9" t="str">
        <f>IF(SF_data!L62=0,IF(SF_data!J62="","",SF_data!J62/100),"")</f>
        <v/>
      </c>
      <c r="G62" t="str">
        <f>IF(SF_data!L62=0,IF(SF_data!K62="","",SF_data!K62),SF_data!M62)</f>
        <v/>
      </c>
    </row>
    <row r="63" spans="1:7" x14ac:dyDescent="0.2">
      <c r="A63" t="str">
        <f>IF(SF_data!A63="","",SF_data!A63)</f>
        <v/>
      </c>
      <c r="B63" s="8" t="str">
        <f>IF(A63="","",SF_data!B63)</f>
        <v/>
      </c>
      <c r="C63" s="7" t="str">
        <f>IF(SF_data!L63=0,IF(IF(SF_data!$C63=1,SF_data!G63,SF_data!D63)="","",IF(SF_data!$C63=1,SF_data!G63,SF_data!D63)),"")</f>
        <v/>
      </c>
      <c r="D63" s="7" t="str">
        <f>IF(SF_data!L63=0,IF(IF(SF_data!$C63=1,SF_data!H63,SF_data!E63)="","",IF(SF_data!$C63=1,SF_data!H63,SF_data!E63)),"")</f>
        <v/>
      </c>
      <c r="E63" s="7" t="str">
        <f>IF(SF_data!L63=0,IF(IF(SF_data!$C63=1,SF_data!I63,SF_data!F63)="","",IF(SF_data!$C63=1,SF_data!I63,SF_data!F63)),"")</f>
        <v/>
      </c>
      <c r="F63" s="9" t="str">
        <f>IF(SF_data!L63=0,IF(SF_data!J63="","",SF_data!J63/100),"")</f>
        <v/>
      </c>
      <c r="G63" t="str">
        <f>IF(SF_data!L63=0,IF(SF_data!K63="","",SF_data!K63),SF_data!M63)</f>
        <v/>
      </c>
    </row>
    <row r="64" spans="1:7" x14ac:dyDescent="0.2">
      <c r="A64" t="str">
        <f>IF(SF_data!A64="","",SF_data!A64)</f>
        <v/>
      </c>
      <c r="B64" s="8" t="str">
        <f>IF(A64="","",SF_data!B64)</f>
        <v/>
      </c>
      <c r="C64" s="7" t="str">
        <f>IF(SF_data!L64=0,IF(IF(SF_data!$C64=1,SF_data!G64,SF_data!D64)="","",IF(SF_data!$C64=1,SF_data!G64,SF_data!D64)),"")</f>
        <v/>
      </c>
      <c r="D64" s="7" t="str">
        <f>IF(SF_data!L64=0,IF(IF(SF_data!$C64=1,SF_data!H64,SF_data!E64)="","",IF(SF_data!$C64=1,SF_data!H64,SF_data!E64)),"")</f>
        <v/>
      </c>
      <c r="E64" s="7" t="str">
        <f>IF(SF_data!L64=0,IF(IF(SF_data!$C64=1,SF_data!I64,SF_data!F64)="","",IF(SF_data!$C64=1,SF_data!I64,SF_data!F64)),"")</f>
        <v/>
      </c>
      <c r="F64" s="9" t="str">
        <f>IF(SF_data!L64=0,IF(SF_data!J64="","",SF_data!J64/100),"")</f>
        <v/>
      </c>
      <c r="G64" t="str">
        <f>IF(SF_data!L64=0,IF(SF_data!K64="","",SF_data!K64),SF_data!M64)</f>
        <v/>
      </c>
    </row>
    <row r="65" spans="1:7" x14ac:dyDescent="0.2">
      <c r="A65" t="str">
        <f>IF(SF_data!A65="","",SF_data!A65)</f>
        <v/>
      </c>
      <c r="B65" s="8" t="str">
        <f>IF(A65="","",SF_data!B65)</f>
        <v/>
      </c>
      <c r="C65" s="7" t="str">
        <f>IF(SF_data!L65=0,IF(IF(SF_data!$C65=1,SF_data!G65,SF_data!D65)="","",IF(SF_data!$C65=1,SF_data!G65,SF_data!D65)),"")</f>
        <v/>
      </c>
      <c r="D65" s="7" t="str">
        <f>IF(SF_data!L65=0,IF(IF(SF_data!$C65=1,SF_data!H65,SF_data!E65)="","",IF(SF_data!$C65=1,SF_data!H65,SF_data!E65)),"")</f>
        <v/>
      </c>
      <c r="E65" s="7" t="str">
        <f>IF(SF_data!L65=0,IF(IF(SF_data!$C65=1,SF_data!I65,SF_data!F65)="","",IF(SF_data!$C65=1,SF_data!I65,SF_data!F65)),"")</f>
        <v/>
      </c>
      <c r="F65" s="9" t="str">
        <f>IF(SF_data!L65=0,IF(SF_data!J65="","",SF_data!J65/100),"")</f>
        <v/>
      </c>
      <c r="G65" t="str">
        <f>IF(SF_data!L65=0,IF(SF_data!K65="","",SF_data!K65),SF_data!M65)</f>
        <v/>
      </c>
    </row>
    <row r="66" spans="1:7" x14ac:dyDescent="0.2">
      <c r="A66" t="str">
        <f>IF(SF_data!A66="","",SF_data!A66)</f>
        <v/>
      </c>
      <c r="B66" s="8" t="str">
        <f>IF(A66="","",SF_data!B66)</f>
        <v/>
      </c>
      <c r="C66" s="7" t="str">
        <f>IF(SF_data!L66=0,IF(IF(SF_data!$C66=1,SF_data!G66,SF_data!D66)="","",IF(SF_data!$C66=1,SF_data!G66,SF_data!D66)),"")</f>
        <v/>
      </c>
      <c r="D66" s="7" t="str">
        <f>IF(SF_data!L66=0,IF(IF(SF_data!$C66=1,SF_data!H66,SF_data!E66)="","",IF(SF_data!$C66=1,SF_data!H66,SF_data!E66)),"")</f>
        <v/>
      </c>
      <c r="E66" s="7" t="str">
        <f>IF(SF_data!L66=0,IF(IF(SF_data!$C66=1,SF_data!I66,SF_data!F66)="","",IF(SF_data!$C66=1,SF_data!I66,SF_data!F66)),"")</f>
        <v/>
      </c>
      <c r="F66" s="9" t="str">
        <f>IF(SF_data!L66=0,IF(SF_data!J66="","",SF_data!J66/100),"")</f>
        <v/>
      </c>
      <c r="G66" t="str">
        <f>IF(SF_data!L66=0,IF(SF_data!K66="","",SF_data!K66),SF_data!M66)</f>
        <v/>
      </c>
    </row>
    <row r="67" spans="1:7" x14ac:dyDescent="0.2">
      <c r="A67" t="str">
        <f>IF(SF_data!A67="","",SF_data!A67)</f>
        <v/>
      </c>
      <c r="B67" s="8" t="str">
        <f>IF(A67="","",SF_data!B67)</f>
        <v/>
      </c>
      <c r="C67" s="7" t="str">
        <f>IF(SF_data!L67=0,IF(IF(SF_data!$C67=1,SF_data!G67,SF_data!D67)="","",IF(SF_data!$C67=1,SF_data!G67,SF_data!D67)),"")</f>
        <v/>
      </c>
      <c r="D67" s="7" t="str">
        <f>IF(SF_data!L67=0,IF(IF(SF_data!$C67=1,SF_data!H67,SF_data!E67)="","",IF(SF_data!$C67=1,SF_data!H67,SF_data!E67)),"")</f>
        <v/>
      </c>
      <c r="E67" s="7" t="str">
        <f>IF(SF_data!L67=0,IF(IF(SF_data!$C67=1,SF_data!I67,SF_data!F67)="","",IF(SF_data!$C67=1,SF_data!I67,SF_data!F67)),"")</f>
        <v/>
      </c>
      <c r="F67" s="9" t="str">
        <f>IF(SF_data!L67=0,IF(SF_data!J67="","",SF_data!J67/100),"")</f>
        <v/>
      </c>
      <c r="G67" t="str">
        <f>IF(SF_data!L67=0,IF(SF_data!K67="","",SF_data!K67),SF_data!M67)</f>
        <v/>
      </c>
    </row>
    <row r="68" spans="1:7" x14ac:dyDescent="0.2">
      <c r="A68" t="str">
        <f>IF(SF_data!A68="","",SF_data!A68)</f>
        <v/>
      </c>
      <c r="B68" s="8" t="str">
        <f>IF(A68="","",SF_data!B68)</f>
        <v/>
      </c>
      <c r="C68" s="7" t="str">
        <f>IF(SF_data!L68=0,IF(IF(SF_data!$C68=1,SF_data!G68,SF_data!D68)="","",IF(SF_data!$C68=1,SF_data!G68,SF_data!D68)),"")</f>
        <v/>
      </c>
      <c r="D68" s="7" t="str">
        <f>IF(SF_data!L68=0,IF(IF(SF_data!$C68=1,SF_data!H68,SF_data!E68)="","",IF(SF_data!$C68=1,SF_data!H68,SF_data!E68)),"")</f>
        <v/>
      </c>
      <c r="E68" s="7" t="str">
        <f>IF(SF_data!L68=0,IF(IF(SF_data!$C68=1,SF_data!I68,SF_data!F68)="","",IF(SF_data!$C68=1,SF_data!I68,SF_data!F68)),"")</f>
        <v/>
      </c>
      <c r="F68" s="9" t="str">
        <f>IF(SF_data!L68=0,IF(SF_data!J68="","",SF_data!J68/100),"")</f>
        <v/>
      </c>
      <c r="G68" t="str">
        <f>IF(SF_data!L68=0,IF(SF_data!K68="","",SF_data!K68),SF_data!M68)</f>
        <v/>
      </c>
    </row>
    <row r="69" spans="1:7" x14ac:dyDescent="0.2">
      <c r="A69" t="str">
        <f>IF(SF_data!A69="","",SF_data!A69)</f>
        <v/>
      </c>
      <c r="B69" s="8" t="str">
        <f>IF(A69="","",SF_data!B69)</f>
        <v/>
      </c>
      <c r="C69" s="7" t="str">
        <f>IF(SF_data!L69=0,IF(IF(SF_data!$C69=1,SF_data!G69,SF_data!D69)="","",IF(SF_data!$C69=1,SF_data!G69,SF_data!D69)),"")</f>
        <v/>
      </c>
      <c r="D69" s="7" t="str">
        <f>IF(SF_data!L69=0,IF(IF(SF_data!$C69=1,SF_data!H69,SF_data!E69)="","",IF(SF_data!$C69=1,SF_data!H69,SF_data!E69)),"")</f>
        <v/>
      </c>
      <c r="E69" s="7" t="str">
        <f>IF(SF_data!L69=0,IF(IF(SF_data!$C69=1,SF_data!I69,SF_data!F69)="","",IF(SF_data!$C69=1,SF_data!I69,SF_data!F69)),"")</f>
        <v/>
      </c>
      <c r="F69" s="9" t="str">
        <f>IF(SF_data!L69=0,IF(SF_data!J69="","",SF_data!J69/100),"")</f>
        <v/>
      </c>
      <c r="G69" t="str">
        <f>IF(SF_data!L69=0,IF(SF_data!K69="","",SF_data!K69),SF_data!M69)</f>
        <v/>
      </c>
    </row>
    <row r="70" spans="1:7" x14ac:dyDescent="0.2">
      <c r="A70" t="str">
        <f>IF(SF_data!A70="","",SF_data!A70)</f>
        <v/>
      </c>
      <c r="B70" s="8" t="str">
        <f>IF(A70="","",SF_data!B70)</f>
        <v/>
      </c>
      <c r="C70" s="7" t="str">
        <f>IF(SF_data!L70=0,IF(IF(SF_data!$C70=1,SF_data!G70,SF_data!D70)="","",IF(SF_data!$C70=1,SF_data!G70,SF_data!D70)),"")</f>
        <v/>
      </c>
      <c r="D70" s="7" t="str">
        <f>IF(SF_data!L70=0,IF(IF(SF_data!$C70=1,SF_data!H70,SF_data!E70)="","",IF(SF_data!$C70=1,SF_data!H70,SF_data!E70)),"")</f>
        <v/>
      </c>
      <c r="E70" s="7" t="str">
        <f>IF(SF_data!L70=0,IF(IF(SF_data!$C70=1,SF_data!I70,SF_data!F70)="","",IF(SF_data!$C70=1,SF_data!I70,SF_data!F70)),"")</f>
        <v/>
      </c>
      <c r="F70" s="9" t="str">
        <f>IF(SF_data!L70=0,IF(SF_data!J70="","",SF_data!J70/100),"")</f>
        <v/>
      </c>
      <c r="G70" t="str">
        <f>IF(SF_data!L70=0,IF(SF_data!K70="","",SF_data!K70),SF_data!M70)</f>
        <v/>
      </c>
    </row>
    <row r="71" spans="1:7" x14ac:dyDescent="0.2">
      <c r="A71" t="str">
        <f>IF(SF_data!A71="","",SF_data!A71)</f>
        <v/>
      </c>
      <c r="B71" s="8" t="str">
        <f>IF(A71="","",SF_data!B71)</f>
        <v/>
      </c>
      <c r="C71" s="7" t="str">
        <f>IF(SF_data!L71=0,IF(IF(SF_data!$C71=1,SF_data!G71,SF_data!D71)="","",IF(SF_data!$C71=1,SF_data!G71,SF_data!D71)),"")</f>
        <v/>
      </c>
      <c r="D71" s="7" t="str">
        <f>IF(SF_data!L71=0,IF(IF(SF_data!$C71=1,SF_data!H71,SF_data!E71)="","",IF(SF_data!$C71=1,SF_data!H71,SF_data!E71)),"")</f>
        <v/>
      </c>
      <c r="E71" s="7" t="str">
        <f>IF(SF_data!L71=0,IF(IF(SF_data!$C71=1,SF_data!I71,SF_data!F71)="","",IF(SF_data!$C71=1,SF_data!I71,SF_data!F71)),"")</f>
        <v/>
      </c>
      <c r="F71" s="9" t="str">
        <f>IF(SF_data!L71=0,IF(SF_data!J71="","",SF_data!J71/100),"")</f>
        <v/>
      </c>
      <c r="G71" t="str">
        <f>IF(SF_data!L71=0,IF(SF_data!K71="","",SF_data!K71),SF_data!M71)</f>
        <v/>
      </c>
    </row>
    <row r="72" spans="1:7" x14ac:dyDescent="0.2">
      <c r="A72" t="str">
        <f>IF(SF_data!A72="","",SF_data!A72)</f>
        <v/>
      </c>
      <c r="B72" s="8" t="str">
        <f>IF(A72="","",SF_data!B72)</f>
        <v/>
      </c>
      <c r="C72" s="7" t="str">
        <f>IF(SF_data!L72=0,IF(IF(SF_data!$C72=1,SF_data!G72,SF_data!D72)="","",IF(SF_data!$C72=1,SF_data!G72,SF_data!D72)),"")</f>
        <v/>
      </c>
      <c r="D72" s="7" t="str">
        <f>IF(SF_data!L72=0,IF(IF(SF_data!$C72=1,SF_data!H72,SF_data!E72)="","",IF(SF_data!$C72=1,SF_data!H72,SF_data!E72)),"")</f>
        <v/>
      </c>
      <c r="E72" s="7" t="str">
        <f>IF(SF_data!L72=0,IF(IF(SF_data!$C72=1,SF_data!I72,SF_data!F72)="","",IF(SF_data!$C72=1,SF_data!I72,SF_data!F72)),"")</f>
        <v/>
      </c>
      <c r="F72" s="9" t="str">
        <f>IF(SF_data!L72=0,IF(SF_data!J72="","",SF_data!J72/100),"")</f>
        <v/>
      </c>
      <c r="G72" t="str">
        <f>IF(SF_data!L72=0,IF(SF_data!K72="","",SF_data!K72),SF_data!M72)</f>
        <v/>
      </c>
    </row>
    <row r="73" spans="1:7" x14ac:dyDescent="0.2">
      <c r="A73" t="str">
        <f>IF(SF_data!A73="","",SF_data!A73)</f>
        <v/>
      </c>
      <c r="B73" s="8" t="str">
        <f>IF(A73="","",SF_data!B73)</f>
        <v/>
      </c>
      <c r="C73" s="7" t="str">
        <f>IF(SF_data!L73=0,IF(IF(SF_data!$C73=1,SF_data!G73,SF_data!D73)="","",IF(SF_data!$C73=1,SF_data!G73,SF_data!D73)),"")</f>
        <v/>
      </c>
      <c r="D73" s="7" t="str">
        <f>IF(SF_data!L73=0,IF(IF(SF_data!$C73=1,SF_data!H73,SF_data!E73)="","",IF(SF_data!$C73=1,SF_data!H73,SF_data!E73)),"")</f>
        <v/>
      </c>
      <c r="E73" s="7" t="str">
        <f>IF(SF_data!L73=0,IF(IF(SF_data!$C73=1,SF_data!I73,SF_data!F73)="","",IF(SF_data!$C73=1,SF_data!I73,SF_data!F73)),"")</f>
        <v/>
      </c>
      <c r="F73" s="9" t="str">
        <f>IF(SF_data!L73=0,IF(SF_data!J73="","",SF_data!J73/100),"")</f>
        <v/>
      </c>
      <c r="G73" t="str">
        <f>IF(SF_data!L73=0,IF(SF_data!K73="","",SF_data!K73),SF_data!M73)</f>
        <v/>
      </c>
    </row>
    <row r="74" spans="1:7" x14ac:dyDescent="0.2">
      <c r="A74" t="str">
        <f>IF(SF_data!A74="","",SF_data!A74)</f>
        <v/>
      </c>
      <c r="B74" s="8" t="str">
        <f>IF(A74="","",SF_data!B74)</f>
        <v/>
      </c>
      <c r="C74" s="7" t="str">
        <f>IF(SF_data!L74=0,IF(IF(SF_data!$C74=1,SF_data!G74,SF_data!D74)="","",IF(SF_data!$C74=1,SF_data!G74,SF_data!D74)),"")</f>
        <v/>
      </c>
      <c r="D74" s="7" t="str">
        <f>IF(SF_data!L74=0,IF(IF(SF_data!$C74=1,SF_data!H74,SF_data!E74)="","",IF(SF_data!$C74=1,SF_data!H74,SF_data!E74)),"")</f>
        <v/>
      </c>
      <c r="E74" s="7" t="str">
        <f>IF(SF_data!L74=0,IF(IF(SF_data!$C74=1,SF_data!I74,SF_data!F74)="","",IF(SF_data!$C74=1,SF_data!I74,SF_data!F74)),"")</f>
        <v/>
      </c>
      <c r="F74" s="9" t="str">
        <f>IF(SF_data!L74=0,IF(SF_data!J74="","",SF_data!J74/100),"")</f>
        <v/>
      </c>
      <c r="G74" t="str">
        <f>IF(SF_data!L74=0,IF(SF_data!K74="","",SF_data!K74),SF_data!M74)</f>
        <v/>
      </c>
    </row>
    <row r="75" spans="1:7" x14ac:dyDescent="0.2">
      <c r="A75" t="str">
        <f>IF(SF_data!A75="","",SF_data!A75)</f>
        <v/>
      </c>
      <c r="B75" s="8" t="str">
        <f>IF(A75="","",SF_data!B75)</f>
        <v/>
      </c>
      <c r="C75" s="7" t="str">
        <f>IF(SF_data!L75=0,IF(IF(SF_data!$C75=1,SF_data!G75,SF_data!D75)="","",IF(SF_data!$C75=1,SF_data!G75,SF_data!D75)),"")</f>
        <v/>
      </c>
      <c r="D75" s="7" t="str">
        <f>IF(SF_data!L75=0,IF(IF(SF_data!$C75=1,SF_data!H75,SF_data!E75)="","",IF(SF_data!$C75=1,SF_data!H75,SF_data!E75)),"")</f>
        <v/>
      </c>
      <c r="E75" s="7" t="str">
        <f>IF(SF_data!L75=0,IF(IF(SF_data!$C75=1,SF_data!I75,SF_data!F75)="","",IF(SF_data!$C75=1,SF_data!I75,SF_data!F75)),"")</f>
        <v/>
      </c>
      <c r="F75" s="9" t="str">
        <f>IF(SF_data!L75=0,IF(SF_data!J75="","",SF_data!J75/100),"")</f>
        <v/>
      </c>
      <c r="G75" t="str">
        <f>IF(SF_data!L75=0,IF(SF_data!K75="","",SF_data!K75),SF_data!M75)</f>
        <v/>
      </c>
    </row>
    <row r="76" spans="1:7" x14ac:dyDescent="0.2">
      <c r="A76" t="str">
        <f>IF(SF_data!A76="","",SF_data!A76)</f>
        <v/>
      </c>
      <c r="B76" s="8" t="str">
        <f>IF(A76="","",SF_data!B76)</f>
        <v/>
      </c>
      <c r="C76" s="7" t="str">
        <f>IF(SF_data!L76=0,IF(IF(SF_data!$C76=1,SF_data!G76,SF_data!D76)="","",IF(SF_data!$C76=1,SF_data!G76,SF_data!D76)),"")</f>
        <v/>
      </c>
      <c r="D76" s="7" t="str">
        <f>IF(SF_data!L76=0,IF(IF(SF_data!$C76=1,SF_data!H76,SF_data!E76)="","",IF(SF_data!$C76=1,SF_data!H76,SF_data!E76)),"")</f>
        <v/>
      </c>
      <c r="E76" s="7" t="str">
        <f>IF(SF_data!L76=0,IF(IF(SF_data!$C76=1,SF_data!I76,SF_data!F76)="","",IF(SF_data!$C76=1,SF_data!I76,SF_data!F76)),"")</f>
        <v/>
      </c>
      <c r="F76" s="9" t="str">
        <f>IF(SF_data!L76=0,IF(SF_data!J76="","",SF_data!J76/100),"")</f>
        <v/>
      </c>
      <c r="G76" t="str">
        <f>IF(SF_data!L76=0,IF(SF_data!K76="","",SF_data!K76),SF_data!M76)</f>
        <v/>
      </c>
    </row>
    <row r="77" spans="1:7" x14ac:dyDescent="0.2">
      <c r="A77" t="str">
        <f>IF(SF_data!A77="","",SF_data!A77)</f>
        <v/>
      </c>
      <c r="B77" s="8" t="str">
        <f>IF(A77="","",SF_data!B77)</f>
        <v/>
      </c>
      <c r="C77" s="7" t="str">
        <f>IF(SF_data!L77=0,IF(IF(SF_data!$C77=1,SF_data!G77,SF_data!D77)="","",IF(SF_data!$C77=1,SF_data!G77,SF_data!D77)),"")</f>
        <v/>
      </c>
      <c r="D77" s="7" t="str">
        <f>IF(SF_data!L77=0,IF(IF(SF_data!$C77=1,SF_data!H77,SF_data!E77)="","",IF(SF_data!$C77=1,SF_data!H77,SF_data!E77)),"")</f>
        <v/>
      </c>
      <c r="E77" s="7" t="str">
        <f>IF(SF_data!L77=0,IF(IF(SF_data!$C77=1,SF_data!I77,SF_data!F77)="","",IF(SF_data!$C77=1,SF_data!I77,SF_data!F77)),"")</f>
        <v/>
      </c>
      <c r="F77" s="9" t="str">
        <f>IF(SF_data!L77=0,IF(SF_data!J77="","",SF_data!J77/100),"")</f>
        <v/>
      </c>
      <c r="G77" t="str">
        <f>IF(SF_data!L77=0,IF(SF_data!K77="","",SF_data!K77),SF_data!M77)</f>
        <v/>
      </c>
    </row>
    <row r="78" spans="1:7" x14ac:dyDescent="0.2">
      <c r="A78" t="str">
        <f>IF(SF_data!A78="","",SF_data!A78)</f>
        <v/>
      </c>
      <c r="B78" s="8" t="str">
        <f>IF(A78="","",SF_data!B78)</f>
        <v/>
      </c>
      <c r="C78" s="7" t="str">
        <f>IF(SF_data!L78=0,IF(IF(SF_data!$C78=1,SF_data!G78,SF_data!D78)="","",IF(SF_data!$C78=1,SF_data!G78,SF_data!D78)),"")</f>
        <v/>
      </c>
      <c r="D78" s="7" t="str">
        <f>IF(SF_data!L78=0,IF(IF(SF_data!$C78=1,SF_data!H78,SF_data!E78)="","",IF(SF_data!$C78=1,SF_data!H78,SF_data!E78)),"")</f>
        <v/>
      </c>
      <c r="E78" s="7" t="str">
        <f>IF(SF_data!L78=0,IF(IF(SF_data!$C78=1,SF_data!I78,SF_data!F78)="","",IF(SF_data!$C78=1,SF_data!I78,SF_data!F78)),"")</f>
        <v/>
      </c>
      <c r="F78" s="9" t="str">
        <f>IF(SF_data!L78=0,IF(SF_data!J78="","",SF_data!J78/100),"")</f>
        <v/>
      </c>
      <c r="G78" t="str">
        <f>IF(SF_data!L78=0,IF(SF_data!K78="","",SF_data!K78),SF_data!M78)</f>
        <v/>
      </c>
    </row>
    <row r="79" spans="1:7" x14ac:dyDescent="0.2">
      <c r="A79" t="str">
        <f>IF(SF_data!A79="","",SF_data!A79)</f>
        <v/>
      </c>
      <c r="B79" s="8" t="str">
        <f>IF(A79="","",SF_data!B79)</f>
        <v/>
      </c>
      <c r="C79" s="7" t="str">
        <f>IF(SF_data!L79=0,IF(IF(SF_data!$C79=1,SF_data!G79,SF_data!D79)="","",IF(SF_data!$C79=1,SF_data!G79,SF_data!D79)),"")</f>
        <v/>
      </c>
      <c r="D79" s="7" t="str">
        <f>IF(SF_data!L79=0,IF(IF(SF_data!$C79=1,SF_data!H79,SF_data!E79)="","",IF(SF_data!$C79=1,SF_data!H79,SF_data!E79)),"")</f>
        <v/>
      </c>
      <c r="E79" s="7" t="str">
        <f>IF(SF_data!L79=0,IF(IF(SF_data!$C79=1,SF_data!I79,SF_data!F79)="","",IF(SF_data!$C79=1,SF_data!I79,SF_data!F79)),"")</f>
        <v/>
      </c>
      <c r="F79" s="9" t="str">
        <f>IF(SF_data!L79=0,IF(SF_data!J79="","",SF_data!J79/100),"")</f>
        <v/>
      </c>
      <c r="G79" t="str">
        <f>IF(SF_data!L79=0,IF(SF_data!K79="","",SF_data!K79),SF_data!M79)</f>
        <v/>
      </c>
    </row>
    <row r="80" spans="1:7" x14ac:dyDescent="0.2">
      <c r="A80" t="str">
        <f>IF(SF_data!A80="","",SF_data!A80)</f>
        <v/>
      </c>
      <c r="B80" s="8" t="str">
        <f>IF(A80="","",SF_data!B80)</f>
        <v/>
      </c>
      <c r="C80" s="7" t="str">
        <f>IF(SF_data!L80=0,IF(IF(SF_data!$C80=1,SF_data!G80,SF_data!D80)="","",IF(SF_data!$C80=1,SF_data!G80,SF_data!D80)),"")</f>
        <v/>
      </c>
      <c r="D80" s="7" t="str">
        <f>IF(SF_data!L80=0,IF(IF(SF_data!$C80=1,SF_data!H80,SF_data!E80)="","",IF(SF_data!$C80=1,SF_data!H80,SF_data!E80)),"")</f>
        <v/>
      </c>
      <c r="E80" s="7" t="str">
        <f>IF(SF_data!L80=0,IF(IF(SF_data!$C80=1,SF_data!I80,SF_data!F80)="","",IF(SF_data!$C80=1,SF_data!I80,SF_data!F80)),"")</f>
        <v/>
      </c>
      <c r="F80" s="9" t="str">
        <f>IF(SF_data!L80=0,IF(SF_data!J80="","",SF_data!J80/100),"")</f>
        <v/>
      </c>
      <c r="G80" t="str">
        <f>IF(SF_data!L80=0,IF(SF_data!K80="","",SF_data!K80),SF_data!M80)</f>
        <v/>
      </c>
    </row>
    <row r="81" spans="1:7" x14ac:dyDescent="0.2">
      <c r="A81" t="str">
        <f>IF(SF_data!A81="","",SF_data!A81)</f>
        <v/>
      </c>
      <c r="B81" s="8" t="str">
        <f>IF(A81="","",SF_data!B81)</f>
        <v/>
      </c>
      <c r="C81" s="7" t="str">
        <f>IF(SF_data!L81=0,IF(IF(SF_data!$C81=1,SF_data!G81,SF_data!D81)="","",IF(SF_data!$C81=1,SF_data!G81,SF_data!D81)),"")</f>
        <v/>
      </c>
      <c r="D81" s="7" t="str">
        <f>IF(SF_data!L81=0,IF(IF(SF_data!$C81=1,SF_data!H81,SF_data!E81)="","",IF(SF_data!$C81=1,SF_data!H81,SF_data!E81)),"")</f>
        <v/>
      </c>
      <c r="E81" s="7" t="str">
        <f>IF(SF_data!L81=0,IF(IF(SF_data!$C81=1,SF_data!I81,SF_data!F81)="","",IF(SF_data!$C81=1,SF_data!I81,SF_data!F81)),"")</f>
        <v/>
      </c>
      <c r="F81" s="9" t="str">
        <f>IF(SF_data!L81=0,IF(SF_data!J81="","",SF_data!J81/100),"")</f>
        <v/>
      </c>
      <c r="G81" t="str">
        <f>IF(SF_data!L81=0,IF(SF_data!K81="","",SF_data!K81),SF_data!M81)</f>
        <v/>
      </c>
    </row>
    <row r="82" spans="1:7" x14ac:dyDescent="0.2">
      <c r="A82" t="str">
        <f>IF(SF_data!A82="","",SF_data!A82)</f>
        <v/>
      </c>
      <c r="B82" s="8" t="str">
        <f>IF(A82="","",SF_data!B82)</f>
        <v/>
      </c>
      <c r="C82" s="7" t="str">
        <f>IF(SF_data!L82=0,IF(IF(SF_data!$C82=1,SF_data!G82,SF_data!D82)="","",IF(SF_data!$C82=1,SF_data!G82,SF_data!D82)),"")</f>
        <v/>
      </c>
      <c r="D82" s="7" t="str">
        <f>IF(SF_data!L82=0,IF(IF(SF_data!$C82=1,SF_data!H82,SF_data!E82)="","",IF(SF_data!$C82=1,SF_data!H82,SF_data!E82)),"")</f>
        <v/>
      </c>
      <c r="E82" s="7" t="str">
        <f>IF(SF_data!L82=0,IF(IF(SF_data!$C82=1,SF_data!I82,SF_data!F82)="","",IF(SF_data!$C82=1,SF_data!I82,SF_data!F82)),"")</f>
        <v/>
      </c>
      <c r="F82" s="9" t="str">
        <f>IF(SF_data!L82=0,IF(SF_data!J82="","",SF_data!J82/100),"")</f>
        <v/>
      </c>
      <c r="G82" t="str">
        <f>IF(SF_data!L82=0,IF(SF_data!K82="","",SF_data!K82),SF_data!M82)</f>
        <v/>
      </c>
    </row>
    <row r="83" spans="1:7" x14ac:dyDescent="0.2">
      <c r="A83" t="str">
        <f>IF(SF_data!A83="","",SF_data!A83)</f>
        <v/>
      </c>
      <c r="B83" s="8" t="str">
        <f>IF(A83="","",SF_data!B83)</f>
        <v/>
      </c>
      <c r="C83" s="7" t="str">
        <f>IF(SF_data!L83=0,IF(IF(SF_data!$C83=1,SF_data!G83,SF_data!D83)="","",IF(SF_data!$C83=1,SF_data!G83,SF_data!D83)),"")</f>
        <v/>
      </c>
      <c r="D83" s="7" t="str">
        <f>IF(SF_data!L83=0,IF(IF(SF_data!$C83=1,SF_data!H83,SF_data!E83)="","",IF(SF_data!$C83=1,SF_data!H83,SF_data!E83)),"")</f>
        <v/>
      </c>
      <c r="E83" s="7" t="str">
        <f>IF(SF_data!L83=0,IF(IF(SF_data!$C83=1,SF_data!I83,SF_data!F83)="","",IF(SF_data!$C83=1,SF_data!I83,SF_data!F83)),"")</f>
        <v/>
      </c>
      <c r="F83" s="9" t="str">
        <f>IF(SF_data!L83=0,IF(SF_data!J83="","",SF_data!J83/100),"")</f>
        <v/>
      </c>
      <c r="G83" t="str">
        <f>IF(SF_data!L83=0,IF(SF_data!K83="","",SF_data!K83),SF_data!M83)</f>
        <v/>
      </c>
    </row>
    <row r="84" spans="1:7" x14ac:dyDescent="0.2">
      <c r="A84" t="str">
        <f>IF(SF_data!A84="","",SF_data!A84)</f>
        <v/>
      </c>
      <c r="B84" s="8" t="str">
        <f>IF(A84="","",SF_data!B84)</f>
        <v/>
      </c>
      <c r="C84" s="7" t="str">
        <f>IF(SF_data!L84=0,IF(IF(SF_data!$C84=1,SF_data!G84,SF_data!D84)="","",IF(SF_data!$C84=1,SF_data!G84,SF_data!D84)),"")</f>
        <v/>
      </c>
      <c r="D84" s="7" t="str">
        <f>IF(SF_data!L84=0,IF(IF(SF_data!$C84=1,SF_data!H84,SF_data!E84)="","",IF(SF_data!$C84=1,SF_data!H84,SF_data!E84)),"")</f>
        <v/>
      </c>
      <c r="E84" s="7" t="str">
        <f>IF(SF_data!L84=0,IF(IF(SF_data!$C84=1,SF_data!I84,SF_data!F84)="","",IF(SF_data!$C84=1,SF_data!I84,SF_data!F84)),"")</f>
        <v/>
      </c>
      <c r="F84" s="9" t="str">
        <f>IF(SF_data!L84=0,IF(SF_data!J84="","",SF_data!J84/100),"")</f>
        <v/>
      </c>
      <c r="G84" t="str">
        <f>IF(SF_data!L84=0,IF(SF_data!K84="","",SF_data!K84),SF_data!M84)</f>
        <v/>
      </c>
    </row>
    <row r="85" spans="1:7" x14ac:dyDescent="0.2">
      <c r="A85" t="str">
        <f>IF(SF_data!A85="","",SF_data!A85)</f>
        <v/>
      </c>
      <c r="B85" s="8" t="str">
        <f>IF(A85="","",SF_data!B85)</f>
        <v/>
      </c>
      <c r="C85" s="7" t="str">
        <f>IF(SF_data!L85=0,IF(IF(SF_data!$C85=1,SF_data!G85,SF_data!D85)="","",IF(SF_data!$C85=1,SF_data!G85,SF_data!D85)),"")</f>
        <v/>
      </c>
      <c r="D85" s="7" t="str">
        <f>IF(SF_data!L85=0,IF(IF(SF_data!$C85=1,SF_data!H85,SF_data!E85)="","",IF(SF_data!$C85=1,SF_data!H85,SF_data!E85)),"")</f>
        <v/>
      </c>
      <c r="E85" s="7" t="str">
        <f>IF(SF_data!L85=0,IF(IF(SF_data!$C85=1,SF_data!I85,SF_data!F85)="","",IF(SF_data!$C85=1,SF_data!I85,SF_data!F85)),"")</f>
        <v/>
      </c>
      <c r="F85" s="9" t="str">
        <f>IF(SF_data!L85=0,IF(SF_data!J85="","",SF_data!J85/100),"")</f>
        <v/>
      </c>
      <c r="G85" t="str">
        <f>IF(SF_data!L85=0,IF(SF_data!K85="","",SF_data!K85),SF_data!M85)</f>
        <v/>
      </c>
    </row>
    <row r="86" spans="1:7" x14ac:dyDescent="0.2">
      <c r="A86" t="str">
        <f>IF(SF_data!A86="","",SF_data!A86)</f>
        <v/>
      </c>
      <c r="B86" s="8" t="str">
        <f>IF(A86="","",SF_data!B86)</f>
        <v/>
      </c>
      <c r="C86" s="7" t="str">
        <f>IF(SF_data!L86=0,IF(IF(SF_data!$C86=1,SF_data!G86,SF_data!D86)="","",IF(SF_data!$C86=1,SF_data!G86,SF_data!D86)),"")</f>
        <v/>
      </c>
      <c r="D86" s="7" t="str">
        <f>IF(SF_data!L86=0,IF(IF(SF_data!$C86=1,SF_data!H86,SF_data!E86)="","",IF(SF_data!$C86=1,SF_data!H86,SF_data!E86)),"")</f>
        <v/>
      </c>
      <c r="E86" s="7" t="str">
        <f>IF(SF_data!L86=0,IF(IF(SF_data!$C86=1,SF_data!I86,SF_data!F86)="","",IF(SF_data!$C86=1,SF_data!I86,SF_data!F86)),"")</f>
        <v/>
      </c>
      <c r="F86" s="9" t="str">
        <f>IF(SF_data!L86=0,IF(SF_data!J86="","",SF_data!J86/100),"")</f>
        <v/>
      </c>
      <c r="G86" t="str">
        <f>IF(SF_data!L86=0,IF(SF_data!K86="","",SF_data!K86),SF_data!M86)</f>
        <v/>
      </c>
    </row>
    <row r="87" spans="1:7" x14ac:dyDescent="0.2">
      <c r="A87" t="str">
        <f>IF(SF_data!A87="","",SF_data!A87)</f>
        <v/>
      </c>
      <c r="B87" s="8" t="str">
        <f>IF(A87="","",SF_data!B87)</f>
        <v/>
      </c>
      <c r="C87" s="7" t="str">
        <f>IF(SF_data!L87=0,IF(IF(SF_data!$C87=1,SF_data!G87,SF_data!D87)="","",IF(SF_data!$C87=1,SF_data!G87,SF_data!D87)),"")</f>
        <v/>
      </c>
      <c r="D87" s="7" t="str">
        <f>IF(SF_data!L87=0,IF(IF(SF_data!$C87=1,SF_data!H87,SF_data!E87)="","",IF(SF_data!$C87=1,SF_data!H87,SF_data!E87)),"")</f>
        <v/>
      </c>
      <c r="E87" s="7" t="str">
        <f>IF(SF_data!L87=0,IF(IF(SF_data!$C87=1,SF_data!I87,SF_data!F87)="","",IF(SF_data!$C87=1,SF_data!I87,SF_data!F87)),"")</f>
        <v/>
      </c>
      <c r="F87" s="9" t="str">
        <f>IF(SF_data!L87=0,IF(SF_data!J87="","",SF_data!J87/100),"")</f>
        <v/>
      </c>
      <c r="G87" t="str">
        <f>IF(SF_data!L87=0,IF(SF_data!K87="","",SF_data!K87),SF_data!M87)</f>
        <v/>
      </c>
    </row>
    <row r="88" spans="1:7" x14ac:dyDescent="0.2">
      <c r="A88" t="str">
        <f>IF(SF_data!A88="","",SF_data!A88)</f>
        <v/>
      </c>
      <c r="B88" s="8" t="str">
        <f>IF(A88="","",SF_data!B88)</f>
        <v/>
      </c>
      <c r="C88" s="7" t="str">
        <f>IF(SF_data!L88=0,IF(IF(SF_data!$C88=1,SF_data!G88,SF_data!D88)="","",IF(SF_data!$C88=1,SF_data!G88,SF_data!D88)),"")</f>
        <v/>
      </c>
      <c r="D88" s="7" t="str">
        <f>IF(SF_data!L88=0,IF(IF(SF_data!$C88=1,SF_data!H88,SF_data!E88)="","",IF(SF_data!$C88=1,SF_data!H88,SF_data!E88)),"")</f>
        <v/>
      </c>
      <c r="E88" s="7" t="str">
        <f>IF(SF_data!L88=0,IF(IF(SF_data!$C88=1,SF_data!I88,SF_data!F88)="","",IF(SF_data!$C88=1,SF_data!I88,SF_data!F88)),"")</f>
        <v/>
      </c>
      <c r="F88" s="9" t="str">
        <f>IF(SF_data!L88=0,IF(SF_data!J88="","",SF_data!J88/100),"")</f>
        <v/>
      </c>
      <c r="G88" t="str">
        <f>IF(SF_data!L88=0,IF(SF_data!K88="","",SF_data!K88),SF_data!M88)</f>
        <v/>
      </c>
    </row>
    <row r="89" spans="1:7" x14ac:dyDescent="0.2">
      <c r="A89" t="str">
        <f>IF(SF_data!A89="","",SF_data!A89)</f>
        <v/>
      </c>
      <c r="B89" s="8" t="str">
        <f>IF(A89="","",SF_data!B89)</f>
        <v/>
      </c>
      <c r="C89" s="7" t="str">
        <f>IF(SF_data!L89=0,IF(IF(SF_data!$C89=1,SF_data!G89,SF_data!D89)="","",IF(SF_data!$C89=1,SF_data!G89,SF_data!D89)),"")</f>
        <v/>
      </c>
      <c r="D89" s="7" t="str">
        <f>IF(SF_data!L89=0,IF(IF(SF_data!$C89=1,SF_data!H89,SF_data!E89)="","",IF(SF_data!$C89=1,SF_data!H89,SF_data!E89)),"")</f>
        <v/>
      </c>
      <c r="E89" s="7" t="str">
        <f>IF(SF_data!L89=0,IF(IF(SF_data!$C89=1,SF_data!I89,SF_data!F89)="","",IF(SF_data!$C89=1,SF_data!I89,SF_data!F89)),"")</f>
        <v/>
      </c>
      <c r="F89" s="9" t="str">
        <f>IF(SF_data!L89=0,IF(SF_data!J89="","",SF_data!J89/100),"")</f>
        <v/>
      </c>
      <c r="G89" t="str">
        <f>IF(SF_data!L89=0,IF(SF_data!K89="","",SF_data!K89),SF_data!M89)</f>
        <v/>
      </c>
    </row>
    <row r="90" spans="1:7" x14ac:dyDescent="0.2">
      <c r="A90" t="str">
        <f>IF(SF_data!A90="","",SF_data!A90)</f>
        <v/>
      </c>
      <c r="B90" s="8" t="str">
        <f>IF(A90="","",SF_data!B90)</f>
        <v/>
      </c>
      <c r="C90" s="7" t="str">
        <f>IF(SF_data!L90=0,IF(IF(SF_data!$C90=1,SF_data!G90,SF_data!D90)="","",IF(SF_data!$C90=1,SF_data!G90,SF_data!D90)),"")</f>
        <v/>
      </c>
      <c r="D90" s="7" t="str">
        <f>IF(SF_data!L90=0,IF(IF(SF_data!$C90=1,SF_data!H90,SF_data!E90)="","",IF(SF_data!$C90=1,SF_data!H90,SF_data!E90)),"")</f>
        <v/>
      </c>
      <c r="E90" s="7" t="str">
        <f>IF(SF_data!L90=0,IF(IF(SF_data!$C90=1,SF_data!I90,SF_data!F90)="","",IF(SF_data!$C90=1,SF_data!I90,SF_data!F90)),"")</f>
        <v/>
      </c>
      <c r="F90" s="9" t="str">
        <f>IF(SF_data!L90=0,IF(SF_data!J90="","",SF_data!J90/100),"")</f>
        <v/>
      </c>
      <c r="G90" t="str">
        <f>IF(SF_data!L90=0,IF(SF_data!K90="","",SF_data!K90),SF_data!M90)</f>
        <v/>
      </c>
    </row>
    <row r="91" spans="1:7" x14ac:dyDescent="0.2">
      <c r="A91" t="str">
        <f>IF(SF_data!A91="","",SF_data!A91)</f>
        <v/>
      </c>
      <c r="B91" s="8" t="str">
        <f>IF(A91="","",SF_data!B91)</f>
        <v/>
      </c>
      <c r="C91" s="7" t="str">
        <f>IF(SF_data!L91=0,IF(IF(SF_data!$C91=1,SF_data!G91,SF_data!D91)="","",IF(SF_data!$C91=1,SF_data!G91,SF_data!D91)),"")</f>
        <v/>
      </c>
      <c r="D91" s="7" t="str">
        <f>IF(SF_data!L91=0,IF(IF(SF_data!$C91=1,SF_data!H91,SF_data!E91)="","",IF(SF_data!$C91=1,SF_data!H91,SF_data!E91)),"")</f>
        <v/>
      </c>
      <c r="E91" s="7" t="str">
        <f>IF(SF_data!L91=0,IF(IF(SF_data!$C91=1,SF_data!I91,SF_data!F91)="","",IF(SF_data!$C91=1,SF_data!I91,SF_data!F91)),"")</f>
        <v/>
      </c>
      <c r="F91" s="9" t="str">
        <f>IF(SF_data!L91=0,IF(SF_data!J91="","",SF_data!J91/100),"")</f>
        <v/>
      </c>
      <c r="G91" t="str">
        <f>IF(SF_data!L91=0,IF(SF_data!K91="","",SF_data!K91),SF_data!M91)</f>
        <v/>
      </c>
    </row>
    <row r="92" spans="1:7" x14ac:dyDescent="0.2">
      <c r="A92" t="str">
        <f>IF(SF_data!A92="","",SF_data!A92)</f>
        <v/>
      </c>
      <c r="B92" s="8" t="str">
        <f>IF(A92="","",SF_data!B92)</f>
        <v/>
      </c>
      <c r="C92" s="7" t="str">
        <f>IF(SF_data!L92=0,IF(IF(SF_data!$C92=1,SF_data!G92,SF_data!D92)="","",IF(SF_data!$C92=1,SF_data!G92,SF_data!D92)),"")</f>
        <v/>
      </c>
      <c r="D92" s="7" t="str">
        <f>IF(SF_data!L92=0,IF(IF(SF_data!$C92=1,SF_data!H92,SF_data!E92)="","",IF(SF_data!$C92=1,SF_data!H92,SF_data!E92)),"")</f>
        <v/>
      </c>
      <c r="E92" s="7" t="str">
        <f>IF(SF_data!L92=0,IF(IF(SF_data!$C92=1,SF_data!I92,SF_data!F92)="","",IF(SF_data!$C92=1,SF_data!I92,SF_data!F92)),"")</f>
        <v/>
      </c>
      <c r="F92" s="9" t="str">
        <f>IF(SF_data!L92=0,IF(SF_data!J92="","",SF_data!J92/100),"")</f>
        <v/>
      </c>
      <c r="G92" t="str">
        <f>IF(SF_data!L92=0,IF(SF_data!K92="","",SF_data!K92),SF_data!M92)</f>
        <v/>
      </c>
    </row>
    <row r="93" spans="1:7" x14ac:dyDescent="0.2">
      <c r="A93" t="str">
        <f>IF(SF_data!A93="","",SF_data!A93)</f>
        <v/>
      </c>
      <c r="B93" s="8" t="str">
        <f>IF(A93="","",SF_data!B93)</f>
        <v/>
      </c>
      <c r="C93" s="7" t="str">
        <f>IF(SF_data!L93=0,IF(IF(SF_data!$C93=1,SF_data!G93,SF_data!D93)="","",IF(SF_data!$C93=1,SF_data!G93,SF_data!D93)),"")</f>
        <v/>
      </c>
      <c r="D93" s="7" t="str">
        <f>IF(SF_data!L93=0,IF(IF(SF_data!$C93=1,SF_data!H93,SF_data!E93)="","",IF(SF_data!$C93=1,SF_data!H93,SF_data!E93)),"")</f>
        <v/>
      </c>
      <c r="E93" s="7" t="str">
        <f>IF(SF_data!L93=0,IF(IF(SF_data!$C93=1,SF_data!I93,SF_data!F93)="","",IF(SF_data!$C93=1,SF_data!I93,SF_data!F93)),"")</f>
        <v/>
      </c>
      <c r="F93" s="9" t="str">
        <f>IF(SF_data!L93=0,IF(SF_data!J93="","",SF_data!J93/100),"")</f>
        <v/>
      </c>
      <c r="G93" t="str">
        <f>IF(SF_data!L93=0,IF(SF_data!K93="","",SF_data!K93),SF_data!M93)</f>
        <v/>
      </c>
    </row>
    <row r="94" spans="1:7" x14ac:dyDescent="0.2">
      <c r="A94" t="str">
        <f>IF(SF_data!A94="","",SF_data!A94)</f>
        <v/>
      </c>
      <c r="B94" s="8" t="str">
        <f>IF(A94="","",SF_data!B94)</f>
        <v/>
      </c>
      <c r="C94" s="7" t="str">
        <f>IF(SF_data!L94=0,IF(IF(SF_data!$C94=1,SF_data!G94,SF_data!D94)="","",IF(SF_data!$C94=1,SF_data!G94,SF_data!D94)),"")</f>
        <v/>
      </c>
      <c r="D94" s="7" t="str">
        <f>IF(SF_data!L94=0,IF(IF(SF_data!$C94=1,SF_data!H94,SF_data!E94)="","",IF(SF_data!$C94=1,SF_data!H94,SF_data!E94)),"")</f>
        <v/>
      </c>
      <c r="E94" s="7" t="str">
        <f>IF(SF_data!L94=0,IF(IF(SF_data!$C94=1,SF_data!I94,SF_data!F94)="","",IF(SF_data!$C94=1,SF_data!I94,SF_data!F94)),"")</f>
        <v/>
      </c>
      <c r="F94" s="9" t="str">
        <f>IF(SF_data!L94=0,IF(SF_data!J94="","",SF_data!J94/100),"")</f>
        <v/>
      </c>
      <c r="G94" t="str">
        <f>IF(SF_data!L94=0,IF(SF_data!K94="","",SF_data!K94),SF_data!M94)</f>
        <v/>
      </c>
    </row>
    <row r="95" spans="1:7" x14ac:dyDescent="0.2">
      <c r="A95" t="str">
        <f>IF(SF_data!A95="","",SF_data!A95)</f>
        <v/>
      </c>
      <c r="B95" s="8" t="str">
        <f>IF(A95="","",SF_data!B95)</f>
        <v/>
      </c>
      <c r="C95" s="7" t="str">
        <f>IF(SF_data!L95=0,IF(IF(SF_data!$C95=1,SF_data!G95,SF_data!D95)="","",IF(SF_data!$C95=1,SF_data!G95,SF_data!D95)),"")</f>
        <v/>
      </c>
      <c r="D95" s="7" t="str">
        <f>IF(SF_data!L95=0,IF(IF(SF_data!$C95=1,SF_data!H95,SF_data!E95)="","",IF(SF_data!$C95=1,SF_data!H95,SF_data!E95)),"")</f>
        <v/>
      </c>
      <c r="E95" s="7" t="str">
        <f>IF(SF_data!L95=0,IF(IF(SF_data!$C95=1,SF_data!I95,SF_data!F95)="","",IF(SF_data!$C95=1,SF_data!I95,SF_data!F95)),"")</f>
        <v/>
      </c>
      <c r="F95" s="9" t="str">
        <f>IF(SF_data!L95=0,IF(SF_data!J95="","",SF_data!J95/100),"")</f>
        <v/>
      </c>
      <c r="G95" t="str">
        <f>IF(SF_data!L95=0,IF(SF_data!K95="","",SF_data!K95),SF_data!M95)</f>
        <v/>
      </c>
    </row>
    <row r="96" spans="1:7" x14ac:dyDescent="0.2">
      <c r="A96" t="str">
        <f>IF(SF_data!A96="","",SF_data!A96)</f>
        <v/>
      </c>
      <c r="B96" s="8" t="str">
        <f>IF(A96="","",SF_data!B96)</f>
        <v/>
      </c>
      <c r="C96" s="7" t="str">
        <f>IF(SF_data!L96=0,IF(IF(SF_data!$C96=1,SF_data!G96,SF_data!D96)="","",IF(SF_data!$C96=1,SF_data!G96,SF_data!D96)),"")</f>
        <v/>
      </c>
      <c r="D96" s="7" t="str">
        <f>IF(SF_data!L96=0,IF(IF(SF_data!$C96=1,SF_data!H96,SF_data!E96)="","",IF(SF_data!$C96=1,SF_data!H96,SF_data!E96)),"")</f>
        <v/>
      </c>
      <c r="E96" s="7" t="str">
        <f>IF(SF_data!L96=0,IF(IF(SF_data!$C96=1,SF_data!I96,SF_data!F96)="","",IF(SF_data!$C96=1,SF_data!I96,SF_data!F96)),"")</f>
        <v/>
      </c>
      <c r="F96" s="9" t="str">
        <f>IF(SF_data!L96=0,IF(SF_data!J96="","",SF_data!J96/100),"")</f>
        <v/>
      </c>
      <c r="G96" t="str">
        <f>IF(SF_data!L96=0,IF(SF_data!K96="","",SF_data!K96),SF_data!M96)</f>
        <v/>
      </c>
    </row>
    <row r="97" spans="1:7" x14ac:dyDescent="0.2">
      <c r="A97" t="str">
        <f>IF(SF_data!A97="","",SF_data!A97)</f>
        <v/>
      </c>
      <c r="B97" s="8" t="str">
        <f>IF(A97="","",SF_data!B97)</f>
        <v/>
      </c>
      <c r="C97" s="7" t="str">
        <f>IF(SF_data!L97=0,IF(IF(SF_data!$C97=1,SF_data!G97,SF_data!D97)="","",IF(SF_data!$C97=1,SF_data!G97,SF_data!D97)),"")</f>
        <v/>
      </c>
      <c r="D97" s="7" t="str">
        <f>IF(SF_data!L97=0,IF(IF(SF_data!$C97=1,SF_data!H97,SF_data!E97)="","",IF(SF_data!$C97=1,SF_data!H97,SF_data!E97)),"")</f>
        <v/>
      </c>
      <c r="E97" s="7" t="str">
        <f>IF(SF_data!L97=0,IF(IF(SF_data!$C97=1,SF_data!I97,SF_data!F97)="","",IF(SF_data!$C97=1,SF_data!I97,SF_data!F97)),"")</f>
        <v/>
      </c>
      <c r="F97" s="9" t="str">
        <f>IF(SF_data!L97=0,IF(SF_data!J97="","",SF_data!J97/100),"")</f>
        <v/>
      </c>
      <c r="G97" t="str">
        <f>IF(SF_data!L97=0,IF(SF_data!K97="","",SF_data!K97),SF_data!M97)</f>
        <v/>
      </c>
    </row>
    <row r="98" spans="1:7" x14ac:dyDescent="0.2">
      <c r="A98" t="str">
        <f>IF(SF_data!A98="","",SF_data!A98)</f>
        <v/>
      </c>
      <c r="B98" s="8" t="str">
        <f>IF(A98="","",SF_data!B98)</f>
        <v/>
      </c>
      <c r="C98" s="7" t="str">
        <f>IF(SF_data!L98=0,IF(IF(SF_data!$C98=1,SF_data!G98,SF_data!D98)="","",IF(SF_data!$C98=1,SF_data!G98,SF_data!D98)),"")</f>
        <v/>
      </c>
      <c r="D98" s="7" t="str">
        <f>IF(SF_data!L98=0,IF(IF(SF_data!$C98=1,SF_data!H98,SF_data!E98)="","",IF(SF_data!$C98=1,SF_data!H98,SF_data!E98)),"")</f>
        <v/>
      </c>
      <c r="E98" s="7" t="str">
        <f>IF(SF_data!L98=0,IF(IF(SF_data!$C98=1,SF_data!I98,SF_data!F98)="","",IF(SF_data!$C98=1,SF_data!I98,SF_data!F98)),"")</f>
        <v/>
      </c>
      <c r="F98" s="9" t="str">
        <f>IF(SF_data!L98=0,IF(SF_data!J98="","",SF_data!J98/100),"")</f>
        <v/>
      </c>
      <c r="G98" t="str">
        <f>IF(SF_data!L98=0,IF(SF_data!K98="","",SF_data!K98),SF_data!M98)</f>
        <v/>
      </c>
    </row>
    <row r="99" spans="1:7" x14ac:dyDescent="0.2">
      <c r="A99" t="str">
        <f>IF(SF_data!A99="","",SF_data!A99)</f>
        <v/>
      </c>
      <c r="B99" s="8" t="str">
        <f>IF(A99="","",SF_data!B99)</f>
        <v/>
      </c>
      <c r="C99" s="7" t="str">
        <f>IF(SF_data!L99=0,IF(IF(SF_data!$C99=1,SF_data!G99,SF_data!D99)="","",IF(SF_data!$C99=1,SF_data!G99,SF_data!D99)),"")</f>
        <v/>
      </c>
      <c r="D99" s="7" t="str">
        <f>IF(SF_data!L99=0,IF(IF(SF_data!$C99=1,SF_data!H99,SF_data!E99)="","",IF(SF_data!$C99=1,SF_data!H99,SF_data!E99)),"")</f>
        <v/>
      </c>
      <c r="E99" s="7" t="str">
        <f>IF(SF_data!L99=0,IF(IF(SF_data!$C99=1,SF_data!I99,SF_data!F99)="","",IF(SF_data!$C99=1,SF_data!I99,SF_data!F99)),"")</f>
        <v/>
      </c>
      <c r="F99" s="9" t="str">
        <f>IF(SF_data!L99=0,IF(SF_data!J99="","",SF_data!J99/100),"")</f>
        <v/>
      </c>
      <c r="G99" t="str">
        <f>IF(SF_data!L99=0,IF(SF_data!K99="","",SF_data!K99),SF_data!M99)</f>
        <v/>
      </c>
    </row>
    <row r="100" spans="1:7" x14ac:dyDescent="0.2">
      <c r="A100" t="str">
        <f>IF(SF_data!A100="","",SF_data!A100)</f>
        <v/>
      </c>
      <c r="B100" s="8" t="str">
        <f>IF(A100="","",SF_data!B100)</f>
        <v/>
      </c>
      <c r="C100" s="7" t="str">
        <f>IF(SF_data!L100=0,IF(IF(SF_data!$C100=1,SF_data!G100,SF_data!D100)="","",IF(SF_data!$C100=1,SF_data!G100,SF_data!D100)),"")</f>
        <v/>
      </c>
      <c r="D100" s="7" t="str">
        <f>IF(SF_data!L100=0,IF(IF(SF_data!$C100=1,SF_data!H100,SF_data!E100)="","",IF(SF_data!$C100=1,SF_data!H100,SF_data!E100)),"")</f>
        <v/>
      </c>
      <c r="E100" s="7" t="str">
        <f>IF(SF_data!L100=0,IF(IF(SF_data!$C100=1,SF_data!I100,SF_data!F100)="","",IF(SF_data!$C100=1,SF_data!I100,SF_data!F100)),"")</f>
        <v/>
      </c>
      <c r="F100" s="9" t="str">
        <f>IF(SF_data!L100=0,IF(SF_data!J100="","",SF_data!J100/100),"")</f>
        <v/>
      </c>
      <c r="G100" t="str">
        <f>IF(SF_data!L100=0,IF(SF_data!K100="","",SF_data!K100),SF_data!M100)</f>
        <v/>
      </c>
    </row>
    <row r="101" spans="1:7" x14ac:dyDescent="0.2">
      <c r="A101" t="str">
        <f>IF(SF_data!A101="","",SF_data!A101)</f>
        <v/>
      </c>
      <c r="B101" s="8" t="str">
        <f>IF(A101="","",SF_data!B101)</f>
        <v/>
      </c>
      <c r="C101" s="7" t="str">
        <f>IF(SF_data!L101=0,IF(IF(SF_data!$C101=1,SF_data!G101,SF_data!D101)="","",IF(SF_data!$C101=1,SF_data!G101,SF_data!D101)),"")</f>
        <v/>
      </c>
      <c r="D101" s="7" t="str">
        <f>IF(SF_data!L101=0,IF(IF(SF_data!$C101=1,SF_data!H101,SF_data!E101)="","",IF(SF_data!$C101=1,SF_data!H101,SF_data!E101)),"")</f>
        <v/>
      </c>
      <c r="E101" s="7" t="str">
        <f>IF(SF_data!L101=0,IF(IF(SF_data!$C101=1,SF_data!I101,SF_data!F101)="","",IF(SF_data!$C101=1,SF_data!I101,SF_data!F101)),"")</f>
        <v/>
      </c>
      <c r="F101" s="9" t="str">
        <f>IF(SF_data!L101=0,IF(SF_data!J101="","",SF_data!J101/100),"")</f>
        <v/>
      </c>
      <c r="G101" t="str">
        <f>IF(SF_data!L101=0,IF(SF_data!K101="","",SF_data!K101),SF_data!M101)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SF_data</vt:lpstr>
      <vt:lpstr>AS_Final</vt:lpstr>
      <vt:lpstr>Assembly_Cond_final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Iaroslav Turkov</cp:lastModifiedBy>
  <dcterms:created xsi:type="dcterms:W3CDTF">2024-03-30T00:40:06Z</dcterms:created>
  <dcterms:modified xsi:type="dcterms:W3CDTF">2024-04-18T12:26:56Z</dcterms:modified>
</cp:coreProperties>
</file>