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roslav/Downloads/"/>
    </mc:Choice>
  </mc:AlternateContent>
  <xr:revisionPtr revIDLastSave="0" documentId="13_ncr:1_{8B12B3AC-FDCE-534E-9598-0E7370CE6E41}" xr6:coauthVersionLast="47" xr6:coauthVersionMax="47" xr10:uidLastSave="{00000000-0000-0000-0000-000000000000}"/>
  <bookViews>
    <workbookView xWindow="0" yWindow="0" windowWidth="28800" windowHeight="18000" xr2:uid="{364D74F8-90AF-544F-93BA-BDBE58006345}"/>
  </bookViews>
  <sheets>
    <sheet name="SF_data" sheetId="1" r:id="rId1"/>
    <sheet name="LLPs_Esc" sheetId="3" r:id="rId2"/>
    <sheet name="Sheet2" sheetId="2" r:id="rId3"/>
  </sheets>
  <definedNames>
    <definedName name="Final_MRs">Sheet2!$A$1:$F$101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2" i="2"/>
  <c r="B2" i="2"/>
  <c r="A3" i="2"/>
  <c r="F3" i="2" s="1"/>
  <c r="B3" i="2"/>
  <c r="C3" i="2"/>
  <c r="D3" i="2"/>
  <c r="E3" i="2"/>
  <c r="A4" i="2"/>
  <c r="F4" i="2" s="1"/>
  <c r="B4" i="2"/>
  <c r="C4" i="2"/>
  <c r="D4" i="2"/>
  <c r="E4" i="2"/>
  <c r="A5" i="2"/>
  <c r="F5" i="2" s="1"/>
  <c r="B5" i="2"/>
  <c r="C5" i="2"/>
  <c r="D5" i="2"/>
  <c r="E5" i="2"/>
  <c r="A6" i="2"/>
  <c r="F6" i="2" s="1"/>
  <c r="B6" i="2"/>
  <c r="C6" i="2"/>
  <c r="D6" i="2"/>
  <c r="E6" i="2"/>
  <c r="A7" i="2"/>
  <c r="F7" i="2" s="1"/>
  <c r="B7" i="2"/>
  <c r="C7" i="2"/>
  <c r="D7" i="2"/>
  <c r="E7" i="2"/>
  <c r="A8" i="2"/>
  <c r="F8" i="2" s="1"/>
  <c r="B8" i="2"/>
  <c r="C8" i="2"/>
  <c r="D8" i="2"/>
  <c r="E8" i="2"/>
  <c r="A9" i="2"/>
  <c r="F9" i="2" s="1"/>
  <c r="B9" i="2"/>
  <c r="C9" i="2"/>
  <c r="D9" i="2"/>
  <c r="E9" i="2"/>
  <c r="A10" i="2"/>
  <c r="F10" i="2" s="1"/>
  <c r="B10" i="2"/>
  <c r="C10" i="2"/>
  <c r="D10" i="2"/>
  <c r="E10" i="2"/>
  <c r="A11" i="2"/>
  <c r="F11" i="2" s="1"/>
  <c r="B11" i="2"/>
  <c r="C11" i="2"/>
  <c r="D11" i="2"/>
  <c r="E11" i="2"/>
  <c r="A12" i="2"/>
  <c r="F12" i="2" s="1"/>
  <c r="B12" i="2"/>
  <c r="C12" i="2"/>
  <c r="D12" i="2"/>
  <c r="E12" i="2"/>
  <c r="A13" i="2"/>
  <c r="F13" i="2" s="1"/>
  <c r="B13" i="2"/>
  <c r="C13" i="2"/>
  <c r="D13" i="2"/>
  <c r="E13" i="2"/>
  <c r="A14" i="2"/>
  <c r="F14" i="2" s="1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A51" i="2"/>
  <c r="B51" i="2"/>
  <c r="C51" i="2"/>
  <c r="D51" i="2"/>
  <c r="E51" i="2"/>
  <c r="A52" i="2"/>
  <c r="B52" i="2"/>
  <c r="C52" i="2"/>
  <c r="D52" i="2"/>
  <c r="E52" i="2"/>
  <c r="A53" i="2"/>
  <c r="B53" i="2"/>
  <c r="C53" i="2"/>
  <c r="D53" i="2"/>
  <c r="E53" i="2"/>
  <c r="A54" i="2"/>
  <c r="B54" i="2"/>
  <c r="C54" i="2"/>
  <c r="D54" i="2"/>
  <c r="E54" i="2"/>
  <c r="A55" i="2"/>
  <c r="B55" i="2"/>
  <c r="C55" i="2"/>
  <c r="D55" i="2"/>
  <c r="E55" i="2"/>
  <c r="A56" i="2"/>
  <c r="B56" i="2"/>
  <c r="C56" i="2"/>
  <c r="D56" i="2"/>
  <c r="E56" i="2"/>
  <c r="A57" i="2"/>
  <c r="B57" i="2"/>
  <c r="C57" i="2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61" i="2"/>
  <c r="B61" i="2"/>
  <c r="C61" i="2"/>
  <c r="D61" i="2"/>
  <c r="E61" i="2"/>
  <c r="A62" i="2"/>
  <c r="B62" i="2"/>
  <c r="C62" i="2"/>
  <c r="D62" i="2"/>
  <c r="E62" i="2"/>
  <c r="A63" i="2"/>
  <c r="B63" i="2"/>
  <c r="C63" i="2"/>
  <c r="D63" i="2"/>
  <c r="E63" i="2"/>
  <c r="A64" i="2"/>
  <c r="B64" i="2"/>
  <c r="C64" i="2"/>
  <c r="D64" i="2"/>
  <c r="E64" i="2"/>
  <c r="A65" i="2"/>
  <c r="B65" i="2"/>
  <c r="C65" i="2"/>
  <c r="D65" i="2"/>
  <c r="E65" i="2"/>
  <c r="A66" i="2"/>
  <c r="B66" i="2"/>
  <c r="C66" i="2"/>
  <c r="D66" i="2"/>
  <c r="E66" i="2"/>
  <c r="A67" i="2"/>
  <c r="B67" i="2"/>
  <c r="C67" i="2"/>
  <c r="D67" i="2"/>
  <c r="E67" i="2"/>
  <c r="A68" i="2"/>
  <c r="B68" i="2"/>
  <c r="C68" i="2"/>
  <c r="D68" i="2"/>
  <c r="E68" i="2"/>
  <c r="A69" i="2"/>
  <c r="B69" i="2"/>
  <c r="C69" i="2"/>
  <c r="D69" i="2"/>
  <c r="E69" i="2"/>
  <c r="A70" i="2"/>
  <c r="B70" i="2"/>
  <c r="C70" i="2"/>
  <c r="D70" i="2"/>
  <c r="E70" i="2"/>
  <c r="A71" i="2"/>
  <c r="B71" i="2"/>
  <c r="C71" i="2"/>
  <c r="D71" i="2"/>
  <c r="E71" i="2"/>
  <c r="A72" i="2"/>
  <c r="B72" i="2"/>
  <c r="C72" i="2"/>
  <c r="D72" i="2"/>
  <c r="E72" i="2"/>
  <c r="A73" i="2"/>
  <c r="B73" i="2"/>
  <c r="C73" i="2"/>
  <c r="D73" i="2"/>
  <c r="E73" i="2"/>
  <c r="A74" i="2"/>
  <c r="B74" i="2"/>
  <c r="C74" i="2"/>
  <c r="D74" i="2"/>
  <c r="E74" i="2"/>
  <c r="A75" i="2"/>
  <c r="B75" i="2"/>
  <c r="C75" i="2"/>
  <c r="D75" i="2"/>
  <c r="E75" i="2"/>
  <c r="A76" i="2"/>
  <c r="B76" i="2"/>
  <c r="C76" i="2"/>
  <c r="D76" i="2"/>
  <c r="E76" i="2"/>
  <c r="A77" i="2"/>
  <c r="B77" i="2"/>
  <c r="C77" i="2"/>
  <c r="D77" i="2"/>
  <c r="E77" i="2"/>
  <c r="A78" i="2"/>
  <c r="B78" i="2"/>
  <c r="C78" i="2"/>
  <c r="D78" i="2"/>
  <c r="E78" i="2"/>
  <c r="A79" i="2"/>
  <c r="B79" i="2"/>
  <c r="C79" i="2"/>
  <c r="D79" i="2"/>
  <c r="E79" i="2"/>
  <c r="A80" i="2"/>
  <c r="B80" i="2"/>
  <c r="C80" i="2"/>
  <c r="D80" i="2"/>
  <c r="E80" i="2"/>
  <c r="A81" i="2"/>
  <c r="B81" i="2"/>
  <c r="C81" i="2"/>
  <c r="D81" i="2"/>
  <c r="E81" i="2"/>
  <c r="A82" i="2"/>
  <c r="B82" i="2"/>
  <c r="C82" i="2"/>
  <c r="D82" i="2"/>
  <c r="E82" i="2"/>
  <c r="A83" i="2"/>
  <c r="B83" i="2"/>
  <c r="C83" i="2"/>
  <c r="D83" i="2"/>
  <c r="E83" i="2"/>
  <c r="A84" i="2"/>
  <c r="B84" i="2"/>
  <c r="C84" i="2"/>
  <c r="D84" i="2"/>
  <c r="E84" i="2"/>
  <c r="A85" i="2"/>
  <c r="B85" i="2"/>
  <c r="C85" i="2"/>
  <c r="D85" i="2"/>
  <c r="E85" i="2"/>
  <c r="A86" i="2"/>
  <c r="B86" i="2"/>
  <c r="C86" i="2"/>
  <c r="D86" i="2"/>
  <c r="E86" i="2"/>
  <c r="A87" i="2"/>
  <c r="B87" i="2"/>
  <c r="C87" i="2"/>
  <c r="D87" i="2"/>
  <c r="E87" i="2"/>
  <c r="A88" i="2"/>
  <c r="B88" i="2"/>
  <c r="C88" i="2"/>
  <c r="D88" i="2"/>
  <c r="E88" i="2"/>
  <c r="A89" i="2"/>
  <c r="B89" i="2"/>
  <c r="C89" i="2"/>
  <c r="D89" i="2"/>
  <c r="E89" i="2"/>
  <c r="A90" i="2"/>
  <c r="B90" i="2"/>
  <c r="C90" i="2"/>
  <c r="D90" i="2"/>
  <c r="E90" i="2"/>
  <c r="A91" i="2"/>
  <c r="B91" i="2"/>
  <c r="C91" i="2"/>
  <c r="D91" i="2"/>
  <c r="E91" i="2"/>
  <c r="A92" i="2"/>
  <c r="B92" i="2"/>
  <c r="C92" i="2"/>
  <c r="D92" i="2"/>
  <c r="E92" i="2"/>
  <c r="A93" i="2"/>
  <c r="B93" i="2"/>
  <c r="C93" i="2"/>
  <c r="D93" i="2"/>
  <c r="E93" i="2"/>
  <c r="A94" i="2"/>
  <c r="B94" i="2"/>
  <c r="C94" i="2"/>
  <c r="D94" i="2"/>
  <c r="E94" i="2"/>
  <c r="A95" i="2"/>
  <c r="B95" i="2"/>
  <c r="C95" i="2"/>
  <c r="D95" i="2"/>
  <c r="E95" i="2"/>
  <c r="A96" i="2"/>
  <c r="B96" i="2"/>
  <c r="C96" i="2"/>
  <c r="D96" i="2"/>
  <c r="E96" i="2"/>
  <c r="A97" i="2"/>
  <c r="B97" i="2"/>
  <c r="C97" i="2"/>
  <c r="D97" i="2"/>
  <c r="E97" i="2"/>
  <c r="A98" i="2"/>
  <c r="B98" i="2"/>
  <c r="C98" i="2"/>
  <c r="D98" i="2"/>
  <c r="E98" i="2"/>
  <c r="A99" i="2"/>
  <c r="B99" i="2"/>
  <c r="C99" i="2"/>
  <c r="D99" i="2"/>
  <c r="E99" i="2"/>
  <c r="A100" i="2"/>
  <c r="B100" i="2"/>
  <c r="C100" i="2"/>
  <c r="D100" i="2"/>
  <c r="E100" i="2"/>
  <c r="D2" i="2"/>
  <c r="E2" i="2"/>
  <c r="C2" i="2"/>
  <c r="A2" i="2"/>
</calcChain>
</file>

<file path=xl/sharedStrings.xml><?xml version="1.0" encoding="utf-8"?>
<sst xmlns="http://schemas.openxmlformats.org/spreadsheetml/2006/main" count="17" uniqueCount="14">
  <si>
    <t>Fund</t>
  </si>
  <si>
    <t>Rate</t>
  </si>
  <si>
    <t>Rate Unit</t>
  </si>
  <si>
    <t>Last Escalation Date</t>
  </si>
  <si>
    <t>Next Escalation Date</t>
  </si>
  <si>
    <t>Escalation %</t>
  </si>
  <si>
    <t>Supplemental Rent: Name</t>
  </si>
  <si>
    <t>{Rate Base Esc (Latest)}</t>
  </si>
  <si>
    <t>{Rate Interp (Latest}</t>
  </si>
  <si>
    <t>Escalation</t>
  </si>
  <si>
    <t>Name</t>
  </si>
  <si>
    <t>MR Rate Schedule Name</t>
  </si>
  <si>
    <t>MR Rate End Date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</si>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</sst>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[$$-409]#,##0.00"/>
  </numFmts>
  <fonts count="5" x14ac:knownFonts="1">
    <font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D5DCE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vertical="center" wrapText="1"/>
    </xf>
    <xf numFmtId="164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14" fontId="2" fillId="0" borderId="0" xfId="0" applyNumberFormat="1" applyFont="1"/>
    <xf numFmtId="165" fontId="1" fillId="2" borderId="2" xfId="0" applyNumberFormat="1" applyFont="1" applyFill="1" applyBorder="1" applyAlignment="1">
      <alignment vertical="center" wrapText="1"/>
    </xf>
    <xf numFmtId="165" fontId="0" fillId="0" borderId="0" xfId="0" applyNumberFormat="1"/>
    <xf numFmtId="10" fontId="0" fillId="0" borderId="0" xfId="0" applyNumberForma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CB46-3CC8-B04C-BC9B-1D2167D09A0D}">
  <dimension ref="A1:G14"/>
  <sheetViews>
    <sheetView tabSelected="1" workbookViewId="0">
      <selection activeCell="A2" sqref="A2"/>
    </sheetView>
  </sheetViews>
  <sheetFormatPr baseColWidth="10" defaultRowHeight="16" x14ac:dyDescent="0.2"/>
  <cols>
    <col min="1" max="1" width="26" customWidth="1"/>
  </cols>
  <sheetData>
    <row r="1" spans="1:7" x14ac:dyDescent="0.2">
      <c r="A1" s="5" t="s">
        <v>6</v>
      </c>
      <c r="B1" s="5" t="s">
        <v>7</v>
      </c>
      <c r="C1" s="5" t="s">
        <v>8</v>
      </c>
      <c r="D1" s="5" t="s">
        <v>2</v>
      </c>
      <c r="E1" s="5" t="s">
        <v>3</v>
      </c>
      <c r="F1" s="5" t="s">
        <v>4</v>
      </c>
      <c r="G1" s="5" t="s">
        <v>9</v>
      </c>
    </row>
    <row r="2" spans="1:7" x14ac:dyDescent="0.2">
      <c r="A2" s="5"/>
      <c r="B2" s="6"/>
      <c r="C2" s="7"/>
      <c r="D2" s="6"/>
      <c r="E2" s="8"/>
      <c r="F2" s="8"/>
      <c r="G2" s="6"/>
    </row>
    <row r="3" spans="1:7" x14ac:dyDescent="0.2">
      <c r="A3" s="5"/>
      <c r="B3" s="6"/>
      <c r="C3" s="7"/>
      <c r="D3" s="6"/>
      <c r="E3" s="8"/>
      <c r="F3" s="8"/>
      <c r="G3" s="6"/>
    </row>
    <row r="4" spans="1:7" x14ac:dyDescent="0.2">
      <c r="A4" s="5"/>
      <c r="B4" s="6"/>
      <c r="C4" s="7"/>
      <c r="D4" s="6"/>
      <c r="E4" s="8"/>
      <c r="F4" s="8"/>
      <c r="G4" s="6"/>
    </row>
    <row r="5" spans="1:7" x14ac:dyDescent="0.2">
      <c r="A5" s="5"/>
      <c r="B5" s="6"/>
      <c r="C5" s="7"/>
      <c r="D5" s="6"/>
      <c r="E5" s="8"/>
      <c r="F5" s="8"/>
      <c r="G5" s="6"/>
    </row>
    <row r="6" spans="1:7" x14ac:dyDescent="0.2">
      <c r="A6" s="5"/>
      <c r="B6" s="6"/>
      <c r="C6" s="7"/>
      <c r="D6" s="6"/>
      <c r="E6" s="8"/>
      <c r="F6" s="8"/>
      <c r="G6" s="6"/>
    </row>
    <row r="7" spans="1:7" x14ac:dyDescent="0.2">
      <c r="A7" s="5"/>
      <c r="B7" s="6"/>
      <c r="C7" s="7"/>
      <c r="D7" s="6"/>
      <c r="E7" s="8"/>
      <c r="F7" s="8"/>
      <c r="G7" s="6"/>
    </row>
    <row r="8" spans="1:7" x14ac:dyDescent="0.2">
      <c r="A8" s="5"/>
      <c r="B8" s="6"/>
      <c r="C8" s="7"/>
      <c r="D8" s="6"/>
      <c r="E8" s="8"/>
      <c r="F8" s="8"/>
      <c r="G8" s="6"/>
    </row>
    <row r="9" spans="1:7" x14ac:dyDescent="0.2">
      <c r="A9" s="5"/>
      <c r="B9" s="6"/>
      <c r="C9" s="7"/>
      <c r="D9" s="6"/>
      <c r="E9" s="8"/>
      <c r="F9" s="8"/>
      <c r="G9" s="6"/>
    </row>
    <row r="10" spans="1:7" x14ac:dyDescent="0.2">
      <c r="A10" s="5"/>
      <c r="B10" s="6"/>
      <c r="C10" s="7"/>
      <c r="D10" s="6"/>
      <c r="E10" s="8"/>
      <c r="F10" s="8"/>
      <c r="G10" s="6"/>
    </row>
    <row r="11" spans="1:7" x14ac:dyDescent="0.2">
      <c r="A11" s="5"/>
      <c r="B11" s="6"/>
      <c r="C11" s="7"/>
      <c r="D11" s="6"/>
      <c r="E11" s="8"/>
      <c r="F11" s="8"/>
      <c r="G11" s="6"/>
    </row>
    <row r="12" spans="1:7" x14ac:dyDescent="0.2">
      <c r="A12" s="5"/>
      <c r="B12" s="6"/>
      <c r="C12" s="7"/>
      <c r="D12" s="6"/>
      <c r="E12" s="8"/>
      <c r="F12" s="8"/>
      <c r="G12" s="6"/>
    </row>
    <row r="13" spans="1:7" x14ac:dyDescent="0.2">
      <c r="A13" s="5"/>
      <c r="B13" s="6"/>
      <c r="C13" s="7"/>
      <c r="D13" s="6"/>
      <c r="E13" s="8"/>
      <c r="F13" s="8"/>
      <c r="G13" s="6"/>
    </row>
    <row r="14" spans="1:7" x14ac:dyDescent="0.2">
      <c r="A14" s="5"/>
      <c r="B14" s="6"/>
      <c r="C14" s="7"/>
      <c r="D14" s="6"/>
      <c r="E14" s="8"/>
      <c r="F14" s="8"/>
      <c r="G1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5891-EC61-0B42-A66D-FA752FBF7E6B}">
  <dimension ref="A1:D15"/>
  <sheetViews>
    <sheetView workbookViewId="0">
      <selection activeCell="A2" sqref="A2:D16"/>
    </sheetView>
  </sheetViews>
  <sheetFormatPr baseColWidth="10" defaultRowHeight="16" x14ac:dyDescent="0.2"/>
  <cols>
    <col min="1" max="1" width="17.83203125" customWidth="1"/>
    <col min="2" max="2" width="22.33203125" customWidth="1"/>
    <col min="3" max="3" width="18.83203125" customWidth="1"/>
  </cols>
  <sheetData>
    <row r="1" spans="1:4" x14ac:dyDescent="0.2">
      <c r="A1" s="5" t="s">
        <v>10</v>
      </c>
      <c r="B1" s="5" t="s">
        <v>11</v>
      </c>
      <c r="C1" s="5" t="s">
        <v>12</v>
      </c>
      <c r="D1" s="5" t="s">
        <v>13</v>
      </c>
    </row>
    <row r="2" spans="1:4" x14ac:dyDescent="0.2">
      <c r="A2" s="5"/>
      <c r="B2" s="12"/>
      <c r="C2" s="6"/>
      <c r="D2" s="6"/>
    </row>
    <row r="3" spans="1:4" x14ac:dyDescent="0.2">
      <c r="A3" s="5"/>
      <c r="B3" s="12"/>
      <c r="C3" s="6"/>
      <c r="D3" s="6"/>
    </row>
    <row r="4" spans="1:4" x14ac:dyDescent="0.2">
      <c r="A4" s="5"/>
      <c r="B4" s="12"/>
      <c r="C4" s="6"/>
      <c r="D4" s="7"/>
    </row>
    <row r="5" spans="1:4" x14ac:dyDescent="0.2">
      <c r="A5" s="5"/>
      <c r="B5" s="12"/>
      <c r="C5" s="6"/>
      <c r="D5" s="7"/>
    </row>
    <row r="6" spans="1:4" x14ac:dyDescent="0.2">
      <c r="A6" s="5"/>
      <c r="B6" s="12"/>
      <c r="C6" s="6"/>
      <c r="D6" s="7"/>
    </row>
    <row r="7" spans="1:4" x14ac:dyDescent="0.2">
      <c r="A7" s="5"/>
      <c r="B7" s="12"/>
      <c r="C7" s="6"/>
      <c r="D7" s="7"/>
    </row>
    <row r="8" spans="1:4" x14ac:dyDescent="0.2">
      <c r="A8" s="5"/>
      <c r="B8" s="12"/>
      <c r="C8" s="6"/>
      <c r="D8" s="7"/>
    </row>
    <row r="9" spans="1:4" x14ac:dyDescent="0.2">
      <c r="A9" s="5"/>
      <c r="B9" s="12"/>
      <c r="C9" s="6"/>
      <c r="D9" s="7"/>
    </row>
    <row r="10" spans="1:4" x14ac:dyDescent="0.2">
      <c r="A10" s="5"/>
      <c r="B10" s="12"/>
      <c r="C10" s="6"/>
      <c r="D10" s="7"/>
    </row>
    <row r="11" spans="1:4" x14ac:dyDescent="0.2">
      <c r="A11" s="5"/>
      <c r="B11" s="12"/>
      <c r="C11" s="6"/>
      <c r="D11" s="7"/>
    </row>
    <row r="12" spans="1:4" x14ac:dyDescent="0.2">
      <c r="A12" s="5"/>
      <c r="B12" s="12"/>
      <c r="C12" s="6"/>
      <c r="D12" s="7"/>
    </row>
    <row r="13" spans="1:4" x14ac:dyDescent="0.2">
      <c r="A13" s="5"/>
      <c r="B13" s="12"/>
      <c r="C13" s="6"/>
      <c r="D13" s="7"/>
    </row>
    <row r="14" spans="1:4" x14ac:dyDescent="0.2">
      <c r="A14" s="5"/>
      <c r="B14" s="12"/>
      <c r="C14" s="6"/>
      <c r="D14" s="7"/>
    </row>
    <row r="15" spans="1:4" x14ac:dyDescent="0.2">
      <c r="A15" s="5"/>
      <c r="B15" s="12"/>
      <c r="C15" s="6"/>
      <c r="D1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558B-11D5-3C4C-8D4C-C5A50C9944E3}">
  <dimension ref="A1:F100"/>
  <sheetViews>
    <sheetView workbookViewId="0">
      <selection activeCell="F14" sqref="F14:F100"/>
    </sheetView>
  </sheetViews>
  <sheetFormatPr baseColWidth="10" defaultRowHeight="16" x14ac:dyDescent="0.2"/>
  <cols>
    <col min="1" max="1" width="23.83203125" customWidth="1"/>
    <col min="2" max="2" width="18.5" style="10" customWidth="1"/>
    <col min="4" max="5" width="10.83203125" style="4"/>
    <col min="7" max="7" width="14.5" customWidth="1"/>
  </cols>
  <sheetData>
    <row r="1" spans="1:6" ht="25" thickBot="1" x14ac:dyDescent="0.25">
      <c r="A1" s="1" t="s">
        <v>0</v>
      </c>
      <c r="B1" s="9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spans="1:6" x14ac:dyDescent="0.2">
      <c r="A2" t="str">
        <f>IF(SF_data!A2="","",SF_data!A2)</f>
        <v/>
      </c>
      <c r="B2" s="10" t="str">
        <f>IF(IF(SF_data!B2=0,SF_data!C2,SF_data!B2)=0,"",IF(SF_data!B2=0,ROUND(SF_data!C2,2),ROUND(SF_data!B2,2)))</f>
        <v/>
      </c>
      <c r="C2" t="str">
        <f>IF(SF_data!D2="","",SF_data!D2)</f>
        <v/>
      </c>
      <c r="D2" s="4" t="str">
        <f>IF(SF_data!E2="","",SF_data!E2)</f>
        <v/>
      </c>
      <c r="E2" s="4" t="str">
        <f>IF(SF_data!F2="","",SF_data!F2)</f>
        <v/>
      </c>
      <c r="F2" s="11" t="str">
        <f>_xlfn.IFNA(VLOOKUP(A2,LLPs_Esc!A:D,4,0),IF(SF_data!G2="","",SF_data!G2/100))</f>
        <v/>
      </c>
    </row>
    <row r="3" spans="1:6" x14ac:dyDescent="0.2">
      <c r="A3" t="str">
        <f>IF(SF_data!A3="","",SF_data!A3)</f>
        <v/>
      </c>
      <c r="B3" s="10" t="str">
        <f>IF(IF(SF_data!B3=0,SF_data!C3,SF_data!B3)=0,"",IF(SF_data!B3=0,SF_data!C3,SF_data!B3))</f>
        <v/>
      </c>
      <c r="C3" t="str">
        <f>IF(SF_data!D3="","",SF_data!D3)</f>
        <v/>
      </c>
      <c r="D3" s="4" t="str">
        <f>IF(SF_data!E3="","",SF_data!E3)</f>
        <v/>
      </c>
      <c r="E3" s="4" t="str">
        <f>IF(SF_data!F3="","",SF_data!F3)</f>
        <v/>
      </c>
      <c r="F3" s="11" t="str">
        <f>_xlfn.IFNA(VLOOKUP(A3,LLPs_Esc!A:D,4,0),IF(SF_data!G3="","",SF_data!G3/100))</f>
        <v/>
      </c>
    </row>
    <row r="4" spans="1:6" x14ac:dyDescent="0.2">
      <c r="A4" t="str">
        <f>IF(SF_data!A4="","",SF_data!A4)</f>
        <v/>
      </c>
      <c r="B4" s="10" t="str">
        <f>IF(IF(SF_data!B4=0,SF_data!C4,SF_data!B4)=0,"",IF(SF_data!B4=0,SF_data!C4,SF_data!B4))</f>
        <v/>
      </c>
      <c r="C4" t="str">
        <f>IF(SF_data!D4="","",SF_data!D4)</f>
        <v/>
      </c>
      <c r="D4" s="4" t="str">
        <f>IF(SF_data!E4="","",SF_data!E4)</f>
        <v/>
      </c>
      <c r="E4" s="4" t="str">
        <f>IF(SF_data!F4="","",SF_data!F4)</f>
        <v/>
      </c>
      <c r="F4" s="11" t="str">
        <f>_xlfn.IFNA(VLOOKUP(A4,LLPs_Esc!A:D,4,0),IF(SF_data!G4="","",SF_data!G4/100))</f>
        <v/>
      </c>
    </row>
    <row r="5" spans="1:6" x14ac:dyDescent="0.2">
      <c r="A5" t="str">
        <f>IF(SF_data!A5="","",SF_data!A5)</f>
        <v/>
      </c>
      <c r="B5" s="10" t="str">
        <f>IF(IF(SF_data!B5=0,SF_data!C5,SF_data!B5)=0,"",IF(SF_data!B5=0,SF_data!C5,SF_data!B5))</f>
        <v/>
      </c>
      <c r="C5" t="str">
        <f>IF(SF_data!D5="","",SF_data!D5)</f>
        <v/>
      </c>
      <c r="D5" s="4" t="str">
        <f>IF(SF_data!E5="","",SF_data!E5)</f>
        <v/>
      </c>
      <c r="E5" s="4" t="str">
        <f>IF(SF_data!F5="","",SF_data!F5)</f>
        <v/>
      </c>
      <c r="F5" s="11" t="str">
        <f>_xlfn.IFNA(VLOOKUP(A5,LLPs_Esc!A:D,4,0),IF(SF_data!G5="","",SF_data!G5/100))</f>
        <v/>
      </c>
    </row>
    <row r="6" spans="1:6" x14ac:dyDescent="0.2">
      <c r="A6" t="str">
        <f>IF(SF_data!A6="","",SF_data!A6)</f>
        <v/>
      </c>
      <c r="B6" s="10" t="str">
        <f>IF(IF(SF_data!B6=0,SF_data!C6,SF_data!B6)=0,"",IF(SF_data!B6=0,SF_data!C6,SF_data!B6))</f>
        <v/>
      </c>
      <c r="C6" t="str">
        <f>IF(SF_data!D6="","",SF_data!D6)</f>
        <v/>
      </c>
      <c r="D6" s="4" t="str">
        <f>IF(SF_data!E6="","",SF_data!E6)</f>
        <v/>
      </c>
      <c r="E6" s="4" t="str">
        <f>IF(SF_data!F6="","",SF_data!F6)</f>
        <v/>
      </c>
      <c r="F6" s="11" t="str">
        <f>_xlfn.IFNA(VLOOKUP(A6,LLPs_Esc!A:D,4,0),IF(SF_data!G6="","",SF_data!G6/100))</f>
        <v/>
      </c>
    </row>
    <row r="7" spans="1:6" x14ac:dyDescent="0.2">
      <c r="A7" t="str">
        <f>IF(SF_data!A7="","",SF_data!A7)</f>
        <v/>
      </c>
      <c r="B7" s="10" t="str">
        <f>IF(IF(SF_data!B7=0,SF_data!C7,SF_data!B7)=0,"",IF(SF_data!B7=0,SF_data!C7,SF_data!B7))</f>
        <v/>
      </c>
      <c r="C7" t="str">
        <f>IF(SF_data!D7="","",SF_data!D7)</f>
        <v/>
      </c>
      <c r="D7" s="4" t="str">
        <f>IF(SF_data!E7="","",SF_data!E7)</f>
        <v/>
      </c>
      <c r="E7" s="4" t="str">
        <f>IF(SF_data!F7="","",SF_data!F7)</f>
        <v/>
      </c>
      <c r="F7" s="11" t="str">
        <f>_xlfn.IFNA(VLOOKUP(A7,LLPs_Esc!A:D,4,0),IF(SF_data!G7="","",SF_data!G7/100))</f>
        <v/>
      </c>
    </row>
    <row r="8" spans="1:6" x14ac:dyDescent="0.2">
      <c r="A8" t="str">
        <f>IF(SF_data!A8="","",SF_data!A8)</f>
        <v/>
      </c>
      <c r="B8" s="10" t="str">
        <f>IF(IF(SF_data!B8=0,SF_data!C8,SF_data!B8)=0,"",IF(SF_data!B8=0,SF_data!C8,SF_data!B8))</f>
        <v/>
      </c>
      <c r="C8" t="str">
        <f>IF(SF_data!D8="","",SF_data!D8)</f>
        <v/>
      </c>
      <c r="D8" s="4" t="str">
        <f>IF(SF_data!E8="","",SF_data!E8)</f>
        <v/>
      </c>
      <c r="E8" s="4" t="str">
        <f>IF(SF_data!F8="","",SF_data!F8)</f>
        <v/>
      </c>
      <c r="F8" s="11" t="str">
        <f>_xlfn.IFNA(VLOOKUP(A8,LLPs_Esc!A:D,4,0),IF(SF_data!G8="","",SF_data!G8/100))</f>
        <v/>
      </c>
    </row>
    <row r="9" spans="1:6" x14ac:dyDescent="0.2">
      <c r="A9" t="str">
        <f>IF(SF_data!A9="","",SF_data!A9)</f>
        <v/>
      </c>
      <c r="B9" s="10" t="str">
        <f>IF(IF(SF_data!B9=0,SF_data!C9,SF_data!B9)=0,"",IF(SF_data!B9=0,SF_data!C9,SF_data!B9))</f>
        <v/>
      </c>
      <c r="C9" t="str">
        <f>IF(SF_data!D9="","",SF_data!D9)</f>
        <v/>
      </c>
      <c r="D9" s="4" t="str">
        <f>IF(SF_data!E9="","",SF_data!E9)</f>
        <v/>
      </c>
      <c r="E9" s="4" t="str">
        <f>IF(SF_data!F9="","",SF_data!F9)</f>
        <v/>
      </c>
      <c r="F9" s="11" t="str">
        <f>_xlfn.IFNA(VLOOKUP(A9,LLPs_Esc!A:D,4,0),IF(SF_data!G9="","",SF_data!G9/100))</f>
        <v/>
      </c>
    </row>
    <row r="10" spans="1:6" x14ac:dyDescent="0.2">
      <c r="A10" t="str">
        <f>IF(SF_data!A10="","",SF_data!A10)</f>
        <v/>
      </c>
      <c r="B10" s="10" t="str">
        <f>IF(IF(SF_data!B10=0,SF_data!C10,SF_data!B10)=0,"",IF(SF_data!B10=0,SF_data!C10,SF_data!B10))</f>
        <v/>
      </c>
      <c r="C10" t="str">
        <f>IF(SF_data!D10="","",SF_data!D10)</f>
        <v/>
      </c>
      <c r="D10" s="4" t="str">
        <f>IF(SF_data!E10="","",SF_data!E10)</f>
        <v/>
      </c>
      <c r="E10" s="4" t="str">
        <f>IF(SF_data!F10="","",SF_data!F10)</f>
        <v/>
      </c>
      <c r="F10" s="11" t="str">
        <f>_xlfn.IFNA(VLOOKUP(A10,LLPs_Esc!A:D,4,0),IF(SF_data!G10="","",SF_data!G10/100))</f>
        <v/>
      </c>
    </row>
    <row r="11" spans="1:6" x14ac:dyDescent="0.2">
      <c r="A11" t="str">
        <f>IF(SF_data!A11="","",SF_data!A11)</f>
        <v/>
      </c>
      <c r="B11" s="10" t="str">
        <f>IF(IF(SF_data!B11=0,SF_data!C11,SF_data!B11)=0,"",IF(SF_data!B11=0,SF_data!C11,SF_data!B11))</f>
        <v/>
      </c>
      <c r="C11" t="str">
        <f>IF(SF_data!D11="","",SF_data!D11)</f>
        <v/>
      </c>
      <c r="D11" s="4" t="str">
        <f>IF(SF_data!E11="","",SF_data!E11)</f>
        <v/>
      </c>
      <c r="E11" s="4" t="str">
        <f>IF(SF_data!F11="","",SF_data!F11)</f>
        <v/>
      </c>
      <c r="F11" s="11" t="str">
        <f>_xlfn.IFNA(VLOOKUP(A11,LLPs_Esc!A:D,4,0),IF(SF_data!G11="","",SF_data!G11/100))</f>
        <v/>
      </c>
    </row>
    <row r="12" spans="1:6" x14ac:dyDescent="0.2">
      <c r="A12" t="str">
        <f>IF(SF_data!A12="","",SF_data!A12)</f>
        <v/>
      </c>
      <c r="B12" s="10" t="str">
        <f>IF(IF(SF_data!B12=0,SF_data!C12,SF_data!B12)=0,"",IF(SF_data!B12=0,SF_data!C12,SF_data!B12))</f>
        <v/>
      </c>
      <c r="C12" t="str">
        <f>IF(SF_data!D12="","",SF_data!D12)</f>
        <v/>
      </c>
      <c r="D12" s="4" t="str">
        <f>IF(SF_data!E12="","",SF_data!E12)</f>
        <v/>
      </c>
      <c r="E12" s="4" t="str">
        <f>IF(SF_data!F12="","",SF_data!F12)</f>
        <v/>
      </c>
      <c r="F12" s="11" t="str">
        <f>_xlfn.IFNA(VLOOKUP(A12,LLPs_Esc!A:D,4,0),IF(SF_data!G12="","",SF_data!G12/100))</f>
        <v/>
      </c>
    </row>
    <row r="13" spans="1:6" x14ac:dyDescent="0.2">
      <c r="A13" t="str">
        <f>IF(SF_data!A13="","",SF_data!A13)</f>
        <v/>
      </c>
      <c r="B13" s="10" t="str">
        <f>IF(IF(SF_data!B13=0,SF_data!C13,SF_data!B13)=0,"",IF(SF_data!B13=0,SF_data!C13,SF_data!B13))</f>
        <v/>
      </c>
      <c r="C13" t="str">
        <f>IF(SF_data!D13="","",SF_data!D13)</f>
        <v/>
      </c>
      <c r="D13" s="4" t="str">
        <f>IF(SF_data!E13="","",SF_data!E13)</f>
        <v/>
      </c>
      <c r="E13" s="4" t="str">
        <f>IF(SF_data!F13="","",SF_data!F13)</f>
        <v/>
      </c>
      <c r="F13" s="11" t="str">
        <f>_xlfn.IFNA(VLOOKUP(A13,LLPs_Esc!A:D,4,0),IF(SF_data!G13="","",SF_data!G13/100))</f>
        <v/>
      </c>
    </row>
    <row r="14" spans="1:6" x14ac:dyDescent="0.2">
      <c r="A14" t="str">
        <f>IF(SF_data!A14="","",SF_data!A14)</f>
        <v/>
      </c>
      <c r="B14" s="10" t="str">
        <f>IF(IF(SF_data!B14=0,SF_data!C14,SF_data!B14)=0,"",IF(SF_data!B14=0,SF_data!C14,SF_data!B14))</f>
        <v/>
      </c>
      <c r="C14" t="str">
        <f>IF(SF_data!D14="","",SF_data!D14)</f>
        <v/>
      </c>
      <c r="D14" s="4" t="str">
        <f>IF(SF_data!E14="","",SF_data!E14)</f>
        <v/>
      </c>
      <c r="E14" s="4" t="str">
        <f>IF(SF_data!F14="","",SF_data!F14)</f>
        <v/>
      </c>
      <c r="F14" s="11" t="str">
        <f>_xlfn.IFNA(VLOOKUP(A14,LLPs_Esc!A:D,4,0),IF(SF_data!G14="","",SF_data!G14/100))</f>
        <v/>
      </c>
    </row>
    <row r="15" spans="1:6" x14ac:dyDescent="0.2">
      <c r="A15" t="str">
        <f>IF(SF_data!A15="","",SF_data!A15)</f>
        <v/>
      </c>
      <c r="B15" s="10" t="str">
        <f>IF(IF(SF_data!B15=0,SF_data!C15,SF_data!B15)=0,"",IF(SF_data!B15=0,SF_data!C15,SF_data!B15))</f>
        <v/>
      </c>
      <c r="C15" t="str">
        <f>IF(SF_data!D15="","",SF_data!D15)</f>
        <v/>
      </c>
      <c r="D15" s="4" t="str">
        <f>IF(SF_data!E15="","",SF_data!E15)</f>
        <v/>
      </c>
      <c r="E15" s="4" t="str">
        <f>IF(SF_data!F15="","",SF_data!F15)</f>
        <v/>
      </c>
      <c r="F15" s="11" t="str">
        <f>_xlfn.IFNA(VLOOKUP(A15,LLPs_Esc!A:D,4,0),IF(SF_data!G15="","",SF_data!G15/100))</f>
        <v/>
      </c>
    </row>
    <row r="16" spans="1:6" x14ac:dyDescent="0.2">
      <c r="A16" t="str">
        <f>IF(SF_data!A16="","",SF_data!A16)</f>
        <v/>
      </c>
      <c r="B16" s="10" t="str">
        <f>IF(IF(SF_data!B16=0,SF_data!C16,SF_data!B16)=0,"",IF(SF_data!B16=0,SF_data!C16,SF_data!B16))</f>
        <v/>
      </c>
      <c r="C16" t="str">
        <f>IF(SF_data!D16="","",SF_data!D16)</f>
        <v/>
      </c>
      <c r="D16" s="4" t="str">
        <f>IF(SF_data!E16="","",SF_data!E16)</f>
        <v/>
      </c>
      <c r="E16" s="4" t="str">
        <f>IF(SF_data!F16="","",SF_data!F16)</f>
        <v/>
      </c>
      <c r="F16" s="11" t="str">
        <f>_xlfn.IFNA(VLOOKUP(A16,LLPs_Esc!A:D,4,0),IF(SF_data!G16="","",SF_data!G16/100))</f>
        <v/>
      </c>
    </row>
    <row r="17" spans="1:6" x14ac:dyDescent="0.2">
      <c r="A17" t="str">
        <f>IF(SF_data!A17="","",SF_data!A17)</f>
        <v/>
      </c>
      <c r="B17" s="10" t="str">
        <f>IF(IF(SF_data!B17=0,SF_data!C17,SF_data!B17)=0,"",IF(SF_data!B17=0,SF_data!C17,SF_data!B17))</f>
        <v/>
      </c>
      <c r="C17" t="str">
        <f>IF(SF_data!D17="","",SF_data!D17)</f>
        <v/>
      </c>
      <c r="D17" s="4" t="str">
        <f>IF(SF_data!E17="","",SF_data!E17)</f>
        <v/>
      </c>
      <c r="E17" s="4" t="str">
        <f>IF(SF_data!F17="","",SF_data!F17)</f>
        <v/>
      </c>
      <c r="F17" s="11" t="str">
        <f>_xlfn.IFNA(VLOOKUP(A17,LLPs_Esc!A:D,4,0),IF(SF_data!G17="","",SF_data!G17/100))</f>
        <v/>
      </c>
    </row>
    <row r="18" spans="1:6" x14ac:dyDescent="0.2">
      <c r="A18" t="str">
        <f>IF(SF_data!A18="","",SF_data!A18)</f>
        <v/>
      </c>
      <c r="B18" s="10" t="str">
        <f>IF(IF(SF_data!B18=0,SF_data!C18,SF_data!B18)=0,"",IF(SF_data!B18=0,SF_data!C18,SF_data!B18))</f>
        <v/>
      </c>
      <c r="C18" t="str">
        <f>IF(SF_data!D18="","",SF_data!D18)</f>
        <v/>
      </c>
      <c r="D18" s="4" t="str">
        <f>IF(SF_data!E18="","",SF_data!E18)</f>
        <v/>
      </c>
      <c r="E18" s="4" t="str">
        <f>IF(SF_data!F18="","",SF_data!F18)</f>
        <v/>
      </c>
      <c r="F18" s="11" t="str">
        <f>_xlfn.IFNA(VLOOKUP(A18,LLPs_Esc!A:D,4,0),IF(SF_data!G18="","",SF_data!G18/100))</f>
        <v/>
      </c>
    </row>
    <row r="19" spans="1:6" x14ac:dyDescent="0.2">
      <c r="A19" t="str">
        <f>IF(SF_data!A19="","",SF_data!A19)</f>
        <v/>
      </c>
      <c r="B19" s="10" t="str">
        <f>IF(IF(SF_data!B19=0,SF_data!C19,SF_data!B19)=0,"",IF(SF_data!B19=0,SF_data!C19,SF_data!B19))</f>
        <v/>
      </c>
      <c r="C19" t="str">
        <f>IF(SF_data!D19="","",SF_data!D19)</f>
        <v/>
      </c>
      <c r="D19" s="4" t="str">
        <f>IF(SF_data!E19="","",SF_data!E19)</f>
        <v/>
      </c>
      <c r="E19" s="4" t="str">
        <f>IF(SF_data!F19="","",SF_data!F19)</f>
        <v/>
      </c>
      <c r="F19" s="11" t="str">
        <f>_xlfn.IFNA(VLOOKUP(A19,LLPs_Esc!A:D,4,0),IF(SF_data!G19="","",SF_data!G19/100))</f>
        <v/>
      </c>
    </row>
    <row r="20" spans="1:6" x14ac:dyDescent="0.2">
      <c r="A20" t="str">
        <f>IF(SF_data!A20="","",SF_data!A20)</f>
        <v/>
      </c>
      <c r="B20" s="10" t="str">
        <f>IF(IF(SF_data!B20=0,SF_data!C20,SF_data!B20)=0,"",IF(SF_data!B20=0,SF_data!C20,SF_data!B20))</f>
        <v/>
      </c>
      <c r="C20" t="str">
        <f>IF(SF_data!D20="","",SF_data!D20)</f>
        <v/>
      </c>
      <c r="D20" s="4" t="str">
        <f>IF(SF_data!E20="","",SF_data!E20)</f>
        <v/>
      </c>
      <c r="E20" s="4" t="str">
        <f>IF(SF_data!F20="","",SF_data!F20)</f>
        <v/>
      </c>
      <c r="F20" s="11" t="str">
        <f>_xlfn.IFNA(VLOOKUP(A20,LLPs_Esc!A:D,4,0),IF(SF_data!G20="","",SF_data!G20/100))</f>
        <v/>
      </c>
    </row>
    <row r="21" spans="1:6" x14ac:dyDescent="0.2">
      <c r="A21" t="str">
        <f>IF(SF_data!A21="","",SF_data!A21)</f>
        <v/>
      </c>
      <c r="B21" s="10" t="str">
        <f>IF(IF(SF_data!B21=0,SF_data!C21,SF_data!B21)=0,"",IF(SF_data!B21=0,SF_data!C21,SF_data!B21))</f>
        <v/>
      </c>
      <c r="C21" t="str">
        <f>IF(SF_data!D21="","",SF_data!D21)</f>
        <v/>
      </c>
      <c r="D21" s="4" t="str">
        <f>IF(SF_data!E21="","",SF_data!E21)</f>
        <v/>
      </c>
      <c r="E21" s="4" t="str">
        <f>IF(SF_data!F21="","",SF_data!F21)</f>
        <v/>
      </c>
      <c r="F21" s="11" t="str">
        <f>_xlfn.IFNA(VLOOKUP(A21,LLPs_Esc!A:D,4,0),IF(SF_data!G21="","",SF_data!G21/100))</f>
        <v/>
      </c>
    </row>
    <row r="22" spans="1:6" x14ac:dyDescent="0.2">
      <c r="A22" t="str">
        <f>IF(SF_data!A22="","",SF_data!A22)</f>
        <v/>
      </c>
      <c r="B22" s="10" t="str">
        <f>IF(IF(SF_data!B22=0,SF_data!C22,SF_data!B22)=0,"",IF(SF_data!B22=0,SF_data!C22,SF_data!B22))</f>
        <v/>
      </c>
      <c r="C22" t="str">
        <f>IF(SF_data!D22="","",SF_data!D22)</f>
        <v/>
      </c>
      <c r="D22" s="4" t="str">
        <f>IF(SF_data!E22="","",SF_data!E22)</f>
        <v/>
      </c>
      <c r="E22" s="4" t="str">
        <f>IF(SF_data!F22="","",SF_data!F22)</f>
        <v/>
      </c>
      <c r="F22" s="11" t="str">
        <f>_xlfn.IFNA(VLOOKUP(A22,LLPs_Esc!A:D,4,0),IF(SF_data!G22="","",SF_data!G22/100))</f>
        <v/>
      </c>
    </row>
    <row r="23" spans="1:6" x14ac:dyDescent="0.2">
      <c r="A23" t="str">
        <f>IF(SF_data!A23="","",SF_data!A23)</f>
        <v/>
      </c>
      <c r="B23" s="10" t="str">
        <f>IF(IF(SF_data!B23=0,SF_data!C23,SF_data!B23)=0,"",IF(SF_data!B23=0,SF_data!C23,SF_data!B23))</f>
        <v/>
      </c>
      <c r="C23" t="str">
        <f>IF(SF_data!D23="","",SF_data!D23)</f>
        <v/>
      </c>
      <c r="D23" s="4" t="str">
        <f>IF(SF_data!E23="","",SF_data!E23)</f>
        <v/>
      </c>
      <c r="E23" s="4" t="str">
        <f>IF(SF_data!F23="","",SF_data!F23)</f>
        <v/>
      </c>
      <c r="F23" s="11" t="str">
        <f>_xlfn.IFNA(VLOOKUP(A23,LLPs_Esc!A:D,4,0),IF(SF_data!G23="","",SF_data!G23/100))</f>
        <v/>
      </c>
    </row>
    <row r="24" spans="1:6" x14ac:dyDescent="0.2">
      <c r="A24" t="str">
        <f>IF(SF_data!A24="","",SF_data!A24)</f>
        <v/>
      </c>
      <c r="B24" s="10" t="str">
        <f>IF(IF(SF_data!B24=0,SF_data!C24,SF_data!B24)=0,"",IF(SF_data!B24=0,SF_data!C24,SF_data!B24))</f>
        <v/>
      </c>
      <c r="C24" t="str">
        <f>IF(SF_data!D24="","",SF_data!D24)</f>
        <v/>
      </c>
      <c r="D24" s="4" t="str">
        <f>IF(SF_data!E24="","",SF_data!E24)</f>
        <v/>
      </c>
      <c r="E24" s="4" t="str">
        <f>IF(SF_data!F24="","",SF_data!F24)</f>
        <v/>
      </c>
      <c r="F24" s="11" t="str">
        <f>_xlfn.IFNA(VLOOKUP(A24,LLPs_Esc!A:D,4,0),IF(SF_data!G24="","",SF_data!G24/100))</f>
        <v/>
      </c>
    </row>
    <row r="25" spans="1:6" x14ac:dyDescent="0.2">
      <c r="A25" t="str">
        <f>IF(SF_data!A25="","",SF_data!A25)</f>
        <v/>
      </c>
      <c r="B25" s="10" t="str">
        <f>IF(IF(SF_data!B25=0,SF_data!C25,SF_data!B25)=0,"",IF(SF_data!B25=0,SF_data!C25,SF_data!B25))</f>
        <v/>
      </c>
      <c r="C25" t="str">
        <f>IF(SF_data!D25="","",SF_data!D25)</f>
        <v/>
      </c>
      <c r="D25" s="4" t="str">
        <f>IF(SF_data!E25="","",SF_data!E25)</f>
        <v/>
      </c>
      <c r="E25" s="4" t="str">
        <f>IF(SF_data!F25="","",SF_data!F25)</f>
        <v/>
      </c>
      <c r="F25" s="11" t="str">
        <f>_xlfn.IFNA(VLOOKUP(A25,LLPs_Esc!A:D,4,0),IF(SF_data!G25="","",SF_data!G25/100))</f>
        <v/>
      </c>
    </row>
    <row r="26" spans="1:6" x14ac:dyDescent="0.2">
      <c r="A26" t="str">
        <f>IF(SF_data!A26="","",SF_data!A26)</f>
        <v/>
      </c>
      <c r="B26" s="10" t="str">
        <f>IF(IF(SF_data!B26=0,SF_data!C26,SF_data!B26)=0,"",IF(SF_data!B26=0,SF_data!C26,SF_data!B26))</f>
        <v/>
      </c>
      <c r="C26" t="str">
        <f>IF(SF_data!D26="","",SF_data!D26)</f>
        <v/>
      </c>
      <c r="D26" s="4" t="str">
        <f>IF(SF_data!E26="","",SF_data!E26)</f>
        <v/>
      </c>
      <c r="E26" s="4" t="str">
        <f>IF(SF_data!F26="","",SF_data!F26)</f>
        <v/>
      </c>
      <c r="F26" s="11" t="str">
        <f>_xlfn.IFNA(VLOOKUP(A26,LLPs_Esc!A:D,4,0),IF(SF_data!G26="","",SF_data!G26/100))</f>
        <v/>
      </c>
    </row>
    <row r="27" spans="1:6" x14ac:dyDescent="0.2">
      <c r="A27" t="str">
        <f>IF(SF_data!A27="","",SF_data!A27)</f>
        <v/>
      </c>
      <c r="B27" s="10" t="str">
        <f>IF(IF(SF_data!B27=0,SF_data!C27,SF_data!B27)=0,"",IF(SF_data!B27=0,SF_data!C27,SF_data!B27))</f>
        <v/>
      </c>
      <c r="C27" t="str">
        <f>IF(SF_data!D27="","",SF_data!D27)</f>
        <v/>
      </c>
      <c r="D27" s="4" t="str">
        <f>IF(SF_data!E27="","",SF_data!E27)</f>
        <v/>
      </c>
      <c r="E27" s="4" t="str">
        <f>IF(SF_data!F27="","",SF_data!F27)</f>
        <v/>
      </c>
      <c r="F27" s="11" t="str">
        <f>_xlfn.IFNA(VLOOKUP(A27,LLPs_Esc!A:D,4,0),IF(SF_data!G27="","",SF_data!G27/100))</f>
        <v/>
      </c>
    </row>
    <row r="28" spans="1:6" x14ac:dyDescent="0.2">
      <c r="A28" t="str">
        <f>IF(SF_data!A28="","",SF_data!A28)</f>
        <v/>
      </c>
      <c r="B28" s="10" t="str">
        <f>IF(IF(SF_data!B28=0,SF_data!C28,SF_data!B28)=0,"",IF(SF_data!B28=0,SF_data!C28,SF_data!B28))</f>
        <v/>
      </c>
      <c r="C28" t="str">
        <f>IF(SF_data!D28="","",SF_data!D28)</f>
        <v/>
      </c>
      <c r="D28" s="4" t="str">
        <f>IF(SF_data!E28="","",SF_data!E28)</f>
        <v/>
      </c>
      <c r="E28" s="4" t="str">
        <f>IF(SF_data!F28="","",SF_data!F28)</f>
        <v/>
      </c>
      <c r="F28" s="11" t="str">
        <f>_xlfn.IFNA(VLOOKUP(A28,LLPs_Esc!A:D,4,0),IF(SF_data!G28="","",SF_data!G28/100))</f>
        <v/>
      </c>
    </row>
    <row r="29" spans="1:6" x14ac:dyDescent="0.2">
      <c r="A29" t="str">
        <f>IF(SF_data!A29="","",SF_data!A29)</f>
        <v/>
      </c>
      <c r="B29" s="10" t="str">
        <f>IF(IF(SF_data!B29=0,SF_data!C29,SF_data!B29)=0,"",IF(SF_data!B29=0,SF_data!C29,SF_data!B29))</f>
        <v/>
      </c>
      <c r="C29" t="str">
        <f>IF(SF_data!D29="","",SF_data!D29)</f>
        <v/>
      </c>
      <c r="D29" s="4" t="str">
        <f>IF(SF_data!E29="","",SF_data!E29)</f>
        <v/>
      </c>
      <c r="E29" s="4" t="str">
        <f>IF(SF_data!F29="","",SF_data!F29)</f>
        <v/>
      </c>
      <c r="F29" s="11" t="str">
        <f>_xlfn.IFNA(VLOOKUP(A29,LLPs_Esc!A:D,4,0),IF(SF_data!G29="","",SF_data!G29/100))</f>
        <v/>
      </c>
    </row>
    <row r="30" spans="1:6" x14ac:dyDescent="0.2">
      <c r="A30" t="str">
        <f>IF(SF_data!A30="","",SF_data!A30)</f>
        <v/>
      </c>
      <c r="B30" s="10" t="str">
        <f>IF(IF(SF_data!B30=0,SF_data!C30,SF_data!B30)=0,"",IF(SF_data!B30=0,SF_data!C30,SF_data!B30))</f>
        <v/>
      </c>
      <c r="C30" t="str">
        <f>IF(SF_data!D30="","",SF_data!D30)</f>
        <v/>
      </c>
      <c r="D30" s="4" t="str">
        <f>IF(SF_data!E30="","",SF_data!E30)</f>
        <v/>
      </c>
      <c r="E30" s="4" t="str">
        <f>IF(SF_data!F30="","",SF_data!F30)</f>
        <v/>
      </c>
      <c r="F30" s="11" t="str">
        <f>_xlfn.IFNA(VLOOKUP(A30,LLPs_Esc!A:D,4,0),IF(SF_data!G30="","",SF_data!G30/100))</f>
        <v/>
      </c>
    </row>
    <row r="31" spans="1:6" x14ac:dyDescent="0.2">
      <c r="A31" t="str">
        <f>IF(SF_data!A31="","",SF_data!A31)</f>
        <v/>
      </c>
      <c r="B31" s="10" t="str">
        <f>IF(IF(SF_data!B31=0,SF_data!C31,SF_data!B31)=0,"",IF(SF_data!B31=0,SF_data!C31,SF_data!B31))</f>
        <v/>
      </c>
      <c r="C31" t="str">
        <f>IF(SF_data!D31="","",SF_data!D31)</f>
        <v/>
      </c>
      <c r="D31" s="4" t="str">
        <f>IF(SF_data!E31="","",SF_data!E31)</f>
        <v/>
      </c>
      <c r="E31" s="4" t="str">
        <f>IF(SF_data!F31="","",SF_data!F31)</f>
        <v/>
      </c>
      <c r="F31" s="11" t="str">
        <f>_xlfn.IFNA(VLOOKUP(A31,LLPs_Esc!A:D,4,0),IF(SF_data!G31="","",SF_data!G31/100))</f>
        <v/>
      </c>
    </row>
    <row r="32" spans="1:6" x14ac:dyDescent="0.2">
      <c r="A32" t="str">
        <f>IF(SF_data!A32="","",SF_data!A32)</f>
        <v/>
      </c>
      <c r="B32" s="10" t="str">
        <f>IF(IF(SF_data!B32=0,SF_data!C32,SF_data!B32)=0,"",IF(SF_data!B32=0,SF_data!C32,SF_data!B32))</f>
        <v/>
      </c>
      <c r="C32" t="str">
        <f>IF(SF_data!D32="","",SF_data!D32)</f>
        <v/>
      </c>
      <c r="D32" s="4" t="str">
        <f>IF(SF_data!E32="","",SF_data!E32)</f>
        <v/>
      </c>
      <c r="E32" s="4" t="str">
        <f>IF(SF_data!F32="","",SF_data!F32)</f>
        <v/>
      </c>
      <c r="F32" s="11" t="str">
        <f>_xlfn.IFNA(VLOOKUP(A32,LLPs_Esc!A:D,4,0),IF(SF_data!G32="","",SF_data!G32/100))</f>
        <v/>
      </c>
    </row>
    <row r="33" spans="1:6" x14ac:dyDescent="0.2">
      <c r="A33" t="str">
        <f>IF(SF_data!A33="","",SF_data!A33)</f>
        <v/>
      </c>
      <c r="B33" s="10" t="str">
        <f>IF(IF(SF_data!B33=0,SF_data!C33,SF_data!B33)=0,"",IF(SF_data!B33=0,SF_data!C33,SF_data!B33))</f>
        <v/>
      </c>
      <c r="C33" t="str">
        <f>IF(SF_data!D33="","",SF_data!D33)</f>
        <v/>
      </c>
      <c r="D33" s="4" t="str">
        <f>IF(SF_data!E33="","",SF_data!E33)</f>
        <v/>
      </c>
      <c r="E33" s="4" t="str">
        <f>IF(SF_data!F33="","",SF_data!F33)</f>
        <v/>
      </c>
      <c r="F33" s="11" t="str">
        <f>_xlfn.IFNA(VLOOKUP(A33,LLPs_Esc!A:D,4,0),IF(SF_data!G33="","",SF_data!G33/100))</f>
        <v/>
      </c>
    </row>
    <row r="34" spans="1:6" x14ac:dyDescent="0.2">
      <c r="A34" t="str">
        <f>IF(SF_data!A34="","",SF_data!A34)</f>
        <v/>
      </c>
      <c r="B34" s="10" t="str">
        <f>IF(IF(SF_data!B34=0,SF_data!C34,SF_data!B34)=0,"",IF(SF_data!B34=0,SF_data!C34,SF_data!B34))</f>
        <v/>
      </c>
      <c r="C34" t="str">
        <f>IF(SF_data!D34="","",SF_data!D34)</f>
        <v/>
      </c>
      <c r="D34" s="4" t="str">
        <f>IF(SF_data!E34="","",SF_data!E34)</f>
        <v/>
      </c>
      <c r="E34" s="4" t="str">
        <f>IF(SF_data!F34="","",SF_data!F34)</f>
        <v/>
      </c>
      <c r="F34" s="11" t="str">
        <f>_xlfn.IFNA(VLOOKUP(A34,LLPs_Esc!A:D,4,0),IF(SF_data!G34="","",SF_data!G34/100))</f>
        <v/>
      </c>
    </row>
    <row r="35" spans="1:6" x14ac:dyDescent="0.2">
      <c r="A35" t="str">
        <f>IF(SF_data!A35="","",SF_data!A35)</f>
        <v/>
      </c>
      <c r="B35" s="10" t="str">
        <f>IF(IF(SF_data!B35=0,SF_data!C35,SF_data!B35)=0,"",IF(SF_data!B35=0,SF_data!C35,SF_data!B35))</f>
        <v/>
      </c>
      <c r="C35" t="str">
        <f>IF(SF_data!D35="","",SF_data!D35)</f>
        <v/>
      </c>
      <c r="D35" s="4" t="str">
        <f>IF(SF_data!E35="","",SF_data!E35)</f>
        <v/>
      </c>
      <c r="E35" s="4" t="str">
        <f>IF(SF_data!F35="","",SF_data!F35)</f>
        <v/>
      </c>
      <c r="F35" s="11" t="str">
        <f>_xlfn.IFNA(VLOOKUP(A35,LLPs_Esc!A:D,4,0),IF(SF_data!G35="","",SF_data!G35/100))</f>
        <v/>
      </c>
    </row>
    <row r="36" spans="1:6" x14ac:dyDescent="0.2">
      <c r="A36" t="str">
        <f>IF(SF_data!A36="","",SF_data!A36)</f>
        <v/>
      </c>
      <c r="B36" s="10" t="str">
        <f>IF(IF(SF_data!B36=0,SF_data!C36,SF_data!B36)=0,"",IF(SF_data!B36=0,SF_data!C36,SF_data!B36))</f>
        <v/>
      </c>
      <c r="C36" t="str">
        <f>IF(SF_data!D36="","",SF_data!D36)</f>
        <v/>
      </c>
      <c r="D36" s="4" t="str">
        <f>IF(SF_data!E36="","",SF_data!E36)</f>
        <v/>
      </c>
      <c r="E36" s="4" t="str">
        <f>IF(SF_data!F36="","",SF_data!F36)</f>
        <v/>
      </c>
      <c r="F36" s="11" t="str">
        <f>_xlfn.IFNA(VLOOKUP(A36,LLPs_Esc!A:D,4,0),IF(SF_data!G36="","",SF_data!G36/100))</f>
        <v/>
      </c>
    </row>
    <row r="37" spans="1:6" x14ac:dyDescent="0.2">
      <c r="A37" t="str">
        <f>IF(SF_data!A37="","",SF_data!A37)</f>
        <v/>
      </c>
      <c r="B37" s="10" t="str">
        <f>IF(IF(SF_data!B37=0,SF_data!C37,SF_data!B37)=0,"",IF(SF_data!B37=0,SF_data!C37,SF_data!B37))</f>
        <v/>
      </c>
      <c r="C37" t="str">
        <f>IF(SF_data!D37="","",SF_data!D37)</f>
        <v/>
      </c>
      <c r="D37" s="4" t="str">
        <f>IF(SF_data!E37="","",SF_data!E37)</f>
        <v/>
      </c>
      <c r="E37" s="4" t="str">
        <f>IF(SF_data!F37="","",SF_data!F37)</f>
        <v/>
      </c>
      <c r="F37" s="11" t="str">
        <f>_xlfn.IFNA(VLOOKUP(A37,LLPs_Esc!A:D,4,0),IF(SF_data!G37="","",SF_data!G37/100))</f>
        <v/>
      </c>
    </row>
    <row r="38" spans="1:6" x14ac:dyDescent="0.2">
      <c r="A38" t="str">
        <f>IF(SF_data!A38="","",SF_data!A38)</f>
        <v/>
      </c>
      <c r="B38" s="10" t="str">
        <f>IF(IF(SF_data!B38=0,SF_data!C38,SF_data!B38)=0,"",IF(SF_data!B38=0,SF_data!C38,SF_data!B38))</f>
        <v/>
      </c>
      <c r="C38" t="str">
        <f>IF(SF_data!D38="","",SF_data!D38)</f>
        <v/>
      </c>
      <c r="D38" s="4" t="str">
        <f>IF(SF_data!E38="","",SF_data!E38)</f>
        <v/>
      </c>
      <c r="E38" s="4" t="str">
        <f>IF(SF_data!F38="","",SF_data!F38)</f>
        <v/>
      </c>
      <c r="F38" s="11" t="str">
        <f>_xlfn.IFNA(VLOOKUP(A38,LLPs_Esc!A:D,4,0),IF(SF_data!G38="","",SF_data!G38/100))</f>
        <v/>
      </c>
    </row>
    <row r="39" spans="1:6" x14ac:dyDescent="0.2">
      <c r="A39" t="str">
        <f>IF(SF_data!A39="","",SF_data!A39)</f>
        <v/>
      </c>
      <c r="B39" s="10" t="str">
        <f>IF(IF(SF_data!B39=0,SF_data!C39,SF_data!B39)=0,"",IF(SF_data!B39=0,SF_data!C39,SF_data!B39))</f>
        <v/>
      </c>
      <c r="C39" t="str">
        <f>IF(SF_data!D39="","",SF_data!D39)</f>
        <v/>
      </c>
      <c r="D39" s="4" t="str">
        <f>IF(SF_data!E39="","",SF_data!E39)</f>
        <v/>
      </c>
      <c r="E39" s="4" t="str">
        <f>IF(SF_data!F39="","",SF_data!F39)</f>
        <v/>
      </c>
      <c r="F39" s="11" t="str">
        <f>_xlfn.IFNA(VLOOKUP(A39,LLPs_Esc!A:D,4,0),IF(SF_data!G39="","",SF_data!G39/100))</f>
        <v/>
      </c>
    </row>
    <row r="40" spans="1:6" x14ac:dyDescent="0.2">
      <c r="A40" t="str">
        <f>IF(SF_data!A40="","",SF_data!A40)</f>
        <v/>
      </c>
      <c r="B40" s="10" t="str">
        <f>IF(IF(SF_data!B40=0,SF_data!C40,SF_data!B40)=0,"",IF(SF_data!B40=0,SF_data!C40,SF_data!B40))</f>
        <v/>
      </c>
      <c r="C40" t="str">
        <f>IF(SF_data!D40="","",SF_data!D40)</f>
        <v/>
      </c>
      <c r="D40" s="4" t="str">
        <f>IF(SF_data!E40="","",SF_data!E40)</f>
        <v/>
      </c>
      <c r="E40" s="4" t="str">
        <f>IF(SF_data!F40="","",SF_data!F40)</f>
        <v/>
      </c>
      <c r="F40" s="11" t="str">
        <f>_xlfn.IFNA(VLOOKUP(A40,LLPs_Esc!A:D,4,0),IF(SF_data!G40="","",SF_data!G40/100))</f>
        <v/>
      </c>
    </row>
    <row r="41" spans="1:6" x14ac:dyDescent="0.2">
      <c r="A41" t="str">
        <f>IF(SF_data!A41="","",SF_data!A41)</f>
        <v/>
      </c>
      <c r="B41" s="10" t="str">
        <f>IF(IF(SF_data!B41=0,SF_data!C41,SF_data!B41)=0,"",IF(SF_data!B41=0,SF_data!C41,SF_data!B41))</f>
        <v/>
      </c>
      <c r="C41" t="str">
        <f>IF(SF_data!D41="","",SF_data!D41)</f>
        <v/>
      </c>
      <c r="D41" s="4" t="str">
        <f>IF(SF_data!E41="","",SF_data!E41)</f>
        <v/>
      </c>
      <c r="E41" s="4" t="str">
        <f>IF(SF_data!F41="","",SF_data!F41)</f>
        <v/>
      </c>
      <c r="F41" s="11" t="str">
        <f>_xlfn.IFNA(VLOOKUP(A41,LLPs_Esc!A:D,4,0),IF(SF_data!G41="","",SF_data!G41/100))</f>
        <v/>
      </c>
    </row>
    <row r="42" spans="1:6" x14ac:dyDescent="0.2">
      <c r="A42" t="str">
        <f>IF(SF_data!A42="","",SF_data!A42)</f>
        <v/>
      </c>
      <c r="B42" s="10" t="str">
        <f>IF(IF(SF_data!B42=0,SF_data!C42,SF_data!B42)=0,"",IF(SF_data!B42=0,SF_data!C42,SF_data!B42))</f>
        <v/>
      </c>
      <c r="C42" t="str">
        <f>IF(SF_data!D42="","",SF_data!D42)</f>
        <v/>
      </c>
      <c r="D42" s="4" t="str">
        <f>IF(SF_data!E42="","",SF_data!E42)</f>
        <v/>
      </c>
      <c r="E42" s="4" t="str">
        <f>IF(SF_data!F42="","",SF_data!F42)</f>
        <v/>
      </c>
      <c r="F42" s="11" t="str">
        <f>_xlfn.IFNA(VLOOKUP(A42,LLPs_Esc!A:D,4,0),IF(SF_data!G42="","",SF_data!G42/100))</f>
        <v/>
      </c>
    </row>
    <row r="43" spans="1:6" x14ac:dyDescent="0.2">
      <c r="A43" t="str">
        <f>IF(SF_data!A43="","",SF_data!A43)</f>
        <v/>
      </c>
      <c r="B43" s="10" t="str">
        <f>IF(IF(SF_data!B43=0,SF_data!C43,SF_data!B43)=0,"",IF(SF_data!B43=0,SF_data!C43,SF_data!B43))</f>
        <v/>
      </c>
      <c r="C43" t="str">
        <f>IF(SF_data!D43="","",SF_data!D43)</f>
        <v/>
      </c>
      <c r="D43" s="4" t="str">
        <f>IF(SF_data!E43="","",SF_data!E43)</f>
        <v/>
      </c>
      <c r="E43" s="4" t="str">
        <f>IF(SF_data!F43="","",SF_data!F43)</f>
        <v/>
      </c>
      <c r="F43" s="11" t="str">
        <f>_xlfn.IFNA(VLOOKUP(A43,LLPs_Esc!A:D,4,0),IF(SF_data!G43="","",SF_data!G43/100))</f>
        <v/>
      </c>
    </row>
    <row r="44" spans="1:6" x14ac:dyDescent="0.2">
      <c r="A44" t="str">
        <f>IF(SF_data!A44="","",SF_data!A44)</f>
        <v/>
      </c>
      <c r="B44" s="10" t="str">
        <f>IF(IF(SF_data!B44=0,SF_data!C44,SF_data!B44)=0,"",IF(SF_data!B44=0,SF_data!C44,SF_data!B44))</f>
        <v/>
      </c>
      <c r="C44" t="str">
        <f>IF(SF_data!D44="","",SF_data!D44)</f>
        <v/>
      </c>
      <c r="D44" s="4" t="str">
        <f>IF(SF_data!E44="","",SF_data!E44)</f>
        <v/>
      </c>
      <c r="E44" s="4" t="str">
        <f>IF(SF_data!F44="","",SF_data!F44)</f>
        <v/>
      </c>
      <c r="F44" s="11" t="str">
        <f>_xlfn.IFNA(VLOOKUP(A44,LLPs_Esc!A:D,4,0),IF(SF_data!G44="","",SF_data!G44/100))</f>
        <v/>
      </c>
    </row>
    <row r="45" spans="1:6" x14ac:dyDescent="0.2">
      <c r="A45" t="str">
        <f>IF(SF_data!A45="","",SF_data!A45)</f>
        <v/>
      </c>
      <c r="B45" s="10" t="str">
        <f>IF(IF(SF_data!B45=0,SF_data!C45,SF_data!B45)=0,"",IF(SF_data!B45=0,SF_data!C45,SF_data!B45))</f>
        <v/>
      </c>
      <c r="C45" t="str">
        <f>IF(SF_data!D45="","",SF_data!D45)</f>
        <v/>
      </c>
      <c r="D45" s="4" t="str">
        <f>IF(SF_data!E45="","",SF_data!E45)</f>
        <v/>
      </c>
      <c r="E45" s="4" t="str">
        <f>IF(SF_data!F45="","",SF_data!F45)</f>
        <v/>
      </c>
      <c r="F45" s="11" t="str">
        <f>_xlfn.IFNA(VLOOKUP(A45,LLPs_Esc!A:D,4,0),IF(SF_data!G45="","",SF_data!G45/100))</f>
        <v/>
      </c>
    </row>
    <row r="46" spans="1:6" x14ac:dyDescent="0.2">
      <c r="A46" t="str">
        <f>IF(SF_data!A46="","",SF_data!A46)</f>
        <v/>
      </c>
      <c r="B46" s="10" t="str">
        <f>IF(IF(SF_data!B46=0,SF_data!C46,SF_data!B46)=0,"",IF(SF_data!B46=0,SF_data!C46,SF_data!B46))</f>
        <v/>
      </c>
      <c r="C46" t="str">
        <f>IF(SF_data!D46="","",SF_data!D46)</f>
        <v/>
      </c>
      <c r="D46" s="4" t="str">
        <f>IF(SF_data!E46="","",SF_data!E46)</f>
        <v/>
      </c>
      <c r="E46" s="4" t="str">
        <f>IF(SF_data!F46="","",SF_data!F46)</f>
        <v/>
      </c>
      <c r="F46" s="11" t="str">
        <f>_xlfn.IFNA(VLOOKUP(A46,LLPs_Esc!A:D,4,0),IF(SF_data!G46="","",SF_data!G46/100))</f>
        <v/>
      </c>
    </row>
    <row r="47" spans="1:6" x14ac:dyDescent="0.2">
      <c r="A47" t="str">
        <f>IF(SF_data!A47="","",SF_data!A47)</f>
        <v/>
      </c>
      <c r="B47" s="10" t="str">
        <f>IF(IF(SF_data!B47=0,SF_data!C47,SF_data!B47)=0,"",IF(SF_data!B47=0,SF_data!C47,SF_data!B47))</f>
        <v/>
      </c>
      <c r="C47" t="str">
        <f>IF(SF_data!D47="","",SF_data!D47)</f>
        <v/>
      </c>
      <c r="D47" s="4" t="str">
        <f>IF(SF_data!E47="","",SF_data!E47)</f>
        <v/>
      </c>
      <c r="E47" s="4" t="str">
        <f>IF(SF_data!F47="","",SF_data!F47)</f>
        <v/>
      </c>
      <c r="F47" s="11" t="str">
        <f>_xlfn.IFNA(VLOOKUP(A47,LLPs_Esc!A:D,4,0),IF(SF_data!G47="","",SF_data!G47/100))</f>
        <v/>
      </c>
    </row>
    <row r="48" spans="1:6" x14ac:dyDescent="0.2">
      <c r="A48" t="str">
        <f>IF(SF_data!A48="","",SF_data!A48)</f>
        <v/>
      </c>
      <c r="B48" s="10" t="str">
        <f>IF(IF(SF_data!B48=0,SF_data!C48,SF_data!B48)=0,"",IF(SF_data!B48=0,SF_data!C48,SF_data!B48))</f>
        <v/>
      </c>
      <c r="C48" t="str">
        <f>IF(SF_data!D48="","",SF_data!D48)</f>
        <v/>
      </c>
      <c r="D48" s="4" t="str">
        <f>IF(SF_data!E48="","",SF_data!E48)</f>
        <v/>
      </c>
      <c r="E48" s="4" t="str">
        <f>IF(SF_data!F48="","",SF_data!F48)</f>
        <v/>
      </c>
      <c r="F48" s="11" t="str">
        <f>_xlfn.IFNA(VLOOKUP(A48,LLPs_Esc!A:D,4,0),IF(SF_data!G48="","",SF_data!G48/100))</f>
        <v/>
      </c>
    </row>
    <row r="49" spans="1:6" x14ac:dyDescent="0.2">
      <c r="A49" t="str">
        <f>IF(SF_data!A49="","",SF_data!A49)</f>
        <v/>
      </c>
      <c r="B49" s="10" t="str">
        <f>IF(IF(SF_data!B49=0,SF_data!C49,SF_data!B49)=0,"",IF(SF_data!B49=0,SF_data!C49,SF_data!B49))</f>
        <v/>
      </c>
      <c r="C49" t="str">
        <f>IF(SF_data!D49="","",SF_data!D49)</f>
        <v/>
      </c>
      <c r="D49" s="4" t="str">
        <f>IF(SF_data!E49="","",SF_data!E49)</f>
        <v/>
      </c>
      <c r="E49" s="4" t="str">
        <f>IF(SF_data!F49="","",SF_data!F49)</f>
        <v/>
      </c>
      <c r="F49" s="11" t="str">
        <f>_xlfn.IFNA(VLOOKUP(A49,LLPs_Esc!A:D,4,0),IF(SF_data!G49="","",SF_data!G49/100))</f>
        <v/>
      </c>
    </row>
    <row r="50" spans="1:6" x14ac:dyDescent="0.2">
      <c r="A50" t="str">
        <f>IF(SF_data!A50="","",SF_data!A50)</f>
        <v/>
      </c>
      <c r="B50" s="10" t="str">
        <f>IF(IF(SF_data!B50=0,SF_data!C50,SF_data!B50)=0,"",IF(SF_data!B50=0,SF_data!C50,SF_data!B50))</f>
        <v/>
      </c>
      <c r="C50" t="str">
        <f>IF(SF_data!D50="","",SF_data!D50)</f>
        <v/>
      </c>
      <c r="D50" s="4" t="str">
        <f>IF(SF_data!E50="","",SF_data!E50)</f>
        <v/>
      </c>
      <c r="E50" s="4" t="str">
        <f>IF(SF_data!F50="","",SF_data!F50)</f>
        <v/>
      </c>
      <c r="F50" s="11" t="str">
        <f>_xlfn.IFNA(VLOOKUP(A50,LLPs_Esc!A:D,4,0),IF(SF_data!G50="","",SF_data!G50/100))</f>
        <v/>
      </c>
    </row>
    <row r="51" spans="1:6" x14ac:dyDescent="0.2">
      <c r="A51" t="str">
        <f>IF(SF_data!A51="","",SF_data!A51)</f>
        <v/>
      </c>
      <c r="B51" s="10" t="str">
        <f>IF(IF(SF_data!B51=0,SF_data!C51,SF_data!B51)=0,"",IF(SF_data!B51=0,SF_data!C51,SF_data!B51))</f>
        <v/>
      </c>
      <c r="C51" t="str">
        <f>IF(SF_data!D51="","",SF_data!D51)</f>
        <v/>
      </c>
      <c r="D51" s="4" t="str">
        <f>IF(SF_data!E51="","",SF_data!E51)</f>
        <v/>
      </c>
      <c r="E51" s="4" t="str">
        <f>IF(SF_data!F51="","",SF_data!F51)</f>
        <v/>
      </c>
      <c r="F51" s="11" t="str">
        <f>_xlfn.IFNA(VLOOKUP(A51,LLPs_Esc!A:D,4,0),IF(SF_data!G51="","",SF_data!G51/100))</f>
        <v/>
      </c>
    </row>
    <row r="52" spans="1:6" x14ac:dyDescent="0.2">
      <c r="A52" t="str">
        <f>IF(SF_data!A52="","",SF_data!A52)</f>
        <v/>
      </c>
      <c r="B52" s="10" t="str">
        <f>IF(IF(SF_data!B52=0,SF_data!C52,SF_data!B52)=0,"",IF(SF_data!B52=0,SF_data!C52,SF_data!B52))</f>
        <v/>
      </c>
      <c r="C52" t="str">
        <f>IF(SF_data!D52="","",SF_data!D52)</f>
        <v/>
      </c>
      <c r="D52" s="4" t="str">
        <f>IF(SF_data!E52="","",SF_data!E52)</f>
        <v/>
      </c>
      <c r="E52" s="4" t="str">
        <f>IF(SF_data!F52="","",SF_data!F52)</f>
        <v/>
      </c>
      <c r="F52" s="11" t="str">
        <f>_xlfn.IFNA(VLOOKUP(A52,LLPs_Esc!A:D,4,0),IF(SF_data!G52="","",SF_data!G52/100))</f>
        <v/>
      </c>
    </row>
    <row r="53" spans="1:6" x14ac:dyDescent="0.2">
      <c r="A53" t="str">
        <f>IF(SF_data!A53="","",SF_data!A53)</f>
        <v/>
      </c>
      <c r="B53" s="10" t="str">
        <f>IF(IF(SF_data!B53=0,SF_data!C53,SF_data!B53)=0,"",IF(SF_data!B53=0,SF_data!C53,SF_data!B53))</f>
        <v/>
      </c>
      <c r="C53" t="str">
        <f>IF(SF_data!D53="","",SF_data!D53)</f>
        <v/>
      </c>
      <c r="D53" s="4" t="str">
        <f>IF(SF_data!E53="","",SF_data!E53)</f>
        <v/>
      </c>
      <c r="E53" s="4" t="str">
        <f>IF(SF_data!F53="","",SF_data!F53)</f>
        <v/>
      </c>
      <c r="F53" s="11" t="str">
        <f>_xlfn.IFNA(VLOOKUP(A53,LLPs_Esc!A:D,4,0),IF(SF_data!G53="","",SF_data!G53/100))</f>
        <v/>
      </c>
    </row>
    <row r="54" spans="1:6" x14ac:dyDescent="0.2">
      <c r="A54" t="str">
        <f>IF(SF_data!A54="","",SF_data!A54)</f>
        <v/>
      </c>
      <c r="B54" s="10" t="str">
        <f>IF(IF(SF_data!B54=0,SF_data!C54,SF_data!B54)=0,"",IF(SF_data!B54=0,SF_data!C54,SF_data!B54))</f>
        <v/>
      </c>
      <c r="C54" t="str">
        <f>IF(SF_data!D54="","",SF_data!D54)</f>
        <v/>
      </c>
      <c r="D54" s="4" t="str">
        <f>IF(SF_data!E54="","",SF_data!E54)</f>
        <v/>
      </c>
      <c r="E54" s="4" t="str">
        <f>IF(SF_data!F54="","",SF_data!F54)</f>
        <v/>
      </c>
      <c r="F54" s="11" t="str">
        <f>_xlfn.IFNA(VLOOKUP(A54,LLPs_Esc!A:D,4,0),IF(SF_data!G54="","",SF_data!G54/100))</f>
        <v/>
      </c>
    </row>
    <row r="55" spans="1:6" x14ac:dyDescent="0.2">
      <c r="A55" t="str">
        <f>IF(SF_data!A55="","",SF_data!A55)</f>
        <v/>
      </c>
      <c r="B55" s="10" t="str">
        <f>IF(IF(SF_data!B55=0,SF_data!C55,SF_data!B55)=0,"",IF(SF_data!B55=0,SF_data!C55,SF_data!B55))</f>
        <v/>
      </c>
      <c r="C55" t="str">
        <f>IF(SF_data!D55="","",SF_data!D55)</f>
        <v/>
      </c>
      <c r="D55" s="4" t="str">
        <f>IF(SF_data!E55="","",SF_data!E55)</f>
        <v/>
      </c>
      <c r="E55" s="4" t="str">
        <f>IF(SF_data!F55="","",SF_data!F55)</f>
        <v/>
      </c>
      <c r="F55" s="11" t="str">
        <f>_xlfn.IFNA(VLOOKUP(A55,LLPs_Esc!A:D,4,0),IF(SF_data!G55="","",SF_data!G55/100))</f>
        <v/>
      </c>
    </row>
    <row r="56" spans="1:6" x14ac:dyDescent="0.2">
      <c r="A56" t="str">
        <f>IF(SF_data!A56="","",SF_data!A56)</f>
        <v/>
      </c>
      <c r="B56" s="10" t="str">
        <f>IF(IF(SF_data!B56=0,SF_data!C56,SF_data!B56)=0,"",IF(SF_data!B56=0,SF_data!C56,SF_data!B56))</f>
        <v/>
      </c>
      <c r="C56" t="str">
        <f>IF(SF_data!D56="","",SF_data!D56)</f>
        <v/>
      </c>
      <c r="D56" s="4" t="str">
        <f>IF(SF_data!E56="","",SF_data!E56)</f>
        <v/>
      </c>
      <c r="E56" s="4" t="str">
        <f>IF(SF_data!F56="","",SF_data!F56)</f>
        <v/>
      </c>
      <c r="F56" s="11" t="str">
        <f>_xlfn.IFNA(VLOOKUP(A56,LLPs_Esc!A:D,4,0),IF(SF_data!G56="","",SF_data!G56/100))</f>
        <v/>
      </c>
    </row>
    <row r="57" spans="1:6" x14ac:dyDescent="0.2">
      <c r="A57" t="str">
        <f>IF(SF_data!A57="","",SF_data!A57)</f>
        <v/>
      </c>
      <c r="B57" s="10" t="str">
        <f>IF(IF(SF_data!B57=0,SF_data!C57,SF_data!B57)=0,"",IF(SF_data!B57=0,SF_data!C57,SF_data!B57))</f>
        <v/>
      </c>
      <c r="C57" t="str">
        <f>IF(SF_data!D57="","",SF_data!D57)</f>
        <v/>
      </c>
      <c r="D57" s="4" t="str">
        <f>IF(SF_data!E57="","",SF_data!E57)</f>
        <v/>
      </c>
      <c r="E57" s="4" t="str">
        <f>IF(SF_data!F57="","",SF_data!F57)</f>
        <v/>
      </c>
      <c r="F57" s="11" t="str">
        <f>_xlfn.IFNA(VLOOKUP(A57,LLPs_Esc!A:D,4,0),IF(SF_data!G57="","",SF_data!G57/100))</f>
        <v/>
      </c>
    </row>
    <row r="58" spans="1:6" x14ac:dyDescent="0.2">
      <c r="A58" t="str">
        <f>IF(SF_data!A58="","",SF_data!A58)</f>
        <v/>
      </c>
      <c r="B58" s="10" t="str">
        <f>IF(IF(SF_data!B58=0,SF_data!C58,SF_data!B58)=0,"",IF(SF_data!B58=0,SF_data!C58,SF_data!B58))</f>
        <v/>
      </c>
      <c r="C58" t="str">
        <f>IF(SF_data!D58="","",SF_data!D58)</f>
        <v/>
      </c>
      <c r="D58" s="4" t="str">
        <f>IF(SF_data!E58="","",SF_data!E58)</f>
        <v/>
      </c>
      <c r="E58" s="4" t="str">
        <f>IF(SF_data!F58="","",SF_data!F58)</f>
        <v/>
      </c>
      <c r="F58" s="11" t="str">
        <f>_xlfn.IFNA(VLOOKUP(A58,LLPs_Esc!A:D,4,0),IF(SF_data!G58="","",SF_data!G58/100))</f>
        <v/>
      </c>
    </row>
    <row r="59" spans="1:6" x14ac:dyDescent="0.2">
      <c r="A59" t="str">
        <f>IF(SF_data!A59="","",SF_data!A59)</f>
        <v/>
      </c>
      <c r="B59" s="10" t="str">
        <f>IF(IF(SF_data!B59=0,SF_data!C59,SF_data!B59)=0,"",IF(SF_data!B59=0,SF_data!C59,SF_data!B59))</f>
        <v/>
      </c>
      <c r="C59" t="str">
        <f>IF(SF_data!D59="","",SF_data!D59)</f>
        <v/>
      </c>
      <c r="D59" s="4" t="str">
        <f>IF(SF_data!E59="","",SF_data!E59)</f>
        <v/>
      </c>
      <c r="E59" s="4" t="str">
        <f>IF(SF_data!F59="","",SF_data!F59)</f>
        <v/>
      </c>
      <c r="F59" s="11" t="str">
        <f>_xlfn.IFNA(VLOOKUP(A59,LLPs_Esc!A:D,4,0),IF(SF_data!G59="","",SF_data!G59/100))</f>
        <v/>
      </c>
    </row>
    <row r="60" spans="1:6" x14ac:dyDescent="0.2">
      <c r="A60" t="str">
        <f>IF(SF_data!A60="","",SF_data!A60)</f>
        <v/>
      </c>
      <c r="B60" s="10" t="str">
        <f>IF(IF(SF_data!B60=0,SF_data!C60,SF_data!B60)=0,"",IF(SF_data!B60=0,SF_data!C60,SF_data!B60))</f>
        <v/>
      </c>
      <c r="C60" t="str">
        <f>IF(SF_data!D60="","",SF_data!D60)</f>
        <v/>
      </c>
      <c r="D60" s="4" t="str">
        <f>IF(SF_data!E60="","",SF_data!E60)</f>
        <v/>
      </c>
      <c r="E60" s="4" t="str">
        <f>IF(SF_data!F60="","",SF_data!F60)</f>
        <v/>
      </c>
      <c r="F60" s="11" t="str">
        <f>_xlfn.IFNA(VLOOKUP(A60,LLPs_Esc!A:D,4,0),IF(SF_data!G60="","",SF_data!G60/100))</f>
        <v/>
      </c>
    </row>
    <row r="61" spans="1:6" x14ac:dyDescent="0.2">
      <c r="A61" t="str">
        <f>IF(SF_data!A61="","",SF_data!A61)</f>
        <v/>
      </c>
      <c r="B61" s="10" t="str">
        <f>IF(IF(SF_data!B61=0,SF_data!C61,SF_data!B61)=0,"",IF(SF_data!B61=0,SF_data!C61,SF_data!B61))</f>
        <v/>
      </c>
      <c r="C61" t="str">
        <f>IF(SF_data!D61="","",SF_data!D61)</f>
        <v/>
      </c>
      <c r="D61" s="4" t="str">
        <f>IF(SF_data!E61="","",SF_data!E61)</f>
        <v/>
      </c>
      <c r="E61" s="4" t="str">
        <f>IF(SF_data!F61="","",SF_data!F61)</f>
        <v/>
      </c>
      <c r="F61" s="11" t="str">
        <f>_xlfn.IFNA(VLOOKUP(A61,LLPs_Esc!A:D,4,0),IF(SF_data!G61="","",SF_data!G61/100))</f>
        <v/>
      </c>
    </row>
    <row r="62" spans="1:6" x14ac:dyDescent="0.2">
      <c r="A62" t="str">
        <f>IF(SF_data!A62="","",SF_data!A62)</f>
        <v/>
      </c>
      <c r="B62" s="10" t="str">
        <f>IF(IF(SF_data!B62=0,SF_data!C62,SF_data!B62)=0,"",IF(SF_data!B62=0,SF_data!C62,SF_data!B62))</f>
        <v/>
      </c>
      <c r="C62" t="str">
        <f>IF(SF_data!D62="","",SF_data!D62)</f>
        <v/>
      </c>
      <c r="D62" s="4" t="str">
        <f>IF(SF_data!E62="","",SF_data!E62)</f>
        <v/>
      </c>
      <c r="E62" s="4" t="str">
        <f>IF(SF_data!F62="","",SF_data!F62)</f>
        <v/>
      </c>
      <c r="F62" s="11" t="str">
        <f>_xlfn.IFNA(VLOOKUP(A62,LLPs_Esc!A:D,4,0),IF(SF_data!G62="","",SF_data!G62/100))</f>
        <v/>
      </c>
    </row>
    <row r="63" spans="1:6" x14ac:dyDescent="0.2">
      <c r="A63" t="str">
        <f>IF(SF_data!A63="","",SF_data!A63)</f>
        <v/>
      </c>
      <c r="B63" s="10" t="str">
        <f>IF(IF(SF_data!B63=0,SF_data!C63,SF_data!B63)=0,"",IF(SF_data!B63=0,SF_data!C63,SF_data!B63))</f>
        <v/>
      </c>
      <c r="C63" t="str">
        <f>IF(SF_data!D63="","",SF_data!D63)</f>
        <v/>
      </c>
      <c r="D63" s="4" t="str">
        <f>IF(SF_data!E63="","",SF_data!E63)</f>
        <v/>
      </c>
      <c r="E63" s="4" t="str">
        <f>IF(SF_data!F63="","",SF_data!F63)</f>
        <v/>
      </c>
      <c r="F63" s="11" t="str">
        <f>_xlfn.IFNA(VLOOKUP(A63,LLPs_Esc!A:D,4,0),IF(SF_data!G63="","",SF_data!G63/100))</f>
        <v/>
      </c>
    </row>
    <row r="64" spans="1:6" x14ac:dyDescent="0.2">
      <c r="A64" t="str">
        <f>IF(SF_data!A64="","",SF_data!A64)</f>
        <v/>
      </c>
      <c r="B64" s="10" t="str">
        <f>IF(IF(SF_data!B64=0,SF_data!C64,SF_data!B64)=0,"",IF(SF_data!B64=0,SF_data!C64,SF_data!B64))</f>
        <v/>
      </c>
      <c r="C64" t="str">
        <f>IF(SF_data!D64="","",SF_data!D64)</f>
        <v/>
      </c>
      <c r="D64" s="4" t="str">
        <f>IF(SF_data!E64="","",SF_data!E64)</f>
        <v/>
      </c>
      <c r="E64" s="4" t="str">
        <f>IF(SF_data!F64="","",SF_data!F64)</f>
        <v/>
      </c>
      <c r="F64" s="11" t="str">
        <f>_xlfn.IFNA(VLOOKUP(A64,LLPs_Esc!A:D,4,0),IF(SF_data!G64="","",SF_data!G64/100))</f>
        <v/>
      </c>
    </row>
    <row r="65" spans="1:6" x14ac:dyDescent="0.2">
      <c r="A65" t="str">
        <f>IF(SF_data!A65="","",SF_data!A65)</f>
        <v/>
      </c>
      <c r="B65" s="10" t="str">
        <f>IF(IF(SF_data!B65=0,SF_data!C65,SF_data!B65)=0,"",IF(SF_data!B65=0,SF_data!C65,SF_data!B65))</f>
        <v/>
      </c>
      <c r="C65" t="str">
        <f>IF(SF_data!D65="","",SF_data!D65)</f>
        <v/>
      </c>
      <c r="D65" s="4" t="str">
        <f>IF(SF_data!E65="","",SF_data!E65)</f>
        <v/>
      </c>
      <c r="E65" s="4" t="str">
        <f>IF(SF_data!F65="","",SF_data!F65)</f>
        <v/>
      </c>
      <c r="F65" s="11" t="str">
        <f>_xlfn.IFNA(VLOOKUP(A65,LLPs_Esc!A:D,4,0),IF(SF_data!G65="","",SF_data!G65/100))</f>
        <v/>
      </c>
    </row>
    <row r="66" spans="1:6" x14ac:dyDescent="0.2">
      <c r="A66" t="str">
        <f>IF(SF_data!A66="","",SF_data!A66)</f>
        <v/>
      </c>
      <c r="B66" s="10" t="str">
        <f>IF(IF(SF_data!B66=0,SF_data!C66,SF_data!B66)=0,"",IF(SF_data!B66=0,SF_data!C66,SF_data!B66))</f>
        <v/>
      </c>
      <c r="C66" t="str">
        <f>IF(SF_data!D66="","",SF_data!D66)</f>
        <v/>
      </c>
      <c r="D66" s="4" t="str">
        <f>IF(SF_data!E66="","",SF_data!E66)</f>
        <v/>
      </c>
      <c r="E66" s="4" t="str">
        <f>IF(SF_data!F66="","",SF_data!F66)</f>
        <v/>
      </c>
      <c r="F66" s="11" t="str">
        <f>_xlfn.IFNA(VLOOKUP(A66,LLPs_Esc!A:D,4,0),IF(SF_data!G66="","",SF_data!G66/100))</f>
        <v/>
      </c>
    </row>
    <row r="67" spans="1:6" x14ac:dyDescent="0.2">
      <c r="A67" t="str">
        <f>IF(SF_data!A67="","",SF_data!A67)</f>
        <v/>
      </c>
      <c r="B67" s="10" t="str">
        <f>IF(IF(SF_data!B67=0,SF_data!C67,SF_data!B67)=0,"",IF(SF_data!B67=0,SF_data!C67,SF_data!B67))</f>
        <v/>
      </c>
      <c r="C67" t="str">
        <f>IF(SF_data!D67="","",SF_data!D67)</f>
        <v/>
      </c>
      <c r="D67" s="4" t="str">
        <f>IF(SF_data!E67="","",SF_data!E67)</f>
        <v/>
      </c>
      <c r="E67" s="4" t="str">
        <f>IF(SF_data!F67="","",SF_data!F67)</f>
        <v/>
      </c>
      <c r="F67" s="11" t="str">
        <f>_xlfn.IFNA(VLOOKUP(A67,LLPs_Esc!A:D,4,0),IF(SF_data!G67="","",SF_data!G67/100))</f>
        <v/>
      </c>
    </row>
    <row r="68" spans="1:6" x14ac:dyDescent="0.2">
      <c r="A68" t="str">
        <f>IF(SF_data!A68="","",SF_data!A68)</f>
        <v/>
      </c>
      <c r="B68" s="10" t="str">
        <f>IF(IF(SF_data!B68=0,SF_data!C68,SF_data!B68)=0,"",IF(SF_data!B68=0,SF_data!C68,SF_data!B68))</f>
        <v/>
      </c>
      <c r="C68" t="str">
        <f>IF(SF_data!D68="","",SF_data!D68)</f>
        <v/>
      </c>
      <c r="D68" s="4" t="str">
        <f>IF(SF_data!E68="","",SF_data!E68)</f>
        <v/>
      </c>
      <c r="E68" s="4" t="str">
        <f>IF(SF_data!F68="","",SF_data!F68)</f>
        <v/>
      </c>
      <c r="F68" s="11" t="str">
        <f>_xlfn.IFNA(VLOOKUP(A68,LLPs_Esc!A:D,4,0),IF(SF_data!G68="","",SF_data!G68/100))</f>
        <v/>
      </c>
    </row>
    <row r="69" spans="1:6" x14ac:dyDescent="0.2">
      <c r="A69" t="str">
        <f>IF(SF_data!A69="","",SF_data!A69)</f>
        <v/>
      </c>
      <c r="B69" s="10" t="str">
        <f>IF(IF(SF_data!B69=0,SF_data!C69,SF_data!B69)=0,"",IF(SF_data!B69=0,SF_data!C69,SF_data!B69))</f>
        <v/>
      </c>
      <c r="C69" t="str">
        <f>IF(SF_data!D69="","",SF_data!D69)</f>
        <v/>
      </c>
      <c r="D69" s="4" t="str">
        <f>IF(SF_data!E69="","",SF_data!E69)</f>
        <v/>
      </c>
      <c r="E69" s="4" t="str">
        <f>IF(SF_data!F69="","",SF_data!F69)</f>
        <v/>
      </c>
      <c r="F69" s="11" t="str">
        <f>_xlfn.IFNA(VLOOKUP(A69,LLPs_Esc!A:D,4,0),IF(SF_data!G69="","",SF_data!G69/100))</f>
        <v/>
      </c>
    </row>
    <row r="70" spans="1:6" x14ac:dyDescent="0.2">
      <c r="A70" t="str">
        <f>IF(SF_data!A70="","",SF_data!A70)</f>
        <v/>
      </c>
      <c r="B70" s="10" t="str">
        <f>IF(IF(SF_data!B70=0,SF_data!C70,SF_data!B70)=0,"",IF(SF_data!B70=0,SF_data!C70,SF_data!B70))</f>
        <v/>
      </c>
      <c r="C70" t="str">
        <f>IF(SF_data!D70="","",SF_data!D70)</f>
        <v/>
      </c>
      <c r="D70" s="4" t="str">
        <f>IF(SF_data!E70="","",SF_data!E70)</f>
        <v/>
      </c>
      <c r="E70" s="4" t="str">
        <f>IF(SF_data!F70="","",SF_data!F70)</f>
        <v/>
      </c>
      <c r="F70" s="11" t="str">
        <f>_xlfn.IFNA(VLOOKUP(A70,LLPs_Esc!A:D,4,0),IF(SF_data!G70="","",SF_data!G70/100))</f>
        <v/>
      </c>
    </row>
    <row r="71" spans="1:6" x14ac:dyDescent="0.2">
      <c r="A71" t="str">
        <f>IF(SF_data!A71="","",SF_data!A71)</f>
        <v/>
      </c>
      <c r="B71" s="10" t="str">
        <f>IF(IF(SF_data!B71=0,SF_data!C71,SF_data!B71)=0,"",IF(SF_data!B71=0,SF_data!C71,SF_data!B71))</f>
        <v/>
      </c>
      <c r="C71" t="str">
        <f>IF(SF_data!D71="","",SF_data!D71)</f>
        <v/>
      </c>
      <c r="D71" s="4" t="str">
        <f>IF(SF_data!E71="","",SF_data!E71)</f>
        <v/>
      </c>
      <c r="E71" s="4" t="str">
        <f>IF(SF_data!F71="","",SF_data!F71)</f>
        <v/>
      </c>
      <c r="F71" s="11" t="str">
        <f>_xlfn.IFNA(VLOOKUP(A71,LLPs_Esc!A:D,4,0),IF(SF_data!G71="","",SF_data!G71/100))</f>
        <v/>
      </c>
    </row>
    <row r="72" spans="1:6" x14ac:dyDescent="0.2">
      <c r="A72" t="str">
        <f>IF(SF_data!A72="","",SF_data!A72)</f>
        <v/>
      </c>
      <c r="B72" s="10" t="str">
        <f>IF(IF(SF_data!B72=0,SF_data!C72,SF_data!B72)=0,"",IF(SF_data!B72=0,SF_data!C72,SF_data!B72))</f>
        <v/>
      </c>
      <c r="C72" t="str">
        <f>IF(SF_data!D72="","",SF_data!D72)</f>
        <v/>
      </c>
      <c r="D72" s="4" t="str">
        <f>IF(SF_data!E72="","",SF_data!E72)</f>
        <v/>
      </c>
      <c r="E72" s="4" t="str">
        <f>IF(SF_data!F72="","",SF_data!F72)</f>
        <v/>
      </c>
      <c r="F72" s="11" t="str">
        <f>_xlfn.IFNA(VLOOKUP(A72,LLPs_Esc!A:D,4,0),IF(SF_data!G72="","",SF_data!G72/100))</f>
        <v/>
      </c>
    </row>
    <row r="73" spans="1:6" x14ac:dyDescent="0.2">
      <c r="A73" t="str">
        <f>IF(SF_data!A73="","",SF_data!A73)</f>
        <v/>
      </c>
      <c r="B73" s="10" t="str">
        <f>IF(IF(SF_data!B73=0,SF_data!C73,SF_data!B73)=0,"",IF(SF_data!B73=0,SF_data!C73,SF_data!B73))</f>
        <v/>
      </c>
      <c r="C73" t="str">
        <f>IF(SF_data!D73="","",SF_data!D73)</f>
        <v/>
      </c>
      <c r="D73" s="4" t="str">
        <f>IF(SF_data!E73="","",SF_data!E73)</f>
        <v/>
      </c>
      <c r="E73" s="4" t="str">
        <f>IF(SF_data!F73="","",SF_data!F73)</f>
        <v/>
      </c>
      <c r="F73" s="11" t="str">
        <f>_xlfn.IFNA(VLOOKUP(A73,LLPs_Esc!A:D,4,0),IF(SF_data!G73="","",SF_data!G73/100))</f>
        <v/>
      </c>
    </row>
    <row r="74" spans="1:6" x14ac:dyDescent="0.2">
      <c r="A74" t="str">
        <f>IF(SF_data!A74="","",SF_data!A74)</f>
        <v/>
      </c>
      <c r="B74" s="10" t="str">
        <f>IF(IF(SF_data!B74=0,SF_data!C74,SF_data!B74)=0,"",IF(SF_data!B74=0,SF_data!C74,SF_data!B74))</f>
        <v/>
      </c>
      <c r="C74" t="str">
        <f>IF(SF_data!D74="","",SF_data!D74)</f>
        <v/>
      </c>
      <c r="D74" s="4" t="str">
        <f>IF(SF_data!E74="","",SF_data!E74)</f>
        <v/>
      </c>
      <c r="E74" s="4" t="str">
        <f>IF(SF_data!F74="","",SF_data!F74)</f>
        <v/>
      </c>
      <c r="F74" s="11" t="str">
        <f>_xlfn.IFNA(VLOOKUP(A74,LLPs_Esc!A:D,4,0),IF(SF_data!G74="","",SF_data!G74/100))</f>
        <v/>
      </c>
    </row>
    <row r="75" spans="1:6" x14ac:dyDescent="0.2">
      <c r="A75" t="str">
        <f>IF(SF_data!A75="","",SF_data!A75)</f>
        <v/>
      </c>
      <c r="B75" s="10" t="str">
        <f>IF(IF(SF_data!B75=0,SF_data!C75,SF_data!B75)=0,"",IF(SF_data!B75=0,SF_data!C75,SF_data!B75))</f>
        <v/>
      </c>
      <c r="C75" t="str">
        <f>IF(SF_data!D75="","",SF_data!D75)</f>
        <v/>
      </c>
      <c r="D75" s="4" t="str">
        <f>IF(SF_data!E75="","",SF_data!E75)</f>
        <v/>
      </c>
      <c r="E75" s="4" t="str">
        <f>IF(SF_data!F75="","",SF_data!F75)</f>
        <v/>
      </c>
      <c r="F75" s="11" t="str">
        <f>_xlfn.IFNA(VLOOKUP(A75,LLPs_Esc!A:D,4,0),IF(SF_data!G75="","",SF_data!G75/100))</f>
        <v/>
      </c>
    </row>
    <row r="76" spans="1:6" x14ac:dyDescent="0.2">
      <c r="A76" t="str">
        <f>IF(SF_data!A76="","",SF_data!A76)</f>
        <v/>
      </c>
      <c r="B76" s="10" t="str">
        <f>IF(IF(SF_data!B76=0,SF_data!C76,SF_data!B76)=0,"",IF(SF_data!B76=0,SF_data!C76,SF_data!B76))</f>
        <v/>
      </c>
      <c r="C76" t="str">
        <f>IF(SF_data!D76="","",SF_data!D76)</f>
        <v/>
      </c>
      <c r="D76" s="4" t="str">
        <f>IF(SF_data!E76="","",SF_data!E76)</f>
        <v/>
      </c>
      <c r="E76" s="4" t="str">
        <f>IF(SF_data!F76="","",SF_data!F76)</f>
        <v/>
      </c>
      <c r="F76" s="11" t="str">
        <f>_xlfn.IFNA(VLOOKUP(A76,LLPs_Esc!A:D,4,0),IF(SF_data!G76="","",SF_data!G76/100))</f>
        <v/>
      </c>
    </row>
    <row r="77" spans="1:6" x14ac:dyDescent="0.2">
      <c r="A77" t="str">
        <f>IF(SF_data!A77="","",SF_data!A77)</f>
        <v/>
      </c>
      <c r="B77" s="10" t="str">
        <f>IF(IF(SF_data!B77=0,SF_data!C77,SF_data!B77)=0,"",IF(SF_data!B77=0,SF_data!C77,SF_data!B77))</f>
        <v/>
      </c>
      <c r="C77" t="str">
        <f>IF(SF_data!D77="","",SF_data!D77)</f>
        <v/>
      </c>
      <c r="D77" s="4" t="str">
        <f>IF(SF_data!E77="","",SF_data!E77)</f>
        <v/>
      </c>
      <c r="E77" s="4" t="str">
        <f>IF(SF_data!F77="","",SF_data!F77)</f>
        <v/>
      </c>
      <c r="F77" s="11" t="str">
        <f>_xlfn.IFNA(VLOOKUP(A77,LLPs_Esc!A:D,4,0),IF(SF_data!G77="","",SF_data!G77/100))</f>
        <v/>
      </c>
    </row>
    <row r="78" spans="1:6" x14ac:dyDescent="0.2">
      <c r="A78" t="str">
        <f>IF(SF_data!A78="","",SF_data!A78)</f>
        <v/>
      </c>
      <c r="B78" s="10" t="str">
        <f>IF(IF(SF_data!B78=0,SF_data!C78,SF_data!B78)=0,"",IF(SF_data!B78=0,SF_data!C78,SF_data!B78))</f>
        <v/>
      </c>
      <c r="C78" t="str">
        <f>IF(SF_data!D78="","",SF_data!D78)</f>
        <v/>
      </c>
      <c r="D78" s="4" t="str">
        <f>IF(SF_data!E78="","",SF_data!E78)</f>
        <v/>
      </c>
      <c r="E78" s="4" t="str">
        <f>IF(SF_data!F78="","",SF_data!F78)</f>
        <v/>
      </c>
      <c r="F78" s="11" t="str">
        <f>_xlfn.IFNA(VLOOKUP(A78,LLPs_Esc!A:D,4,0),IF(SF_data!G78="","",SF_data!G78/100))</f>
        <v/>
      </c>
    </row>
    <row r="79" spans="1:6" x14ac:dyDescent="0.2">
      <c r="A79" t="str">
        <f>IF(SF_data!A79="","",SF_data!A79)</f>
        <v/>
      </c>
      <c r="B79" s="10" t="str">
        <f>IF(IF(SF_data!B79=0,SF_data!C79,SF_data!B79)=0,"",IF(SF_data!B79=0,SF_data!C79,SF_data!B79))</f>
        <v/>
      </c>
      <c r="C79" t="str">
        <f>IF(SF_data!D79="","",SF_data!D79)</f>
        <v/>
      </c>
      <c r="D79" s="4" t="str">
        <f>IF(SF_data!E79="","",SF_data!E79)</f>
        <v/>
      </c>
      <c r="E79" s="4" t="str">
        <f>IF(SF_data!F79="","",SF_data!F79)</f>
        <v/>
      </c>
      <c r="F79" s="11" t="str">
        <f>_xlfn.IFNA(VLOOKUP(A79,LLPs_Esc!A:D,4,0),IF(SF_data!G79="","",SF_data!G79/100))</f>
        <v/>
      </c>
    </row>
    <row r="80" spans="1:6" x14ac:dyDescent="0.2">
      <c r="A80" t="str">
        <f>IF(SF_data!A80="","",SF_data!A80)</f>
        <v/>
      </c>
      <c r="B80" s="10" t="str">
        <f>IF(IF(SF_data!B80=0,SF_data!C80,SF_data!B80)=0,"",IF(SF_data!B80=0,SF_data!C80,SF_data!B80))</f>
        <v/>
      </c>
      <c r="C80" t="str">
        <f>IF(SF_data!D80="","",SF_data!D80)</f>
        <v/>
      </c>
      <c r="D80" s="4" t="str">
        <f>IF(SF_data!E80="","",SF_data!E80)</f>
        <v/>
      </c>
      <c r="E80" s="4" t="str">
        <f>IF(SF_data!F80="","",SF_data!F80)</f>
        <v/>
      </c>
      <c r="F80" s="11" t="str">
        <f>_xlfn.IFNA(VLOOKUP(A80,LLPs_Esc!A:D,4,0),IF(SF_data!G80="","",SF_data!G80/100))</f>
        <v/>
      </c>
    </row>
    <row r="81" spans="1:6" x14ac:dyDescent="0.2">
      <c r="A81" t="str">
        <f>IF(SF_data!A81="","",SF_data!A81)</f>
        <v/>
      </c>
      <c r="B81" s="10" t="str">
        <f>IF(IF(SF_data!B81=0,SF_data!C81,SF_data!B81)=0,"",IF(SF_data!B81=0,SF_data!C81,SF_data!B81))</f>
        <v/>
      </c>
      <c r="C81" t="str">
        <f>IF(SF_data!D81="","",SF_data!D81)</f>
        <v/>
      </c>
      <c r="D81" s="4" t="str">
        <f>IF(SF_data!E81="","",SF_data!E81)</f>
        <v/>
      </c>
      <c r="E81" s="4" t="str">
        <f>IF(SF_data!F81="","",SF_data!F81)</f>
        <v/>
      </c>
      <c r="F81" s="11" t="str">
        <f>_xlfn.IFNA(VLOOKUP(A81,LLPs_Esc!A:D,4,0),IF(SF_data!G81="","",SF_data!G81/100))</f>
        <v/>
      </c>
    </row>
    <row r="82" spans="1:6" x14ac:dyDescent="0.2">
      <c r="A82" t="str">
        <f>IF(SF_data!A82="","",SF_data!A82)</f>
        <v/>
      </c>
      <c r="B82" s="10" t="str">
        <f>IF(IF(SF_data!B82=0,SF_data!C82,SF_data!B82)=0,"",IF(SF_data!B82=0,SF_data!C82,SF_data!B82))</f>
        <v/>
      </c>
      <c r="C82" t="str">
        <f>IF(SF_data!D82="","",SF_data!D82)</f>
        <v/>
      </c>
      <c r="D82" s="4" t="str">
        <f>IF(SF_data!E82="","",SF_data!E82)</f>
        <v/>
      </c>
      <c r="E82" s="4" t="str">
        <f>IF(SF_data!F82="","",SF_data!F82)</f>
        <v/>
      </c>
      <c r="F82" s="11" t="str">
        <f>_xlfn.IFNA(VLOOKUP(A82,LLPs_Esc!A:D,4,0),IF(SF_data!G82="","",SF_data!G82/100))</f>
        <v/>
      </c>
    </row>
    <row r="83" spans="1:6" x14ac:dyDescent="0.2">
      <c r="A83" t="str">
        <f>IF(SF_data!A83="","",SF_data!A83)</f>
        <v/>
      </c>
      <c r="B83" s="10" t="str">
        <f>IF(IF(SF_data!B83=0,SF_data!C83,SF_data!B83)=0,"",IF(SF_data!B83=0,SF_data!C83,SF_data!B83))</f>
        <v/>
      </c>
      <c r="C83" t="str">
        <f>IF(SF_data!D83="","",SF_data!D83)</f>
        <v/>
      </c>
      <c r="D83" s="4" t="str">
        <f>IF(SF_data!E83="","",SF_data!E83)</f>
        <v/>
      </c>
      <c r="E83" s="4" t="str">
        <f>IF(SF_data!F83="","",SF_data!F83)</f>
        <v/>
      </c>
      <c r="F83" s="11" t="str">
        <f>_xlfn.IFNA(VLOOKUP(A83,LLPs_Esc!A:D,4,0),IF(SF_data!G83="","",SF_data!G83/100))</f>
        <v/>
      </c>
    </row>
    <row r="84" spans="1:6" x14ac:dyDescent="0.2">
      <c r="A84" t="str">
        <f>IF(SF_data!A84="","",SF_data!A84)</f>
        <v/>
      </c>
      <c r="B84" s="10" t="str">
        <f>IF(IF(SF_data!B84=0,SF_data!C84,SF_data!B84)=0,"",IF(SF_data!B84=0,SF_data!C84,SF_data!B84))</f>
        <v/>
      </c>
      <c r="C84" t="str">
        <f>IF(SF_data!D84="","",SF_data!D84)</f>
        <v/>
      </c>
      <c r="D84" s="4" t="str">
        <f>IF(SF_data!E84="","",SF_data!E84)</f>
        <v/>
      </c>
      <c r="E84" s="4" t="str">
        <f>IF(SF_data!F84="","",SF_data!F84)</f>
        <v/>
      </c>
      <c r="F84" s="11" t="str">
        <f>_xlfn.IFNA(VLOOKUP(A84,LLPs_Esc!A:D,4,0),IF(SF_data!G84="","",SF_data!G84/100))</f>
        <v/>
      </c>
    </row>
    <row r="85" spans="1:6" x14ac:dyDescent="0.2">
      <c r="A85" t="str">
        <f>IF(SF_data!A85="","",SF_data!A85)</f>
        <v/>
      </c>
      <c r="B85" s="10" t="str">
        <f>IF(IF(SF_data!B85=0,SF_data!C85,SF_data!B85)=0,"",IF(SF_data!B85=0,SF_data!C85,SF_data!B85))</f>
        <v/>
      </c>
      <c r="C85" t="str">
        <f>IF(SF_data!D85="","",SF_data!D85)</f>
        <v/>
      </c>
      <c r="D85" s="4" t="str">
        <f>IF(SF_data!E85="","",SF_data!E85)</f>
        <v/>
      </c>
      <c r="E85" s="4" t="str">
        <f>IF(SF_data!F85="","",SF_data!F85)</f>
        <v/>
      </c>
      <c r="F85" s="11" t="str">
        <f>_xlfn.IFNA(VLOOKUP(A85,LLPs_Esc!A:D,4,0),IF(SF_data!G85="","",SF_data!G85/100))</f>
        <v/>
      </c>
    </row>
    <row r="86" spans="1:6" x14ac:dyDescent="0.2">
      <c r="A86" t="str">
        <f>IF(SF_data!A86="","",SF_data!A86)</f>
        <v/>
      </c>
      <c r="B86" s="10" t="str">
        <f>IF(IF(SF_data!B86=0,SF_data!C86,SF_data!B86)=0,"",IF(SF_data!B86=0,SF_data!C86,SF_data!B86))</f>
        <v/>
      </c>
      <c r="C86" t="str">
        <f>IF(SF_data!D86="","",SF_data!D86)</f>
        <v/>
      </c>
      <c r="D86" s="4" t="str">
        <f>IF(SF_data!E86="","",SF_data!E86)</f>
        <v/>
      </c>
      <c r="E86" s="4" t="str">
        <f>IF(SF_data!F86="","",SF_data!F86)</f>
        <v/>
      </c>
      <c r="F86" s="11" t="str">
        <f>_xlfn.IFNA(VLOOKUP(A86,LLPs_Esc!A:D,4,0),IF(SF_data!G86="","",SF_data!G86/100))</f>
        <v/>
      </c>
    </row>
    <row r="87" spans="1:6" x14ac:dyDescent="0.2">
      <c r="A87" t="str">
        <f>IF(SF_data!A87="","",SF_data!A87)</f>
        <v/>
      </c>
      <c r="B87" s="10" t="str">
        <f>IF(IF(SF_data!B87=0,SF_data!C87,SF_data!B87)=0,"",IF(SF_data!B87=0,SF_data!C87,SF_data!B87))</f>
        <v/>
      </c>
      <c r="C87" t="str">
        <f>IF(SF_data!D87="","",SF_data!D87)</f>
        <v/>
      </c>
      <c r="D87" s="4" t="str">
        <f>IF(SF_data!E87="","",SF_data!E87)</f>
        <v/>
      </c>
      <c r="E87" s="4" t="str">
        <f>IF(SF_data!F87="","",SF_data!F87)</f>
        <v/>
      </c>
      <c r="F87" s="11" t="str">
        <f>_xlfn.IFNA(VLOOKUP(A87,LLPs_Esc!A:D,4,0),IF(SF_data!G87="","",SF_data!G87/100))</f>
        <v/>
      </c>
    </row>
    <row r="88" spans="1:6" x14ac:dyDescent="0.2">
      <c r="A88" t="str">
        <f>IF(SF_data!A88="","",SF_data!A88)</f>
        <v/>
      </c>
      <c r="B88" s="10" t="str">
        <f>IF(IF(SF_data!B88=0,SF_data!C88,SF_data!B88)=0,"",IF(SF_data!B88=0,SF_data!C88,SF_data!B88))</f>
        <v/>
      </c>
      <c r="C88" t="str">
        <f>IF(SF_data!D88="","",SF_data!D88)</f>
        <v/>
      </c>
      <c r="D88" s="4" t="str">
        <f>IF(SF_data!E88="","",SF_data!E88)</f>
        <v/>
      </c>
      <c r="E88" s="4" t="str">
        <f>IF(SF_data!F88="","",SF_data!F88)</f>
        <v/>
      </c>
      <c r="F88" s="11" t="str">
        <f>_xlfn.IFNA(VLOOKUP(A88,LLPs_Esc!A:D,4,0),IF(SF_data!G88="","",SF_data!G88/100))</f>
        <v/>
      </c>
    </row>
    <row r="89" spans="1:6" x14ac:dyDescent="0.2">
      <c r="A89" t="str">
        <f>IF(SF_data!A89="","",SF_data!A89)</f>
        <v/>
      </c>
      <c r="B89" s="10" t="str">
        <f>IF(IF(SF_data!B89=0,SF_data!C89,SF_data!B89)=0,"",IF(SF_data!B89=0,SF_data!C89,SF_data!B89))</f>
        <v/>
      </c>
      <c r="C89" t="str">
        <f>IF(SF_data!D89="","",SF_data!D89)</f>
        <v/>
      </c>
      <c r="D89" s="4" t="str">
        <f>IF(SF_data!E89="","",SF_data!E89)</f>
        <v/>
      </c>
      <c r="E89" s="4" t="str">
        <f>IF(SF_data!F89="","",SF_data!F89)</f>
        <v/>
      </c>
      <c r="F89" s="11" t="str">
        <f>_xlfn.IFNA(VLOOKUP(A89,LLPs_Esc!A:D,4,0),IF(SF_data!G89="","",SF_data!G89/100))</f>
        <v/>
      </c>
    </row>
    <row r="90" spans="1:6" x14ac:dyDescent="0.2">
      <c r="A90" t="str">
        <f>IF(SF_data!A90="","",SF_data!A90)</f>
        <v/>
      </c>
      <c r="B90" s="10" t="str">
        <f>IF(IF(SF_data!B90=0,SF_data!C90,SF_data!B90)=0,"",IF(SF_data!B90=0,SF_data!C90,SF_data!B90))</f>
        <v/>
      </c>
      <c r="C90" t="str">
        <f>IF(SF_data!D90="","",SF_data!D90)</f>
        <v/>
      </c>
      <c r="D90" s="4" t="str">
        <f>IF(SF_data!E90="","",SF_data!E90)</f>
        <v/>
      </c>
      <c r="E90" s="4" t="str">
        <f>IF(SF_data!F90="","",SF_data!F90)</f>
        <v/>
      </c>
      <c r="F90" s="11" t="str">
        <f>_xlfn.IFNA(VLOOKUP(A90,LLPs_Esc!A:D,4,0),IF(SF_data!G90="","",SF_data!G90/100))</f>
        <v/>
      </c>
    </row>
    <row r="91" spans="1:6" x14ac:dyDescent="0.2">
      <c r="A91" t="str">
        <f>IF(SF_data!A91="","",SF_data!A91)</f>
        <v/>
      </c>
      <c r="B91" s="10" t="str">
        <f>IF(IF(SF_data!B91=0,SF_data!C91,SF_data!B91)=0,"",IF(SF_data!B91=0,SF_data!C91,SF_data!B91))</f>
        <v/>
      </c>
      <c r="C91" t="str">
        <f>IF(SF_data!D91="","",SF_data!D91)</f>
        <v/>
      </c>
      <c r="D91" s="4" t="str">
        <f>IF(SF_data!E91="","",SF_data!E91)</f>
        <v/>
      </c>
      <c r="E91" s="4" t="str">
        <f>IF(SF_data!F91="","",SF_data!F91)</f>
        <v/>
      </c>
      <c r="F91" s="11" t="str">
        <f>_xlfn.IFNA(VLOOKUP(A91,LLPs_Esc!A:D,4,0),IF(SF_data!G91="","",SF_data!G91/100))</f>
        <v/>
      </c>
    </row>
    <row r="92" spans="1:6" x14ac:dyDescent="0.2">
      <c r="A92" t="str">
        <f>IF(SF_data!A92="","",SF_data!A92)</f>
        <v/>
      </c>
      <c r="B92" s="10" t="str">
        <f>IF(IF(SF_data!B92=0,SF_data!C92,SF_data!B92)=0,"",IF(SF_data!B92=0,SF_data!C92,SF_data!B92))</f>
        <v/>
      </c>
      <c r="C92" t="str">
        <f>IF(SF_data!D92="","",SF_data!D92)</f>
        <v/>
      </c>
      <c r="D92" s="4" t="str">
        <f>IF(SF_data!E92="","",SF_data!E92)</f>
        <v/>
      </c>
      <c r="E92" s="4" t="str">
        <f>IF(SF_data!F92="","",SF_data!F92)</f>
        <v/>
      </c>
      <c r="F92" s="11" t="str">
        <f>_xlfn.IFNA(VLOOKUP(A92,LLPs_Esc!A:D,4,0),IF(SF_data!G92="","",SF_data!G92/100))</f>
        <v/>
      </c>
    </row>
    <row r="93" spans="1:6" x14ac:dyDescent="0.2">
      <c r="A93" t="str">
        <f>IF(SF_data!A93="","",SF_data!A93)</f>
        <v/>
      </c>
      <c r="B93" s="10" t="str">
        <f>IF(IF(SF_data!B93=0,SF_data!C93,SF_data!B93)=0,"",IF(SF_data!B93=0,SF_data!C93,SF_data!B93))</f>
        <v/>
      </c>
      <c r="C93" t="str">
        <f>IF(SF_data!D93="","",SF_data!D93)</f>
        <v/>
      </c>
      <c r="D93" s="4" t="str">
        <f>IF(SF_data!E93="","",SF_data!E93)</f>
        <v/>
      </c>
      <c r="E93" s="4" t="str">
        <f>IF(SF_data!F93="","",SF_data!F93)</f>
        <v/>
      </c>
      <c r="F93" s="11" t="str">
        <f>_xlfn.IFNA(VLOOKUP(A93,LLPs_Esc!A:D,4,0),IF(SF_data!G93="","",SF_data!G93/100))</f>
        <v/>
      </c>
    </row>
    <row r="94" spans="1:6" x14ac:dyDescent="0.2">
      <c r="A94" t="str">
        <f>IF(SF_data!A94="","",SF_data!A94)</f>
        <v/>
      </c>
      <c r="B94" s="10" t="str">
        <f>IF(IF(SF_data!B94=0,SF_data!C94,SF_data!B94)=0,"",IF(SF_data!B94=0,SF_data!C94,SF_data!B94))</f>
        <v/>
      </c>
      <c r="C94" t="str">
        <f>IF(SF_data!D94="","",SF_data!D94)</f>
        <v/>
      </c>
      <c r="D94" s="4" t="str">
        <f>IF(SF_data!E94="","",SF_data!E94)</f>
        <v/>
      </c>
      <c r="E94" s="4" t="str">
        <f>IF(SF_data!F94="","",SF_data!F94)</f>
        <v/>
      </c>
      <c r="F94" s="11" t="str">
        <f>_xlfn.IFNA(VLOOKUP(A94,LLPs_Esc!A:D,4,0),IF(SF_data!G94="","",SF_data!G94/100))</f>
        <v/>
      </c>
    </row>
    <row r="95" spans="1:6" x14ac:dyDescent="0.2">
      <c r="A95" t="str">
        <f>IF(SF_data!A95="","",SF_data!A95)</f>
        <v/>
      </c>
      <c r="B95" s="10" t="str">
        <f>IF(IF(SF_data!B95=0,SF_data!C95,SF_data!B95)=0,"",IF(SF_data!B95=0,SF_data!C95,SF_data!B95))</f>
        <v/>
      </c>
      <c r="C95" t="str">
        <f>IF(SF_data!D95="","",SF_data!D95)</f>
        <v/>
      </c>
      <c r="D95" s="4" t="str">
        <f>IF(SF_data!E95="","",SF_data!E95)</f>
        <v/>
      </c>
      <c r="E95" s="4" t="str">
        <f>IF(SF_data!F95="","",SF_data!F95)</f>
        <v/>
      </c>
      <c r="F95" s="11" t="str">
        <f>_xlfn.IFNA(VLOOKUP(A95,LLPs_Esc!A:D,4,0),IF(SF_data!G95="","",SF_data!G95/100))</f>
        <v/>
      </c>
    </row>
    <row r="96" spans="1:6" x14ac:dyDescent="0.2">
      <c r="A96" t="str">
        <f>IF(SF_data!A96="","",SF_data!A96)</f>
        <v/>
      </c>
      <c r="B96" s="10" t="str">
        <f>IF(IF(SF_data!B96=0,SF_data!C96,SF_data!B96)=0,"",IF(SF_data!B96=0,SF_data!C96,SF_data!B96))</f>
        <v/>
      </c>
      <c r="C96" t="str">
        <f>IF(SF_data!D96="","",SF_data!D96)</f>
        <v/>
      </c>
      <c r="D96" s="4" t="str">
        <f>IF(SF_data!E96="","",SF_data!E96)</f>
        <v/>
      </c>
      <c r="E96" s="4" t="str">
        <f>IF(SF_data!F96="","",SF_data!F96)</f>
        <v/>
      </c>
      <c r="F96" s="11" t="str">
        <f>_xlfn.IFNA(VLOOKUP(A96,LLPs_Esc!A:D,4,0),IF(SF_data!G96="","",SF_data!G96/100))</f>
        <v/>
      </c>
    </row>
    <row r="97" spans="1:6" x14ac:dyDescent="0.2">
      <c r="A97" t="str">
        <f>IF(SF_data!A97="","",SF_data!A97)</f>
        <v/>
      </c>
      <c r="B97" s="10" t="str">
        <f>IF(IF(SF_data!B97=0,SF_data!C97,SF_data!B97)=0,"",IF(SF_data!B97=0,SF_data!C97,SF_data!B97))</f>
        <v/>
      </c>
      <c r="C97" t="str">
        <f>IF(SF_data!D97="","",SF_data!D97)</f>
        <v/>
      </c>
      <c r="D97" s="4" t="str">
        <f>IF(SF_data!E97="","",SF_data!E97)</f>
        <v/>
      </c>
      <c r="E97" s="4" t="str">
        <f>IF(SF_data!F97="","",SF_data!F97)</f>
        <v/>
      </c>
      <c r="F97" s="11" t="str">
        <f>_xlfn.IFNA(VLOOKUP(A97,LLPs_Esc!A:D,4,0),IF(SF_data!G97="","",SF_data!G97/100))</f>
        <v/>
      </c>
    </row>
    <row r="98" spans="1:6" x14ac:dyDescent="0.2">
      <c r="A98" t="str">
        <f>IF(SF_data!A98="","",SF_data!A98)</f>
        <v/>
      </c>
      <c r="B98" s="10" t="str">
        <f>IF(IF(SF_data!B98=0,SF_data!C98,SF_data!B98)=0,"",IF(SF_data!B98=0,SF_data!C98,SF_data!B98))</f>
        <v/>
      </c>
      <c r="C98" t="str">
        <f>IF(SF_data!D98="","",SF_data!D98)</f>
        <v/>
      </c>
      <c r="D98" s="4" t="str">
        <f>IF(SF_data!E98="","",SF_data!E98)</f>
        <v/>
      </c>
      <c r="E98" s="4" t="str">
        <f>IF(SF_data!F98="","",SF_data!F98)</f>
        <v/>
      </c>
      <c r="F98" s="11" t="str">
        <f>_xlfn.IFNA(VLOOKUP(A98,LLPs_Esc!A:D,4,0),IF(SF_data!G98="","",SF_data!G98/100))</f>
        <v/>
      </c>
    </row>
    <row r="99" spans="1:6" x14ac:dyDescent="0.2">
      <c r="A99" t="str">
        <f>IF(SF_data!A99="","",SF_data!A99)</f>
        <v/>
      </c>
      <c r="B99" s="10" t="str">
        <f>IF(IF(SF_data!B99=0,SF_data!C99,SF_data!B99)=0,"",IF(SF_data!B99=0,SF_data!C99,SF_data!B99))</f>
        <v/>
      </c>
      <c r="C99" t="str">
        <f>IF(SF_data!D99="","",SF_data!D99)</f>
        <v/>
      </c>
      <c r="D99" s="4" t="str">
        <f>IF(SF_data!E99="","",SF_data!E99)</f>
        <v/>
      </c>
      <c r="E99" s="4" t="str">
        <f>IF(SF_data!F99="","",SF_data!F99)</f>
        <v/>
      </c>
      <c r="F99" s="11" t="str">
        <f>_xlfn.IFNA(VLOOKUP(A99,LLPs_Esc!A:D,4,0),IF(SF_data!G99="","",SF_data!G99/100))</f>
        <v/>
      </c>
    </row>
    <row r="100" spans="1:6" x14ac:dyDescent="0.2">
      <c r="A100" t="str">
        <f>IF(SF_data!A100="","",SF_data!A100)</f>
        <v/>
      </c>
      <c r="B100" s="10" t="str">
        <f>IF(IF(SF_data!B100=0,SF_data!C100,SF_data!B100)=0,"",IF(SF_data!B100=0,SF_data!C100,SF_data!B100))</f>
        <v/>
      </c>
      <c r="C100" t="str">
        <f>IF(SF_data!D100="","",SF_data!D100)</f>
        <v/>
      </c>
      <c r="D100" s="4" t="str">
        <f>IF(SF_data!E100="","",SF_data!E100)</f>
        <v/>
      </c>
      <c r="E100" s="4" t="str">
        <f>IF(SF_data!F100="","",SF_data!F100)</f>
        <v/>
      </c>
      <c r="F100" s="11" t="str">
        <f>_xlfn.IFNA(VLOOKUP(A100,LLPs_Esc!A:D,4,0),IF(SF_data!G100="","",SF_data!G100/100))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SF_data</vt:lpstr>
      <vt:lpstr>LLPs_Esc</vt:lpstr>
      <vt:lpstr>Sheet2</vt:lpstr>
      <vt:lpstr>Final_MRs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Iaroslav Turkov</dc:creator>
  <cp:lastModifiedBy>Iaroslav Turkov</cp:lastModifiedBy>
  <dcterms:created xsi:type="dcterms:W3CDTF">2024-03-14T21:17:06Z</dcterms:created>
  <dcterms:modified xsi:type="dcterms:W3CDTF">2024-03-26T14:01:32Z</dcterms:modified>
</cp:coreProperties>
</file>