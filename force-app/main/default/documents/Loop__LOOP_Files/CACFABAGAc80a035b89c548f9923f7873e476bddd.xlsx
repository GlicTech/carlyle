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8BAA8576-D4C9-4E28-BCB9-AFB7083A078F}" xr6:coauthVersionLast="47" xr6:coauthVersionMax="47" xr10:uidLastSave="{00000000-0000-0000-0000-000000000000}"/>
  <bookViews>
    <workbookView xWindow="-110" yWindow="-110" windowWidth="19420" windowHeight="10300" activeTab="3" xr2:uid="{34231155-592C-4A97-9C4F-92294276B924}"/>
  </bookViews>
  <sheets>
    <sheet name="SF_Data" sheetId="2" r:id="rId1"/>
    <sheet name="PBH_Lines" sheetId="6" r:id="rId2"/>
    <sheet name="PBH_RR" sheetId="3" r:id="rId3"/>
    <sheet name="Sheet1" sheetId="5" r:id="rId4"/>
  </sheets>
  <definedNames>
    <definedName name="Both_FH_FC.Assembly_Id">PBH_RR!$D$3</definedName>
    <definedName name="Both_FH_FC.Assembly_Name">PBH_RR!$C$3</definedName>
    <definedName name="Both_FH_FC.Invoice.Rent.Stepped_Rent_Local_Currency_local">PBH_RR!$N$3</definedName>
    <definedName name="Both_FH_FC.PBH_Rent_Assembly.PBH_Rent_Rate_From_Value__000">PBH_RR!$G$3</definedName>
    <definedName name="Both_FH_FC.PBH_Rent_Assembly.PBH_Rent_Rate_From_Value_FC__000">PBH_RR!$H$3</definedName>
    <definedName name="Both_FH_FC.PBH_Rent_Assembly.PBH_Rent_Rate_Id">PBH_RR!$A$3</definedName>
    <definedName name="Both_FH_FC.PBH_Rent_Assembly.PBH_Rent_Rate_PBH_Rate">PBH_RR!$I$3</definedName>
    <definedName name="Both_FH_FC.PBH_Rent_Assembly.PBH_Rent_Rate_PBH_Rate_FC">PBH_RR!$J$3</definedName>
    <definedName name="Both_FH_FC.PBH_Rent_Assembly.PBH_Rent_Rate_Selection">PBH_RR!$F$3</definedName>
    <definedName name="Both_FH_FC.PBH_Rent_Assembly.Rent_Schedule.Stepped_Rent_Id">PBH_RR!$K$3</definedName>
    <definedName name="Both_FH_FC.PBH_Rent_Assembly_PBH_Rate_F">PBH_RR!#REF!</definedName>
    <definedName name="Both_FH_FC.PBH_Rent_Assembly_Rate_Basis_F">PBH_RR!$E$3</definedName>
    <definedName name="Both_FH_FC.PBH_Rent_Assembly_Unit_Type">PBH_RR!$L$3</definedName>
    <definedName name="Both_FH_FC.PBH_Rent_Assembly_Utilization_Unit__000">PBH_RR!$M$3</definedName>
    <definedName name="Both_FH_FC_Converted_Currency_Line_Amount">PBH_RR!$O$3</definedName>
    <definedName name="Both_FH_FC_Start">PBH_RR!$A$3:$Q$3</definedName>
    <definedName name="Both_FH_FC_Total_Line_Amount">PBH_RR!$Q$3</definedName>
    <definedName name="ILI_TO_Rate">Sheet1!$A$1:$H$99</definedName>
    <definedName name="ILI_TO_RentRate.Assembly_Id">SF_Data!$B$2</definedName>
    <definedName name="ILI_TO_RentRate.Assembly_Name">SF_Data!$D$2</definedName>
    <definedName name="ILI_TO_RentRate.Invoice.Rent.Stepped_Rent_Local_Currency_local">SF_Data!$J$2</definedName>
    <definedName name="ILI_TO_RentRate.PBH_Rent_Assembly.PBH_Rent_Rate_From_Value__000">SF_Data!$Q$2</definedName>
    <definedName name="ILI_TO_RentRate.PBH_Rent_Assembly.PBH_Rent_Rate_From_Value_FC__000">SF_Data!$R$2</definedName>
    <definedName name="ILI_TO_RentRate.PBH_Rent_Assembly.PBH_Rent_Rate_Id">SF_Data!$N$2</definedName>
    <definedName name="ILI_TO_RentRate.PBH_Rent_Assembly.PBH_Rent_Rate_Name">SF_Data!$O$2</definedName>
    <definedName name="ILI_TO_RentRate.PBH_Rent_Assembly.PBH_Rent_Rate_PBH_Rate">SF_Data!$S$2</definedName>
    <definedName name="ILI_TO_RentRate.PBH_Rent_Assembly.PBH_Rent_Rate_PBH_Rate_FC">SF_Data!$T$2</definedName>
    <definedName name="ILI_TO_RentRate.PBH_Rent_Assembly.PBH_Rent_Rate_Selection">SF_Data!$P$2</definedName>
    <definedName name="ILI_TO_RentRate.PBH_Rent_Assembly.Rent_Schedule.Stepped_Rent_Id">SF_Data!$E$2</definedName>
    <definedName name="ILI_TO_RentRate.PBH_Rent_Assembly_Id">SF_Data!$C$2</definedName>
    <definedName name="ILI_TO_RentRate.PBH_Rent_Assembly_Name">SF_Data!$A$2</definedName>
    <definedName name="ILI_TO_RentRate.PBH_Rent_Assembly_PBH_Rate_F">SF_Data!$H$2</definedName>
    <definedName name="ILI_TO_RentRate.PBH_Rent_Assembly_Rate_Basis_F">SF_Data!$F$2</definedName>
    <definedName name="ILI_TO_RentRate.PBH_Rent_Assembly_Unit_Type">SF_Data!$M$2</definedName>
    <definedName name="ILI_TO_RentRate.PBH_Rent_Assembly_Utilization_Unit__000">SF_Data!$G$2</definedName>
    <definedName name="ILI_TO_RentRate_Converted_Currency_Line_Amount">SF_Data!$I$2</definedName>
    <definedName name="ILI_TO_RentRate_Start">SF_Data!$A$2:$T$2</definedName>
    <definedName name="ILI_TO_RentRate_Total_Line_Amount">SF_Data!$K$2</definedName>
    <definedName name="PBH_Line.PBH_Rent_Assembly_Id">PBH_Lines!$E$2</definedName>
    <definedName name="PBH_Line.PBH_Rent_Assembly_Rate_Basis_F">PBH_Lines!$C$2</definedName>
    <definedName name="PBH_Line.PBH_Rent_Rate_Id">PBH_Lines!$D$2</definedName>
    <definedName name="PBH_Line_Name">PBH_Lines!$A$2</definedName>
    <definedName name="PBH_Line_PBH_Amount__000">PBH_Lines!$F$2</definedName>
    <definedName name="PBH_Line_Start">PBH_Lines!$A$2:$F$2</definedName>
    <definedName name="PBH_Line_Utilization_Unit__000">PBH_Lines!$B$2</definedName>
    <definedName name="PBH_RR.Associated_Assembly_Id">PBH_RR!$D$2</definedName>
    <definedName name="PBH_RR.Associated_Assembly_Name">PBH_RR!$C$2</definedName>
    <definedName name="PBH_RR.Multi_Rent_Schedule_Id">PBH_RR!$K$2</definedName>
    <definedName name="PBH_RR_From_Value__000">PBH_RR!$G$2</definedName>
    <definedName name="PBH_RR_From_Value_FC__000">PBH_RR!$H$2</definedName>
    <definedName name="PBH_RR_Id">PBH_RR!$A$2</definedName>
    <definedName name="PBH_RR_Multi_Rent_Schedule">#REF!</definedName>
    <definedName name="PBH_RR_Name">PBH_RR!$B$2</definedName>
    <definedName name="PBH_RR_PBH_Rate">PBH_RR!$I$2</definedName>
    <definedName name="PBH_RR_PBH_Rate_FC">PBH_RR!$J$2</definedName>
    <definedName name="PBH_RR_Rate_Basis_F">PBH_RR!$E$2</definedName>
    <definedName name="PBH_RR_Selection">PBH_RR!$F$2</definedName>
    <definedName name="PBH_RR_Start">PBH_RR!$A$2:$K$2</definedName>
    <definedName name="RateValue">Sheet1!$J$1:$Q$100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" i="5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" i="3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E2" i="5"/>
  <c r="D2" i="5"/>
  <c r="H29" i="6"/>
  <c r="G3" i="6"/>
  <c r="H3" i="6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3" i="6"/>
  <c r="H113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 s="1"/>
  <c r="G147" i="6"/>
  <c r="H147" i="6" s="1"/>
  <c r="G148" i="6"/>
  <c r="H148" i="6" s="1"/>
  <c r="G149" i="6"/>
  <c r="H149" i="6" s="1"/>
  <c r="G150" i="6"/>
  <c r="H150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165" i="6"/>
  <c r="H165" i="6" s="1"/>
  <c r="G166" i="6"/>
  <c r="H166" i="6" s="1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H182" i="6" s="1"/>
  <c r="G183" i="6"/>
  <c r="H183" i="6" s="1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 s="1"/>
  <c r="G191" i="6"/>
  <c r="H191" i="6" s="1"/>
  <c r="G192" i="6"/>
  <c r="H192" i="6" s="1"/>
  <c r="G193" i="6"/>
  <c r="H193" i="6" s="1"/>
  <c r="G194" i="6"/>
  <c r="H194" i="6" s="1"/>
  <c r="G195" i="6"/>
  <c r="H195" i="6" s="1"/>
  <c r="G196" i="6"/>
  <c r="H196" i="6" s="1"/>
  <c r="G197" i="6"/>
  <c r="H197" i="6" s="1"/>
  <c r="G198" i="6"/>
  <c r="H198" i="6" s="1"/>
  <c r="G199" i="6"/>
  <c r="H199" i="6" s="1"/>
  <c r="G200" i="6"/>
  <c r="H200" i="6" s="1"/>
  <c r="G2" i="6"/>
  <c r="H2" i="6" s="1"/>
  <c r="J77" i="6" l="1" a="1"/>
  <c r="J77" i="6" s="1"/>
  <c r="N77" i="6" s="1"/>
  <c r="J53" i="6" a="1"/>
  <c r="J53" i="6" s="1"/>
  <c r="M53" i="6" s="1"/>
  <c r="J2" i="6" a="1"/>
  <c r="J2" i="6" s="1"/>
  <c r="O2" i="6" s="1"/>
  <c r="J61" i="6" a="1"/>
  <c r="J61" i="6" s="1"/>
  <c r="N61" i="6" s="1"/>
  <c r="J85" i="6" a="1"/>
  <c r="J85" i="6" s="1"/>
  <c r="K85" i="6" s="1"/>
  <c r="J45" i="6" a="1"/>
  <c r="J45" i="6" s="1"/>
  <c r="J93" i="6" a="1"/>
  <c r="J93" i="6" s="1"/>
  <c r="K93" i="6" s="1"/>
  <c r="J37" i="6" a="1"/>
  <c r="J37" i="6" s="1"/>
  <c r="M37" i="6" s="1"/>
  <c r="J69" i="6" a="1"/>
  <c r="J69" i="6" s="1"/>
  <c r="J3" i="6" a="1"/>
  <c r="J3" i="6" s="1"/>
  <c r="O3" i="6" s="1"/>
  <c r="J84" i="6" a="1"/>
  <c r="J84" i="6" s="1"/>
  <c r="K84" i="6" s="1"/>
  <c r="J44" i="6" a="1"/>
  <c r="J44" i="6" s="1"/>
  <c r="K44" i="6" s="1"/>
  <c r="J97" i="6" a="1"/>
  <c r="J97" i="6" s="1"/>
  <c r="K97" i="6" s="1"/>
  <c r="J89" i="6" a="1"/>
  <c r="J89" i="6" s="1"/>
  <c r="K89" i="6" s="1"/>
  <c r="J81" i="6" a="1"/>
  <c r="J81" i="6" s="1"/>
  <c r="N81" i="6" s="1"/>
  <c r="J73" i="6" a="1"/>
  <c r="J73" i="6" s="1"/>
  <c r="K73" i="6" s="1"/>
  <c r="J65" i="6" a="1"/>
  <c r="J65" i="6" s="1"/>
  <c r="N65" i="6" s="1"/>
  <c r="J57" i="6" a="1"/>
  <c r="J57" i="6" s="1"/>
  <c r="K57" i="6" s="1"/>
  <c r="J49" i="6" a="1"/>
  <c r="J49" i="6" s="1"/>
  <c r="M49" i="6" s="1"/>
  <c r="J41" i="6" a="1"/>
  <c r="J41" i="6" s="1"/>
  <c r="K41" i="6" s="1"/>
  <c r="J33" i="6" a="1"/>
  <c r="J33" i="6" s="1"/>
  <c r="J26" i="6" a="1"/>
  <c r="J26" i="6" s="1"/>
  <c r="O26" i="6" s="1"/>
  <c r="J18" i="6" a="1"/>
  <c r="J18" i="6" s="1"/>
  <c r="N18" i="6" s="1"/>
  <c r="J10" i="6" a="1"/>
  <c r="J10" i="6" s="1"/>
  <c r="O10" i="6" s="1"/>
  <c r="J52" i="6" a="1"/>
  <c r="J52" i="6" s="1"/>
  <c r="K52" i="6" s="1"/>
  <c r="J96" i="6" a="1"/>
  <c r="J96" i="6" s="1"/>
  <c r="M96" i="6" s="1"/>
  <c r="J88" i="6" a="1"/>
  <c r="J88" i="6" s="1"/>
  <c r="K88" i="6" s="1"/>
  <c r="J80" i="6" a="1"/>
  <c r="J80" i="6" s="1"/>
  <c r="K80" i="6" s="1"/>
  <c r="J72" i="6" a="1"/>
  <c r="J72" i="6" s="1"/>
  <c r="K72" i="6" s="1"/>
  <c r="J64" i="6" a="1"/>
  <c r="J64" i="6" s="1"/>
  <c r="L64" i="6" s="1"/>
  <c r="J56" i="6" a="1"/>
  <c r="J56" i="6" s="1"/>
  <c r="K56" i="6" s="1"/>
  <c r="J48" i="6" a="1"/>
  <c r="J48" i="6" s="1"/>
  <c r="K48" i="6" s="1"/>
  <c r="J40" i="6" a="1"/>
  <c r="J40" i="6" s="1"/>
  <c r="K40" i="6" s="1"/>
  <c r="J32" i="6" a="1"/>
  <c r="J32" i="6" s="1"/>
  <c r="K32" i="6" s="1"/>
  <c r="J25" i="6" a="1"/>
  <c r="J25" i="6" s="1"/>
  <c r="K25" i="6" s="1"/>
  <c r="J17" i="6" a="1"/>
  <c r="J17" i="6" s="1"/>
  <c r="L17" i="6" s="1"/>
  <c r="J9" i="6" a="1"/>
  <c r="J9" i="6" s="1"/>
  <c r="M9" i="6" s="1"/>
  <c r="J60" i="6" a="1"/>
  <c r="J60" i="6" s="1"/>
  <c r="K60" i="6" s="1"/>
  <c r="J36" i="6" a="1"/>
  <c r="J36" i="6" s="1"/>
  <c r="K36" i="6" s="1"/>
  <c r="J95" i="6" a="1"/>
  <c r="J95" i="6" s="1"/>
  <c r="K95" i="6" s="1"/>
  <c r="J87" i="6" a="1"/>
  <c r="J87" i="6" s="1"/>
  <c r="K87" i="6" s="1"/>
  <c r="J79" i="6" a="1"/>
  <c r="J79" i="6" s="1"/>
  <c r="K79" i="6" s="1"/>
  <c r="J71" i="6" a="1"/>
  <c r="J71" i="6" s="1"/>
  <c r="K71" i="6" s="1"/>
  <c r="J63" i="6" a="1"/>
  <c r="J63" i="6" s="1"/>
  <c r="K63" i="6" s="1"/>
  <c r="J55" i="6" a="1"/>
  <c r="J55" i="6" s="1"/>
  <c r="K55" i="6" s="1"/>
  <c r="J47" i="6" a="1"/>
  <c r="J47" i="6" s="1"/>
  <c r="L47" i="6" s="1"/>
  <c r="J39" i="6" a="1"/>
  <c r="J39" i="6" s="1"/>
  <c r="K39" i="6" s="1"/>
  <c r="J31" i="6" a="1"/>
  <c r="J31" i="6" s="1"/>
  <c r="K31" i="6" s="1"/>
  <c r="J24" i="6" a="1"/>
  <c r="J24" i="6" s="1"/>
  <c r="K24" i="6" s="1"/>
  <c r="J16" i="6" a="1"/>
  <c r="J16" i="6" s="1"/>
  <c r="K16" i="6" s="1"/>
  <c r="J8" i="6" a="1"/>
  <c r="J8" i="6" s="1"/>
  <c r="L8" i="6" s="1"/>
  <c r="J100" i="6" a="1"/>
  <c r="J100" i="6" s="1"/>
  <c r="K100" i="6" s="1"/>
  <c r="J94" i="6" a="1"/>
  <c r="J94" i="6" s="1"/>
  <c r="N94" i="6" s="1"/>
  <c r="J86" i="6" a="1"/>
  <c r="J86" i="6" s="1"/>
  <c r="K86" i="6" s="1"/>
  <c r="J78" i="6" a="1"/>
  <c r="J78" i="6" s="1"/>
  <c r="K78" i="6" s="1"/>
  <c r="J70" i="6" a="1"/>
  <c r="J70" i="6" s="1"/>
  <c r="M70" i="6" s="1"/>
  <c r="J62" i="6" a="1"/>
  <c r="J62" i="6" s="1"/>
  <c r="K62" i="6" s="1"/>
  <c r="J54" i="6" a="1"/>
  <c r="J54" i="6" s="1"/>
  <c r="M54" i="6" s="1"/>
  <c r="J46" i="6" a="1"/>
  <c r="J46" i="6" s="1"/>
  <c r="K46" i="6" s="1"/>
  <c r="J38" i="6" a="1"/>
  <c r="J38" i="6" s="1"/>
  <c r="L38" i="6" s="1"/>
  <c r="J30" i="6" a="1"/>
  <c r="J30" i="6" s="1"/>
  <c r="K30" i="6" s="1"/>
  <c r="J23" i="6" a="1"/>
  <c r="J23" i="6" s="1"/>
  <c r="K23" i="6" s="1"/>
  <c r="J15" i="6" a="1"/>
  <c r="J15" i="6" s="1"/>
  <c r="K15" i="6" s="1"/>
  <c r="J7" i="6" a="1"/>
  <c r="J7" i="6" s="1"/>
  <c r="K7" i="6" s="1"/>
  <c r="J22" i="6" a="1"/>
  <c r="J22" i="6" s="1"/>
  <c r="N22" i="6" s="1"/>
  <c r="J14" i="6" a="1"/>
  <c r="J14" i="6" s="1"/>
  <c r="K14" i="6" s="1"/>
  <c r="J6" i="6" a="1"/>
  <c r="J6" i="6" s="1"/>
  <c r="K6" i="6" s="1"/>
  <c r="J76" i="6" a="1"/>
  <c r="J76" i="6" s="1"/>
  <c r="K76" i="6" s="1"/>
  <c r="J13" i="6" a="1"/>
  <c r="J13" i="6" s="1"/>
  <c r="M13" i="6" s="1"/>
  <c r="J5" i="6" a="1"/>
  <c r="J5" i="6" s="1"/>
  <c r="N5" i="6" s="1"/>
  <c r="J68" i="6" a="1"/>
  <c r="J68" i="6" s="1"/>
  <c r="K68" i="6" s="1"/>
  <c r="J29" i="6" a="1"/>
  <c r="J29" i="6" s="1"/>
  <c r="K29" i="6" s="1"/>
  <c r="J99" i="6" a="1"/>
  <c r="J99" i="6" s="1"/>
  <c r="K99" i="6" s="1"/>
  <c r="J91" i="6" a="1"/>
  <c r="J91" i="6" s="1"/>
  <c r="K91" i="6" s="1"/>
  <c r="J83" i="6" a="1"/>
  <c r="J83" i="6" s="1"/>
  <c r="K83" i="6" s="1"/>
  <c r="J75" i="6" a="1"/>
  <c r="J75" i="6" s="1"/>
  <c r="K75" i="6" s="1"/>
  <c r="J67" i="6" a="1"/>
  <c r="J67" i="6" s="1"/>
  <c r="K67" i="6" s="1"/>
  <c r="J59" i="6" a="1"/>
  <c r="J59" i="6" s="1"/>
  <c r="K59" i="6" s="1"/>
  <c r="J51" i="6" a="1"/>
  <c r="J51" i="6" s="1"/>
  <c r="K51" i="6" s="1"/>
  <c r="J43" i="6" a="1"/>
  <c r="J43" i="6" s="1"/>
  <c r="K43" i="6" s="1"/>
  <c r="J35" i="6" a="1"/>
  <c r="J35" i="6" s="1"/>
  <c r="K35" i="6" s="1"/>
  <c r="J28" i="6" a="1"/>
  <c r="J28" i="6" s="1"/>
  <c r="K28" i="6" s="1"/>
  <c r="J20" i="6" a="1"/>
  <c r="J20" i="6" s="1"/>
  <c r="K20" i="6" s="1"/>
  <c r="J12" i="6" a="1"/>
  <c r="J12" i="6" s="1"/>
  <c r="O12" i="6" s="1"/>
  <c r="J4" i="6" a="1"/>
  <c r="J4" i="6" s="1"/>
  <c r="M4" i="6" s="1"/>
  <c r="J92" i="6" a="1"/>
  <c r="J92" i="6" s="1"/>
  <c r="K92" i="6" s="1"/>
  <c r="J21" i="6" a="1"/>
  <c r="J21" i="6" s="1"/>
  <c r="K21" i="6" s="1"/>
  <c r="J98" i="6" a="1"/>
  <c r="J98" i="6" s="1"/>
  <c r="K98" i="6" s="1"/>
  <c r="J90" i="6" a="1"/>
  <c r="J90" i="6" s="1"/>
  <c r="K90" i="6" s="1"/>
  <c r="J82" i="6" a="1"/>
  <c r="J82" i="6" s="1"/>
  <c r="M82" i="6" s="1"/>
  <c r="J74" i="6" a="1"/>
  <c r="J74" i="6" s="1"/>
  <c r="N74" i="6" s="1"/>
  <c r="J66" i="6" a="1"/>
  <c r="J66" i="6" s="1"/>
  <c r="M66" i="6" s="1"/>
  <c r="J58" i="6" a="1"/>
  <c r="J58" i="6" s="1"/>
  <c r="L58" i="6" s="1"/>
  <c r="J50" i="6" a="1"/>
  <c r="J50" i="6" s="1"/>
  <c r="O50" i="6" s="1"/>
  <c r="J42" i="6" a="1"/>
  <c r="J42" i="6" s="1"/>
  <c r="M42" i="6" s="1"/>
  <c r="J34" i="6" a="1"/>
  <c r="J34" i="6" s="1"/>
  <c r="N34" i="6" s="1"/>
  <c r="J27" i="6" a="1"/>
  <c r="J27" i="6" s="1"/>
  <c r="K27" i="6" s="1"/>
  <c r="J19" i="6" a="1"/>
  <c r="J19" i="6" s="1"/>
  <c r="K19" i="6" s="1"/>
  <c r="J11" i="6" a="1"/>
  <c r="J11" i="6" s="1"/>
  <c r="K11" i="6" s="1"/>
  <c r="N32" i="6"/>
  <c r="N50" i="6"/>
  <c r="O56" i="6"/>
  <c r="O55" i="6"/>
  <c r="K3" i="6"/>
  <c r="O42" i="6"/>
  <c r="L25" i="6"/>
  <c r="O41" i="6"/>
  <c r="L3" i="6"/>
  <c r="O18" i="6"/>
  <c r="O57" i="6"/>
  <c r="N9" i="6"/>
  <c r="M41" i="6"/>
  <c r="O65" i="6"/>
  <c r="O54" i="6"/>
  <c r="O40" i="6"/>
  <c r="O9" i="6"/>
  <c r="O97" i="6"/>
  <c r="N47" i="6"/>
  <c r="O64" i="6"/>
  <c r="O39" i="6"/>
  <c r="M18" i="6"/>
  <c r="O63" i="6"/>
  <c r="O7" i="6"/>
  <c r="N39" i="6"/>
  <c r="N3" i="6"/>
  <c r="O32" i="6"/>
  <c r="M3" i="6"/>
  <c r="O47" i="6"/>
  <c r="K45" i="6"/>
  <c r="O45" i="6"/>
  <c r="K33" i="6"/>
  <c r="O33" i="6"/>
  <c r="N33" i="6"/>
  <c r="K69" i="6"/>
  <c r="O69" i="6"/>
  <c r="K38" i="6"/>
  <c r="N38" i="6"/>
  <c r="O38" i="6"/>
  <c r="O96" i="6"/>
  <c r="O80" i="6"/>
  <c r="O72" i="6"/>
  <c r="O16" i="6"/>
  <c r="O79" i="6"/>
  <c r="O31" i="6"/>
  <c r="O23" i="6"/>
  <c r="O15" i="6"/>
  <c r="N57" i="6"/>
  <c r="O94" i="6"/>
  <c r="O86" i="6"/>
  <c r="O78" i="6"/>
  <c r="O30" i="6"/>
  <c r="O14" i="6"/>
  <c r="N56" i="6"/>
  <c r="N42" i="6"/>
  <c r="O93" i="6"/>
  <c r="O85" i="6"/>
  <c r="O77" i="6"/>
  <c r="O61" i="6"/>
  <c r="O53" i="6"/>
  <c r="O29" i="6"/>
  <c r="O21" i="6"/>
  <c r="O5" i="6"/>
  <c r="N89" i="6"/>
  <c r="O89" i="6"/>
  <c r="O81" i="6"/>
  <c r="O17" i="6"/>
  <c r="N97" i="6"/>
  <c r="N55" i="6"/>
  <c r="N41" i="6"/>
  <c r="O100" i="6"/>
  <c r="O92" i="6"/>
  <c r="O68" i="6"/>
  <c r="O60" i="6"/>
  <c r="O52" i="6"/>
  <c r="O44" i="6"/>
  <c r="O36" i="6"/>
  <c r="N96" i="6"/>
  <c r="N54" i="6"/>
  <c r="O59" i="6"/>
  <c r="O51" i="6"/>
  <c r="K26" i="6"/>
  <c r="N26" i="6"/>
  <c r="M26" i="6"/>
  <c r="M64" i="6"/>
  <c r="N95" i="6"/>
  <c r="N79" i="6"/>
  <c r="N63" i="6"/>
  <c r="N23" i="6"/>
  <c r="N15" i="6"/>
  <c r="L16" i="6"/>
  <c r="M65" i="6"/>
  <c r="N80" i="6"/>
  <c r="L97" i="6"/>
  <c r="M97" i="6"/>
  <c r="M57" i="6"/>
  <c r="M100" i="6"/>
  <c r="N93" i="6"/>
  <c r="N85" i="6"/>
  <c r="N69" i="6"/>
  <c r="N53" i="6"/>
  <c r="N45" i="6"/>
  <c r="N21" i="6"/>
  <c r="M17" i="6"/>
  <c r="N73" i="6"/>
  <c r="N17" i="6"/>
  <c r="M16" i="6"/>
  <c r="N72" i="6"/>
  <c r="N64" i="6"/>
  <c r="N16" i="6"/>
  <c r="N86" i="6"/>
  <c r="N78" i="6"/>
  <c r="N30" i="6"/>
  <c r="N14" i="6"/>
  <c r="L78" i="6"/>
  <c r="M56" i="6"/>
  <c r="M24" i="6"/>
  <c r="N100" i="6"/>
  <c r="N92" i="6"/>
  <c r="N60" i="6"/>
  <c r="N52" i="6"/>
  <c r="N44" i="6"/>
  <c r="N36" i="6"/>
  <c r="M89" i="6"/>
  <c r="M23" i="6"/>
  <c r="N59" i="6"/>
  <c r="N51" i="6"/>
  <c r="K61" i="6"/>
  <c r="M61" i="6"/>
  <c r="M10" i="6"/>
  <c r="L10" i="6"/>
  <c r="K81" i="6"/>
  <c r="M81" i="6"/>
  <c r="K5" i="6"/>
  <c r="M5" i="6"/>
  <c r="K94" i="6"/>
  <c r="M94" i="6"/>
  <c r="K50" i="6"/>
  <c r="M50" i="6"/>
  <c r="L50" i="6"/>
  <c r="K77" i="6"/>
  <c r="M77" i="6"/>
  <c r="L73" i="6"/>
  <c r="M80" i="6"/>
  <c r="M72" i="6"/>
  <c r="M32" i="6"/>
  <c r="L95" i="6"/>
  <c r="L72" i="6"/>
  <c r="L33" i="6"/>
  <c r="L15" i="6"/>
  <c r="M95" i="6"/>
  <c r="M79" i="6"/>
  <c r="M63" i="6"/>
  <c r="M55" i="6"/>
  <c r="M47" i="6"/>
  <c r="M39" i="6"/>
  <c r="M15" i="6"/>
  <c r="M7" i="6"/>
  <c r="M33" i="6"/>
  <c r="K96" i="6"/>
  <c r="L71" i="6"/>
  <c r="L32" i="6"/>
  <c r="M86" i="6"/>
  <c r="M78" i="6"/>
  <c r="M38" i="6"/>
  <c r="M30" i="6"/>
  <c r="M14" i="6"/>
  <c r="L89" i="6"/>
  <c r="L57" i="6"/>
  <c r="M93" i="6"/>
  <c r="M85" i="6"/>
  <c r="M69" i="6"/>
  <c r="M45" i="6"/>
  <c r="M21" i="6"/>
  <c r="L96" i="6"/>
  <c r="L80" i="6"/>
  <c r="L56" i="6"/>
  <c r="L30" i="6"/>
  <c r="M92" i="6"/>
  <c r="M84" i="6"/>
  <c r="M76" i="6"/>
  <c r="M68" i="6"/>
  <c r="M60" i="6"/>
  <c r="M52" i="6"/>
  <c r="M44" i="6"/>
  <c r="M36" i="6"/>
  <c r="L79" i="6"/>
  <c r="L55" i="6"/>
  <c r="L26" i="6"/>
  <c r="M67" i="6"/>
  <c r="M59" i="6"/>
  <c r="M51" i="6"/>
  <c r="K54" i="6"/>
  <c r="L54" i="6"/>
  <c r="K70" i="6"/>
  <c r="L82" i="6"/>
  <c r="K42" i="6"/>
  <c r="L42" i="6"/>
  <c r="K53" i="6"/>
  <c r="L53" i="6"/>
  <c r="K9" i="6"/>
  <c r="L9" i="6"/>
  <c r="K65" i="6"/>
  <c r="L65" i="6"/>
  <c r="L18" i="6"/>
  <c r="K18" i="6"/>
  <c r="K47" i="6"/>
  <c r="K17" i="6"/>
  <c r="L81" i="6"/>
  <c r="L41" i="6"/>
  <c r="K64" i="6"/>
  <c r="L87" i="6"/>
  <c r="L63" i="6"/>
  <c r="L39" i="6"/>
  <c r="L23" i="6"/>
  <c r="L7" i="6"/>
  <c r="L94" i="6"/>
  <c r="L86" i="6"/>
  <c r="L93" i="6"/>
  <c r="L85" i="6"/>
  <c r="L77" i="6"/>
  <c r="L69" i="6"/>
  <c r="L61" i="6"/>
  <c r="L45" i="6"/>
  <c r="L21" i="6"/>
  <c r="L5" i="6"/>
  <c r="L100" i="6"/>
  <c r="L92" i="6"/>
  <c r="L68" i="6"/>
  <c r="L60" i="6"/>
  <c r="L52" i="6"/>
  <c r="L44" i="6"/>
  <c r="L36" i="6"/>
  <c r="L91" i="6"/>
  <c r="L59" i="6"/>
  <c r="L51" i="6"/>
  <c r="O24" i="6" l="1"/>
  <c r="N40" i="6"/>
  <c r="M40" i="6"/>
  <c r="O22" i="6"/>
  <c r="L13" i="6"/>
  <c r="N58" i="6"/>
  <c r="O13" i="6"/>
  <c r="O62" i="6"/>
  <c r="L4" i="6"/>
  <c r="M12" i="6"/>
  <c r="L12" i="6"/>
  <c r="K4" i="6"/>
  <c r="N76" i="6"/>
  <c r="O4" i="6"/>
  <c r="L43" i="6"/>
  <c r="L62" i="6"/>
  <c r="K13" i="6"/>
  <c r="N66" i="6"/>
  <c r="M58" i="6"/>
  <c r="N13" i="6"/>
  <c r="N4" i="6"/>
  <c r="O67" i="6"/>
  <c r="L67" i="6"/>
  <c r="N67" i="6"/>
  <c r="L75" i="6"/>
  <c r="L76" i="6"/>
  <c r="N75" i="6"/>
  <c r="N12" i="6"/>
  <c r="O76" i="6"/>
  <c r="O58" i="6"/>
  <c r="M75" i="6"/>
  <c r="O73" i="6"/>
  <c r="O37" i="6"/>
  <c r="O98" i="6"/>
  <c r="O34" i="6"/>
  <c r="L29" i="6"/>
  <c r="K8" i="6"/>
  <c r="K37" i="6"/>
  <c r="M91" i="6"/>
  <c r="L31" i="6"/>
  <c r="L14" i="6"/>
  <c r="M31" i="6"/>
  <c r="N43" i="6"/>
  <c r="L48" i="6"/>
  <c r="N68" i="6"/>
  <c r="N29" i="6"/>
  <c r="N98" i="6"/>
  <c r="L37" i="6"/>
  <c r="K34" i="6"/>
  <c r="N70" i="6"/>
  <c r="N37" i="6"/>
  <c r="O43" i="6"/>
  <c r="N10" i="6"/>
  <c r="O48" i="6"/>
  <c r="L98" i="6"/>
  <c r="M43" i="6"/>
  <c r="M29" i="6"/>
  <c r="O70" i="6"/>
  <c r="N7" i="6"/>
  <c r="N48" i="6"/>
  <c r="L28" i="6"/>
  <c r="L70" i="6"/>
  <c r="M28" i="6"/>
  <c r="M73" i="6"/>
  <c r="K10" i="6"/>
  <c r="N91" i="6"/>
  <c r="M98" i="6"/>
  <c r="K12" i="6"/>
  <c r="O91" i="6"/>
  <c r="M48" i="6"/>
  <c r="N31" i="6"/>
  <c r="O95" i="6"/>
  <c r="L19" i="6"/>
  <c r="M19" i="6"/>
  <c r="L90" i="6"/>
  <c r="L35" i="6"/>
  <c r="L99" i="6"/>
  <c r="K58" i="6"/>
  <c r="M35" i="6"/>
  <c r="M99" i="6"/>
  <c r="M62" i="6"/>
  <c r="M34" i="6"/>
  <c r="N27" i="6"/>
  <c r="N24" i="6"/>
  <c r="M6" i="6"/>
  <c r="L2" i="6"/>
  <c r="M11" i="6"/>
  <c r="M20" i="6"/>
  <c r="L40" i="6"/>
  <c r="L6" i="6"/>
  <c r="K66" i="6"/>
  <c r="M71" i="6"/>
  <c r="M8" i="6"/>
  <c r="L34" i="6"/>
  <c r="N35" i="6"/>
  <c r="N99" i="6"/>
  <c r="N20" i="6"/>
  <c r="N84" i="6"/>
  <c r="L24" i="6"/>
  <c r="N87" i="6"/>
  <c r="O11" i="6"/>
  <c r="O75" i="6"/>
  <c r="O20" i="6"/>
  <c r="O84" i="6"/>
  <c r="O87" i="6"/>
  <c r="N82" i="6"/>
  <c r="O90" i="6"/>
  <c r="K2" i="6"/>
  <c r="N90" i="6"/>
  <c r="N2" i="6"/>
  <c r="O46" i="6"/>
  <c r="L83" i="6"/>
  <c r="N8" i="6"/>
  <c r="M27" i="6"/>
  <c r="N19" i="6"/>
  <c r="M88" i="6"/>
  <c r="O71" i="6"/>
  <c r="O88" i="6"/>
  <c r="N46" i="6"/>
  <c r="L88" i="6"/>
  <c r="L22" i="6"/>
  <c r="L66" i="6"/>
  <c r="L74" i="6"/>
  <c r="M22" i="6"/>
  <c r="N28" i="6"/>
  <c r="N62" i="6"/>
  <c r="O19" i="6"/>
  <c r="O83" i="6"/>
  <c r="O28" i="6"/>
  <c r="O74" i="6"/>
  <c r="O6" i="6"/>
  <c r="O8" i="6"/>
  <c r="O66" i="6"/>
  <c r="O25" i="6"/>
  <c r="M83" i="6"/>
  <c r="M90" i="6"/>
  <c r="N6" i="6"/>
  <c r="L27" i="6"/>
  <c r="L49" i="6"/>
  <c r="K82" i="6"/>
  <c r="M87" i="6"/>
  <c r="K74" i="6"/>
  <c r="K22" i="6"/>
  <c r="O27" i="6"/>
  <c r="O82" i="6"/>
  <c r="N11" i="6"/>
  <c r="M46" i="6"/>
  <c r="N83" i="6"/>
  <c r="N71" i="6"/>
  <c r="L20" i="6"/>
  <c r="L84" i="6"/>
  <c r="L46" i="6"/>
  <c r="K49" i="6"/>
  <c r="M74" i="6"/>
  <c r="N88" i="6"/>
  <c r="M25" i="6"/>
  <c r="O35" i="6"/>
  <c r="O99" i="6"/>
  <c r="N25" i="6"/>
  <c r="O49" i="6"/>
  <c r="N49" i="6"/>
  <c r="L11" i="6"/>
  <c r="M2" i="6"/>
  <c r="N91" i="5"/>
  <c r="N96" i="5"/>
  <c r="N98" i="5"/>
  <c r="M6" i="5"/>
  <c r="M8" i="5"/>
  <c r="M14" i="5"/>
  <c r="M16" i="5"/>
  <c r="M22" i="5"/>
  <c r="M24" i="5"/>
  <c r="M30" i="5"/>
  <c r="M32" i="5"/>
  <c r="M38" i="5"/>
  <c r="M40" i="5"/>
  <c r="M46" i="5"/>
  <c r="M48" i="5"/>
  <c r="M54" i="5"/>
  <c r="M56" i="5"/>
  <c r="M62" i="5"/>
  <c r="M64" i="5"/>
  <c r="M68" i="5"/>
  <c r="M70" i="5"/>
  <c r="M72" i="5"/>
  <c r="M78" i="5"/>
  <c r="M80" i="5"/>
  <c r="M86" i="5"/>
  <c r="M88" i="5"/>
  <c r="M94" i="5"/>
  <c r="M96" i="5"/>
  <c r="N2" i="5"/>
  <c r="M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2" i="5"/>
  <c r="N93" i="5"/>
  <c r="N94" i="5"/>
  <c r="N95" i="5"/>
  <c r="N97" i="5"/>
  <c r="N99" i="5"/>
  <c r="N100" i="5"/>
  <c r="M3" i="5"/>
  <c r="M4" i="5"/>
  <c r="M5" i="5"/>
  <c r="M7" i="5"/>
  <c r="M9" i="5"/>
  <c r="M10" i="5"/>
  <c r="M11" i="5"/>
  <c r="M12" i="5"/>
  <c r="M13" i="5"/>
  <c r="M15" i="5"/>
  <c r="M17" i="5"/>
  <c r="M18" i="5"/>
  <c r="M19" i="5"/>
  <c r="M20" i="5"/>
  <c r="M21" i="5"/>
  <c r="M23" i="5"/>
  <c r="M25" i="5"/>
  <c r="M26" i="5"/>
  <c r="M27" i="5"/>
  <c r="M28" i="5"/>
  <c r="M29" i="5"/>
  <c r="M31" i="5"/>
  <c r="M33" i="5"/>
  <c r="M34" i="5"/>
  <c r="M35" i="5"/>
  <c r="M36" i="5"/>
  <c r="M37" i="5"/>
  <c r="M39" i="5"/>
  <c r="M41" i="5"/>
  <c r="M42" i="5"/>
  <c r="M43" i="5"/>
  <c r="M44" i="5"/>
  <c r="M45" i="5"/>
  <c r="M47" i="5"/>
  <c r="M49" i="5"/>
  <c r="M50" i="5"/>
  <c r="M51" i="5"/>
  <c r="M52" i="5"/>
  <c r="M53" i="5"/>
  <c r="M55" i="5"/>
  <c r="M57" i="5"/>
  <c r="M58" i="5"/>
  <c r="M59" i="5"/>
  <c r="M60" i="5"/>
  <c r="M61" i="5"/>
  <c r="M63" i="5"/>
  <c r="M65" i="5"/>
  <c r="M66" i="5"/>
  <c r="M67" i="5"/>
  <c r="M69" i="5"/>
  <c r="M71" i="5"/>
  <c r="M73" i="5"/>
  <c r="M74" i="5"/>
  <c r="M75" i="5"/>
  <c r="M76" i="5"/>
  <c r="M77" i="5"/>
  <c r="M79" i="5"/>
  <c r="M81" i="5"/>
  <c r="M82" i="5"/>
  <c r="M83" i="5"/>
  <c r="M84" i="5"/>
  <c r="M85" i="5"/>
  <c r="M87" i="5"/>
  <c r="M89" i="5"/>
  <c r="M90" i="5"/>
  <c r="M91" i="5"/>
  <c r="M92" i="5"/>
  <c r="M93" i="5"/>
  <c r="M95" i="5"/>
  <c r="M97" i="5"/>
  <c r="M98" i="5"/>
  <c r="M99" i="5"/>
  <c r="M100" i="5"/>
  <c r="G3" i="5" l="1"/>
  <c r="P3" i="5" s="1"/>
  <c r="G4" i="5"/>
  <c r="P4" i="5" s="1"/>
  <c r="G5" i="5"/>
  <c r="P5" i="5" s="1"/>
  <c r="G6" i="5"/>
  <c r="P6" i="5" s="1"/>
  <c r="G7" i="5"/>
  <c r="P7" i="5" s="1"/>
  <c r="G8" i="5"/>
  <c r="P8" i="5" s="1"/>
  <c r="G9" i="5"/>
  <c r="P9" i="5" s="1"/>
  <c r="G10" i="5"/>
  <c r="P10" i="5" s="1"/>
  <c r="G11" i="5"/>
  <c r="P11" i="5" s="1"/>
  <c r="G12" i="5"/>
  <c r="P12" i="5" s="1"/>
  <c r="G13" i="5"/>
  <c r="P13" i="5" s="1"/>
  <c r="G14" i="5"/>
  <c r="P14" i="5" s="1"/>
  <c r="G15" i="5"/>
  <c r="P15" i="5" s="1"/>
  <c r="G16" i="5"/>
  <c r="P16" i="5" s="1"/>
  <c r="G17" i="5"/>
  <c r="P17" i="5" s="1"/>
  <c r="G18" i="5"/>
  <c r="P18" i="5" s="1"/>
  <c r="G19" i="5"/>
  <c r="P19" i="5" s="1"/>
  <c r="G20" i="5"/>
  <c r="P20" i="5" s="1"/>
  <c r="G21" i="5"/>
  <c r="P21" i="5" s="1"/>
  <c r="G22" i="5"/>
  <c r="P22" i="5" s="1"/>
  <c r="G23" i="5"/>
  <c r="P23" i="5" s="1"/>
  <c r="G24" i="5"/>
  <c r="P24" i="5" s="1"/>
  <c r="G25" i="5"/>
  <c r="P25" i="5" s="1"/>
  <c r="G26" i="5"/>
  <c r="P26" i="5" s="1"/>
  <c r="G27" i="5"/>
  <c r="P27" i="5" s="1"/>
  <c r="G28" i="5"/>
  <c r="P28" i="5" s="1"/>
  <c r="G29" i="5"/>
  <c r="P29" i="5" s="1"/>
  <c r="G30" i="5"/>
  <c r="P30" i="5" s="1"/>
  <c r="G31" i="5"/>
  <c r="P31" i="5" s="1"/>
  <c r="G32" i="5"/>
  <c r="P32" i="5" s="1"/>
  <c r="G33" i="5"/>
  <c r="P33" i="5" s="1"/>
  <c r="G34" i="5"/>
  <c r="P34" i="5" s="1"/>
  <c r="G35" i="5"/>
  <c r="P35" i="5" s="1"/>
  <c r="G36" i="5"/>
  <c r="P36" i="5" s="1"/>
  <c r="G37" i="5"/>
  <c r="P37" i="5" s="1"/>
  <c r="G38" i="5"/>
  <c r="P38" i="5" s="1"/>
  <c r="G39" i="5"/>
  <c r="P39" i="5" s="1"/>
  <c r="G40" i="5"/>
  <c r="P40" i="5" s="1"/>
  <c r="G41" i="5"/>
  <c r="P41" i="5" s="1"/>
  <c r="G42" i="5"/>
  <c r="P42" i="5" s="1"/>
  <c r="G43" i="5"/>
  <c r="P43" i="5" s="1"/>
  <c r="G44" i="5"/>
  <c r="P44" i="5" s="1"/>
  <c r="G45" i="5"/>
  <c r="P45" i="5" s="1"/>
  <c r="G46" i="5"/>
  <c r="P46" i="5" s="1"/>
  <c r="G47" i="5"/>
  <c r="P47" i="5" s="1"/>
  <c r="G48" i="5"/>
  <c r="P48" i="5" s="1"/>
  <c r="G49" i="5"/>
  <c r="P49" i="5" s="1"/>
  <c r="G50" i="5"/>
  <c r="P50" i="5" s="1"/>
  <c r="G51" i="5"/>
  <c r="P51" i="5" s="1"/>
  <c r="G52" i="5"/>
  <c r="P52" i="5" s="1"/>
  <c r="G53" i="5"/>
  <c r="P53" i="5" s="1"/>
  <c r="G54" i="5"/>
  <c r="P54" i="5" s="1"/>
  <c r="G55" i="5"/>
  <c r="P55" i="5" s="1"/>
  <c r="G56" i="5"/>
  <c r="P56" i="5" s="1"/>
  <c r="G57" i="5"/>
  <c r="P57" i="5" s="1"/>
  <c r="G58" i="5"/>
  <c r="P58" i="5" s="1"/>
  <c r="G59" i="5"/>
  <c r="P59" i="5" s="1"/>
  <c r="G60" i="5"/>
  <c r="P60" i="5" s="1"/>
  <c r="G61" i="5"/>
  <c r="P61" i="5" s="1"/>
  <c r="G62" i="5"/>
  <c r="P62" i="5" s="1"/>
  <c r="G63" i="5"/>
  <c r="P63" i="5" s="1"/>
  <c r="G64" i="5"/>
  <c r="P64" i="5" s="1"/>
  <c r="G65" i="5"/>
  <c r="P65" i="5" s="1"/>
  <c r="G66" i="5"/>
  <c r="P66" i="5" s="1"/>
  <c r="G67" i="5"/>
  <c r="P67" i="5" s="1"/>
  <c r="G68" i="5"/>
  <c r="P68" i="5" s="1"/>
  <c r="G69" i="5"/>
  <c r="P69" i="5" s="1"/>
  <c r="G70" i="5"/>
  <c r="P70" i="5" s="1"/>
  <c r="G71" i="5"/>
  <c r="P71" i="5" s="1"/>
  <c r="G72" i="5"/>
  <c r="P72" i="5" s="1"/>
  <c r="G73" i="5"/>
  <c r="P73" i="5" s="1"/>
  <c r="G74" i="5"/>
  <c r="P74" i="5" s="1"/>
  <c r="G75" i="5"/>
  <c r="P75" i="5" s="1"/>
  <c r="G76" i="5"/>
  <c r="P76" i="5" s="1"/>
  <c r="G77" i="5"/>
  <c r="P77" i="5" s="1"/>
  <c r="G78" i="5"/>
  <c r="P78" i="5" s="1"/>
  <c r="G79" i="5"/>
  <c r="P79" i="5" s="1"/>
  <c r="G80" i="5"/>
  <c r="P80" i="5" s="1"/>
  <c r="G81" i="5"/>
  <c r="P81" i="5" s="1"/>
  <c r="G82" i="5"/>
  <c r="P82" i="5" s="1"/>
  <c r="G83" i="5"/>
  <c r="P83" i="5" s="1"/>
  <c r="G84" i="5"/>
  <c r="P84" i="5" s="1"/>
  <c r="G85" i="5"/>
  <c r="P85" i="5" s="1"/>
  <c r="G86" i="5"/>
  <c r="P86" i="5" s="1"/>
  <c r="G87" i="5"/>
  <c r="P87" i="5" s="1"/>
  <c r="G88" i="5"/>
  <c r="P88" i="5" s="1"/>
  <c r="G89" i="5"/>
  <c r="P89" i="5" s="1"/>
  <c r="G90" i="5"/>
  <c r="P90" i="5" s="1"/>
  <c r="G91" i="5"/>
  <c r="P91" i="5" s="1"/>
  <c r="G92" i="5"/>
  <c r="P92" i="5" s="1"/>
  <c r="G93" i="5"/>
  <c r="P93" i="5" s="1"/>
  <c r="G94" i="5"/>
  <c r="P94" i="5" s="1"/>
  <c r="G95" i="5"/>
  <c r="P95" i="5" s="1"/>
  <c r="G96" i="5"/>
  <c r="P96" i="5" s="1"/>
  <c r="G97" i="5"/>
  <c r="P97" i="5" s="1"/>
  <c r="G98" i="5"/>
  <c r="P98" i="5" s="1"/>
  <c r="G99" i="5"/>
  <c r="P99" i="5" s="1"/>
  <c r="G100" i="5"/>
  <c r="P100" i="5" s="1"/>
  <c r="G2" i="5"/>
  <c r="P2" i="5" s="1"/>
  <c r="F3" i="5"/>
  <c r="O3" i="5" s="1"/>
  <c r="F4" i="5"/>
  <c r="O4" i="5" s="1"/>
  <c r="F5" i="5"/>
  <c r="O5" i="5" s="1"/>
  <c r="F6" i="5"/>
  <c r="O6" i="5" s="1"/>
  <c r="F7" i="5"/>
  <c r="O7" i="5" s="1"/>
  <c r="F8" i="5"/>
  <c r="O8" i="5" s="1"/>
  <c r="F9" i="5"/>
  <c r="O9" i="5" s="1"/>
  <c r="F10" i="5"/>
  <c r="O10" i="5" s="1"/>
  <c r="F11" i="5"/>
  <c r="O11" i="5" s="1"/>
  <c r="F12" i="5"/>
  <c r="O12" i="5" s="1"/>
  <c r="F13" i="5"/>
  <c r="O13" i="5" s="1"/>
  <c r="F14" i="5"/>
  <c r="O14" i="5" s="1"/>
  <c r="F15" i="5"/>
  <c r="O15" i="5" s="1"/>
  <c r="F16" i="5"/>
  <c r="O16" i="5" s="1"/>
  <c r="F17" i="5"/>
  <c r="O17" i="5" s="1"/>
  <c r="F18" i="5"/>
  <c r="O18" i="5" s="1"/>
  <c r="F19" i="5"/>
  <c r="O19" i="5" s="1"/>
  <c r="F20" i="5"/>
  <c r="O20" i="5" s="1"/>
  <c r="F21" i="5"/>
  <c r="O21" i="5" s="1"/>
  <c r="F22" i="5"/>
  <c r="O22" i="5" s="1"/>
  <c r="F23" i="5"/>
  <c r="O23" i="5" s="1"/>
  <c r="F24" i="5"/>
  <c r="O24" i="5" s="1"/>
  <c r="F25" i="5"/>
  <c r="O25" i="5" s="1"/>
  <c r="F26" i="5"/>
  <c r="O26" i="5" s="1"/>
  <c r="F27" i="5"/>
  <c r="O27" i="5" s="1"/>
  <c r="F28" i="5"/>
  <c r="O28" i="5" s="1"/>
  <c r="F29" i="5"/>
  <c r="O29" i="5" s="1"/>
  <c r="F30" i="5"/>
  <c r="O30" i="5" s="1"/>
  <c r="F31" i="5"/>
  <c r="O31" i="5" s="1"/>
  <c r="F32" i="5"/>
  <c r="O32" i="5" s="1"/>
  <c r="F33" i="5"/>
  <c r="O33" i="5" s="1"/>
  <c r="F34" i="5"/>
  <c r="O34" i="5" s="1"/>
  <c r="F35" i="5"/>
  <c r="O35" i="5" s="1"/>
  <c r="F36" i="5"/>
  <c r="O36" i="5" s="1"/>
  <c r="F37" i="5"/>
  <c r="O37" i="5" s="1"/>
  <c r="F38" i="5"/>
  <c r="O38" i="5" s="1"/>
  <c r="F39" i="5"/>
  <c r="O39" i="5" s="1"/>
  <c r="F40" i="5"/>
  <c r="O40" i="5" s="1"/>
  <c r="F41" i="5"/>
  <c r="O41" i="5" s="1"/>
  <c r="F42" i="5"/>
  <c r="O42" i="5" s="1"/>
  <c r="F43" i="5"/>
  <c r="O43" i="5" s="1"/>
  <c r="F44" i="5"/>
  <c r="O44" i="5" s="1"/>
  <c r="F45" i="5"/>
  <c r="O45" i="5" s="1"/>
  <c r="F46" i="5"/>
  <c r="O46" i="5" s="1"/>
  <c r="F47" i="5"/>
  <c r="O47" i="5" s="1"/>
  <c r="F48" i="5"/>
  <c r="O48" i="5" s="1"/>
  <c r="F49" i="5"/>
  <c r="O49" i="5" s="1"/>
  <c r="F50" i="5"/>
  <c r="O50" i="5" s="1"/>
  <c r="F51" i="5"/>
  <c r="O51" i="5" s="1"/>
  <c r="F52" i="5"/>
  <c r="O52" i="5" s="1"/>
  <c r="F53" i="5"/>
  <c r="O53" i="5" s="1"/>
  <c r="F54" i="5"/>
  <c r="O54" i="5" s="1"/>
  <c r="F55" i="5"/>
  <c r="O55" i="5" s="1"/>
  <c r="F56" i="5"/>
  <c r="O56" i="5" s="1"/>
  <c r="F57" i="5"/>
  <c r="O57" i="5" s="1"/>
  <c r="F58" i="5"/>
  <c r="O58" i="5" s="1"/>
  <c r="F59" i="5"/>
  <c r="O59" i="5" s="1"/>
  <c r="F60" i="5"/>
  <c r="O60" i="5" s="1"/>
  <c r="F61" i="5"/>
  <c r="O61" i="5" s="1"/>
  <c r="F62" i="5"/>
  <c r="O62" i="5" s="1"/>
  <c r="F63" i="5"/>
  <c r="O63" i="5" s="1"/>
  <c r="F64" i="5"/>
  <c r="O64" i="5" s="1"/>
  <c r="F65" i="5"/>
  <c r="O65" i="5" s="1"/>
  <c r="F66" i="5"/>
  <c r="O66" i="5" s="1"/>
  <c r="F67" i="5"/>
  <c r="O67" i="5" s="1"/>
  <c r="F68" i="5"/>
  <c r="O68" i="5" s="1"/>
  <c r="F69" i="5"/>
  <c r="O69" i="5" s="1"/>
  <c r="F70" i="5"/>
  <c r="O70" i="5" s="1"/>
  <c r="F71" i="5"/>
  <c r="O71" i="5" s="1"/>
  <c r="F72" i="5"/>
  <c r="O72" i="5" s="1"/>
  <c r="F73" i="5"/>
  <c r="O73" i="5" s="1"/>
  <c r="F74" i="5"/>
  <c r="O74" i="5" s="1"/>
  <c r="F75" i="5"/>
  <c r="O75" i="5" s="1"/>
  <c r="F76" i="5"/>
  <c r="O76" i="5" s="1"/>
  <c r="F77" i="5"/>
  <c r="O77" i="5" s="1"/>
  <c r="F78" i="5"/>
  <c r="O78" i="5" s="1"/>
  <c r="F79" i="5"/>
  <c r="O79" i="5" s="1"/>
  <c r="F80" i="5"/>
  <c r="O80" i="5" s="1"/>
  <c r="F81" i="5"/>
  <c r="O81" i="5" s="1"/>
  <c r="F82" i="5"/>
  <c r="O82" i="5" s="1"/>
  <c r="F83" i="5"/>
  <c r="O83" i="5" s="1"/>
  <c r="F84" i="5"/>
  <c r="O84" i="5" s="1"/>
  <c r="F85" i="5"/>
  <c r="O85" i="5" s="1"/>
  <c r="F86" i="5"/>
  <c r="O86" i="5" s="1"/>
  <c r="F87" i="5"/>
  <c r="O87" i="5" s="1"/>
  <c r="F88" i="5"/>
  <c r="O88" i="5" s="1"/>
  <c r="F89" i="5"/>
  <c r="O89" i="5" s="1"/>
  <c r="F90" i="5"/>
  <c r="O90" i="5" s="1"/>
  <c r="F91" i="5"/>
  <c r="O91" i="5" s="1"/>
  <c r="F92" i="5"/>
  <c r="O92" i="5" s="1"/>
  <c r="F93" i="5"/>
  <c r="O93" i="5" s="1"/>
  <c r="F94" i="5"/>
  <c r="O94" i="5" s="1"/>
  <c r="F95" i="5"/>
  <c r="O95" i="5" s="1"/>
  <c r="F96" i="5"/>
  <c r="O96" i="5" s="1"/>
  <c r="F97" i="5"/>
  <c r="O97" i="5" s="1"/>
  <c r="F98" i="5"/>
  <c r="O98" i="5" s="1"/>
  <c r="F99" i="5"/>
  <c r="O99" i="5" s="1"/>
  <c r="F100" i="5"/>
  <c r="O100" i="5" s="1"/>
  <c r="F2" i="5"/>
  <c r="O2" i="5" s="1"/>
  <c r="C3" i="5"/>
  <c r="L3" i="5" s="1"/>
  <c r="C4" i="5"/>
  <c r="L4" i="5" s="1"/>
  <c r="C5" i="5"/>
  <c r="L5" i="5" s="1"/>
  <c r="C6" i="5"/>
  <c r="L6" i="5" s="1"/>
  <c r="C7" i="5"/>
  <c r="L7" i="5" s="1"/>
  <c r="C8" i="5"/>
  <c r="L8" i="5" s="1"/>
  <c r="C9" i="5"/>
  <c r="L9" i="5" s="1"/>
  <c r="C10" i="5"/>
  <c r="L10" i="5" s="1"/>
  <c r="C11" i="5"/>
  <c r="L11" i="5" s="1"/>
  <c r="C12" i="5"/>
  <c r="L12" i="5" s="1"/>
  <c r="C13" i="5"/>
  <c r="L13" i="5" s="1"/>
  <c r="C14" i="5"/>
  <c r="L14" i="5" s="1"/>
  <c r="C15" i="5"/>
  <c r="L15" i="5" s="1"/>
  <c r="C16" i="5"/>
  <c r="L16" i="5" s="1"/>
  <c r="C17" i="5"/>
  <c r="L17" i="5" s="1"/>
  <c r="C18" i="5"/>
  <c r="L18" i="5" s="1"/>
  <c r="C19" i="5"/>
  <c r="L19" i="5" s="1"/>
  <c r="C20" i="5"/>
  <c r="L20" i="5" s="1"/>
  <c r="C21" i="5"/>
  <c r="L21" i="5" s="1"/>
  <c r="C22" i="5"/>
  <c r="L22" i="5" s="1"/>
  <c r="C23" i="5"/>
  <c r="L23" i="5" s="1"/>
  <c r="C24" i="5"/>
  <c r="L24" i="5" s="1"/>
  <c r="C25" i="5"/>
  <c r="L25" i="5" s="1"/>
  <c r="C26" i="5"/>
  <c r="L26" i="5" s="1"/>
  <c r="C27" i="5"/>
  <c r="L27" i="5" s="1"/>
  <c r="C28" i="5"/>
  <c r="L28" i="5" s="1"/>
  <c r="C29" i="5"/>
  <c r="L29" i="5" s="1"/>
  <c r="C30" i="5"/>
  <c r="L30" i="5" s="1"/>
  <c r="C31" i="5"/>
  <c r="L31" i="5" s="1"/>
  <c r="C32" i="5"/>
  <c r="L32" i="5" s="1"/>
  <c r="C33" i="5"/>
  <c r="L33" i="5" s="1"/>
  <c r="C34" i="5"/>
  <c r="L34" i="5" s="1"/>
  <c r="C35" i="5"/>
  <c r="L35" i="5" s="1"/>
  <c r="C36" i="5"/>
  <c r="L36" i="5" s="1"/>
  <c r="C37" i="5"/>
  <c r="L37" i="5" s="1"/>
  <c r="C38" i="5"/>
  <c r="L38" i="5" s="1"/>
  <c r="C39" i="5"/>
  <c r="L39" i="5" s="1"/>
  <c r="C40" i="5"/>
  <c r="L40" i="5" s="1"/>
  <c r="C41" i="5"/>
  <c r="L41" i="5" s="1"/>
  <c r="C42" i="5"/>
  <c r="L42" i="5" s="1"/>
  <c r="C43" i="5"/>
  <c r="L43" i="5" s="1"/>
  <c r="C44" i="5"/>
  <c r="L44" i="5" s="1"/>
  <c r="C45" i="5"/>
  <c r="L45" i="5" s="1"/>
  <c r="C46" i="5"/>
  <c r="L46" i="5" s="1"/>
  <c r="C47" i="5"/>
  <c r="L47" i="5" s="1"/>
  <c r="C48" i="5"/>
  <c r="L48" i="5" s="1"/>
  <c r="C49" i="5"/>
  <c r="L49" i="5" s="1"/>
  <c r="C50" i="5"/>
  <c r="L50" i="5" s="1"/>
  <c r="C51" i="5"/>
  <c r="L51" i="5" s="1"/>
  <c r="C52" i="5"/>
  <c r="L52" i="5" s="1"/>
  <c r="C53" i="5"/>
  <c r="L53" i="5" s="1"/>
  <c r="C54" i="5"/>
  <c r="L54" i="5" s="1"/>
  <c r="C55" i="5"/>
  <c r="L55" i="5" s="1"/>
  <c r="C56" i="5"/>
  <c r="L56" i="5" s="1"/>
  <c r="C57" i="5"/>
  <c r="L57" i="5" s="1"/>
  <c r="C58" i="5"/>
  <c r="L58" i="5" s="1"/>
  <c r="C59" i="5"/>
  <c r="L59" i="5" s="1"/>
  <c r="C60" i="5"/>
  <c r="L60" i="5" s="1"/>
  <c r="C61" i="5"/>
  <c r="L61" i="5" s="1"/>
  <c r="C62" i="5"/>
  <c r="L62" i="5" s="1"/>
  <c r="C63" i="5"/>
  <c r="L63" i="5" s="1"/>
  <c r="C64" i="5"/>
  <c r="L64" i="5" s="1"/>
  <c r="C65" i="5"/>
  <c r="L65" i="5" s="1"/>
  <c r="C66" i="5"/>
  <c r="L66" i="5" s="1"/>
  <c r="C67" i="5"/>
  <c r="L67" i="5" s="1"/>
  <c r="C68" i="5"/>
  <c r="L68" i="5" s="1"/>
  <c r="C69" i="5"/>
  <c r="L69" i="5" s="1"/>
  <c r="C70" i="5"/>
  <c r="L70" i="5" s="1"/>
  <c r="C71" i="5"/>
  <c r="L71" i="5" s="1"/>
  <c r="C72" i="5"/>
  <c r="L72" i="5" s="1"/>
  <c r="C73" i="5"/>
  <c r="L73" i="5" s="1"/>
  <c r="C74" i="5"/>
  <c r="L74" i="5" s="1"/>
  <c r="C75" i="5"/>
  <c r="L75" i="5" s="1"/>
  <c r="C76" i="5"/>
  <c r="L76" i="5" s="1"/>
  <c r="C77" i="5"/>
  <c r="L77" i="5" s="1"/>
  <c r="C78" i="5"/>
  <c r="L78" i="5" s="1"/>
  <c r="C79" i="5"/>
  <c r="L79" i="5" s="1"/>
  <c r="C80" i="5"/>
  <c r="L80" i="5" s="1"/>
  <c r="C81" i="5"/>
  <c r="L81" i="5" s="1"/>
  <c r="C82" i="5"/>
  <c r="L82" i="5" s="1"/>
  <c r="C83" i="5"/>
  <c r="L83" i="5" s="1"/>
  <c r="C84" i="5"/>
  <c r="L84" i="5" s="1"/>
  <c r="C85" i="5"/>
  <c r="L85" i="5" s="1"/>
  <c r="C86" i="5"/>
  <c r="L86" i="5" s="1"/>
  <c r="C87" i="5"/>
  <c r="L87" i="5" s="1"/>
  <c r="C88" i="5"/>
  <c r="L88" i="5" s="1"/>
  <c r="C89" i="5"/>
  <c r="L89" i="5" s="1"/>
  <c r="C90" i="5"/>
  <c r="L90" i="5" s="1"/>
  <c r="C91" i="5"/>
  <c r="L91" i="5" s="1"/>
  <c r="C92" i="5"/>
  <c r="L92" i="5" s="1"/>
  <c r="C93" i="5"/>
  <c r="L93" i="5" s="1"/>
  <c r="C94" i="5"/>
  <c r="L94" i="5" s="1"/>
  <c r="C95" i="5"/>
  <c r="L95" i="5" s="1"/>
  <c r="C96" i="5"/>
  <c r="L96" i="5" s="1"/>
  <c r="C97" i="5"/>
  <c r="L97" i="5" s="1"/>
  <c r="C98" i="5"/>
  <c r="L98" i="5" s="1"/>
  <c r="C99" i="5"/>
  <c r="L99" i="5" s="1"/>
  <c r="C100" i="5"/>
  <c r="L100" i="5" s="1"/>
  <c r="C2" i="5"/>
  <c r="L2" i="5" s="1"/>
  <c r="B3" i="5"/>
  <c r="K3" i="5" s="1"/>
  <c r="B4" i="5"/>
  <c r="K4" i="5" s="1"/>
  <c r="B5" i="5"/>
  <c r="K5" i="5" s="1"/>
  <c r="B6" i="5"/>
  <c r="K6" i="5" s="1"/>
  <c r="B7" i="5"/>
  <c r="K7" i="5" s="1"/>
  <c r="B8" i="5"/>
  <c r="K8" i="5" s="1"/>
  <c r="B9" i="5"/>
  <c r="K9" i="5" s="1"/>
  <c r="B10" i="5"/>
  <c r="K10" i="5" s="1"/>
  <c r="B11" i="5"/>
  <c r="K11" i="5" s="1"/>
  <c r="B12" i="5"/>
  <c r="K12" i="5" s="1"/>
  <c r="B13" i="5"/>
  <c r="K13" i="5" s="1"/>
  <c r="B14" i="5"/>
  <c r="K14" i="5" s="1"/>
  <c r="B15" i="5"/>
  <c r="K15" i="5" s="1"/>
  <c r="B16" i="5"/>
  <c r="K16" i="5" s="1"/>
  <c r="B17" i="5"/>
  <c r="K17" i="5" s="1"/>
  <c r="B18" i="5"/>
  <c r="K18" i="5" s="1"/>
  <c r="B19" i="5"/>
  <c r="K19" i="5" s="1"/>
  <c r="B20" i="5"/>
  <c r="K20" i="5" s="1"/>
  <c r="B21" i="5"/>
  <c r="K21" i="5" s="1"/>
  <c r="B22" i="5"/>
  <c r="K22" i="5" s="1"/>
  <c r="B23" i="5"/>
  <c r="K23" i="5" s="1"/>
  <c r="B24" i="5"/>
  <c r="K24" i="5" s="1"/>
  <c r="B25" i="5"/>
  <c r="K25" i="5" s="1"/>
  <c r="B26" i="5"/>
  <c r="K26" i="5" s="1"/>
  <c r="B27" i="5"/>
  <c r="K27" i="5" s="1"/>
  <c r="B28" i="5"/>
  <c r="K28" i="5" s="1"/>
  <c r="B29" i="5"/>
  <c r="K29" i="5" s="1"/>
  <c r="B30" i="5"/>
  <c r="K30" i="5" s="1"/>
  <c r="B31" i="5"/>
  <c r="K31" i="5" s="1"/>
  <c r="B32" i="5"/>
  <c r="K32" i="5" s="1"/>
  <c r="B33" i="5"/>
  <c r="K33" i="5" s="1"/>
  <c r="B34" i="5"/>
  <c r="K34" i="5" s="1"/>
  <c r="B35" i="5"/>
  <c r="K35" i="5" s="1"/>
  <c r="B36" i="5"/>
  <c r="K36" i="5" s="1"/>
  <c r="B37" i="5"/>
  <c r="K37" i="5" s="1"/>
  <c r="B38" i="5"/>
  <c r="K38" i="5" s="1"/>
  <c r="B39" i="5"/>
  <c r="K39" i="5" s="1"/>
  <c r="B40" i="5"/>
  <c r="K40" i="5" s="1"/>
  <c r="B41" i="5"/>
  <c r="K41" i="5" s="1"/>
  <c r="B42" i="5"/>
  <c r="K42" i="5" s="1"/>
  <c r="B43" i="5"/>
  <c r="K43" i="5" s="1"/>
  <c r="B44" i="5"/>
  <c r="K44" i="5" s="1"/>
  <c r="B45" i="5"/>
  <c r="K45" i="5" s="1"/>
  <c r="B46" i="5"/>
  <c r="K46" i="5" s="1"/>
  <c r="B47" i="5"/>
  <c r="K47" i="5" s="1"/>
  <c r="B48" i="5"/>
  <c r="K48" i="5" s="1"/>
  <c r="B49" i="5"/>
  <c r="K49" i="5" s="1"/>
  <c r="B50" i="5"/>
  <c r="K50" i="5" s="1"/>
  <c r="B51" i="5"/>
  <c r="K51" i="5" s="1"/>
  <c r="B52" i="5"/>
  <c r="K52" i="5" s="1"/>
  <c r="B53" i="5"/>
  <c r="K53" i="5" s="1"/>
  <c r="B54" i="5"/>
  <c r="K54" i="5" s="1"/>
  <c r="B55" i="5"/>
  <c r="K55" i="5" s="1"/>
  <c r="B56" i="5"/>
  <c r="K56" i="5" s="1"/>
  <c r="B57" i="5"/>
  <c r="K57" i="5" s="1"/>
  <c r="B58" i="5"/>
  <c r="K58" i="5" s="1"/>
  <c r="B59" i="5"/>
  <c r="K59" i="5" s="1"/>
  <c r="B60" i="5"/>
  <c r="K60" i="5" s="1"/>
  <c r="B61" i="5"/>
  <c r="K61" i="5" s="1"/>
  <c r="B62" i="5"/>
  <c r="K62" i="5" s="1"/>
  <c r="B63" i="5"/>
  <c r="K63" i="5" s="1"/>
  <c r="B64" i="5"/>
  <c r="K64" i="5" s="1"/>
  <c r="B65" i="5"/>
  <c r="K65" i="5" s="1"/>
  <c r="B66" i="5"/>
  <c r="K66" i="5" s="1"/>
  <c r="B67" i="5"/>
  <c r="K67" i="5" s="1"/>
  <c r="B68" i="5"/>
  <c r="K68" i="5" s="1"/>
  <c r="B69" i="5"/>
  <c r="K69" i="5" s="1"/>
  <c r="B70" i="5"/>
  <c r="K70" i="5" s="1"/>
  <c r="B71" i="5"/>
  <c r="K71" i="5" s="1"/>
  <c r="B72" i="5"/>
  <c r="K72" i="5" s="1"/>
  <c r="B73" i="5"/>
  <c r="K73" i="5" s="1"/>
  <c r="B74" i="5"/>
  <c r="K74" i="5" s="1"/>
  <c r="B75" i="5"/>
  <c r="K75" i="5" s="1"/>
  <c r="B76" i="5"/>
  <c r="K76" i="5" s="1"/>
  <c r="B77" i="5"/>
  <c r="K77" i="5" s="1"/>
  <c r="B78" i="5"/>
  <c r="K78" i="5" s="1"/>
  <c r="B79" i="5"/>
  <c r="K79" i="5" s="1"/>
  <c r="B80" i="5"/>
  <c r="K80" i="5" s="1"/>
  <c r="B81" i="5"/>
  <c r="K81" i="5" s="1"/>
  <c r="B82" i="5"/>
  <c r="K82" i="5" s="1"/>
  <c r="B83" i="5"/>
  <c r="K83" i="5" s="1"/>
  <c r="B84" i="5"/>
  <c r="K84" i="5" s="1"/>
  <c r="B85" i="5"/>
  <c r="K85" i="5" s="1"/>
  <c r="B86" i="5"/>
  <c r="K86" i="5" s="1"/>
  <c r="B87" i="5"/>
  <c r="K87" i="5" s="1"/>
  <c r="B88" i="5"/>
  <c r="K88" i="5" s="1"/>
  <c r="B89" i="5"/>
  <c r="K89" i="5" s="1"/>
  <c r="B90" i="5"/>
  <c r="K90" i="5" s="1"/>
  <c r="B91" i="5"/>
  <c r="K91" i="5" s="1"/>
  <c r="B92" i="5"/>
  <c r="K92" i="5" s="1"/>
  <c r="B93" i="5"/>
  <c r="K93" i="5" s="1"/>
  <c r="B94" i="5"/>
  <c r="K94" i="5" s="1"/>
  <c r="B95" i="5"/>
  <c r="K95" i="5" s="1"/>
  <c r="B96" i="5"/>
  <c r="K96" i="5" s="1"/>
  <c r="B97" i="5"/>
  <c r="K97" i="5" s="1"/>
  <c r="B98" i="5"/>
  <c r="K98" i="5" s="1"/>
  <c r="B99" i="5"/>
  <c r="K99" i="5" s="1"/>
  <c r="B100" i="5"/>
  <c r="K100" i="5" s="1"/>
  <c r="B2" i="5"/>
  <c r="K2" i="5" s="1"/>
  <c r="A100" i="5"/>
  <c r="J100" i="5" s="1"/>
  <c r="A3" i="5"/>
  <c r="J3" i="5" s="1"/>
  <c r="A4" i="5"/>
  <c r="J4" i="5" s="1"/>
  <c r="A5" i="5"/>
  <c r="J5" i="5" s="1"/>
  <c r="A6" i="5"/>
  <c r="J6" i="5" s="1"/>
  <c r="A7" i="5"/>
  <c r="J7" i="5" s="1"/>
  <c r="A8" i="5"/>
  <c r="J8" i="5" s="1"/>
  <c r="A9" i="5"/>
  <c r="J9" i="5" s="1"/>
  <c r="A10" i="5"/>
  <c r="J10" i="5" s="1"/>
  <c r="A11" i="5"/>
  <c r="J11" i="5" s="1"/>
  <c r="A12" i="5"/>
  <c r="J12" i="5" s="1"/>
  <c r="A13" i="5"/>
  <c r="J13" i="5" s="1"/>
  <c r="A14" i="5"/>
  <c r="J14" i="5" s="1"/>
  <c r="A15" i="5"/>
  <c r="J15" i="5" s="1"/>
  <c r="A16" i="5"/>
  <c r="J16" i="5" s="1"/>
  <c r="A17" i="5"/>
  <c r="J17" i="5" s="1"/>
  <c r="A18" i="5"/>
  <c r="J18" i="5" s="1"/>
  <c r="A19" i="5"/>
  <c r="J19" i="5" s="1"/>
  <c r="A20" i="5"/>
  <c r="J20" i="5" s="1"/>
  <c r="A21" i="5"/>
  <c r="J21" i="5" s="1"/>
  <c r="A22" i="5"/>
  <c r="J22" i="5" s="1"/>
  <c r="A23" i="5"/>
  <c r="J23" i="5" s="1"/>
  <c r="A24" i="5"/>
  <c r="J24" i="5" s="1"/>
  <c r="A25" i="5"/>
  <c r="J25" i="5" s="1"/>
  <c r="A26" i="5"/>
  <c r="J26" i="5" s="1"/>
  <c r="A27" i="5"/>
  <c r="J27" i="5" s="1"/>
  <c r="A28" i="5"/>
  <c r="J28" i="5" s="1"/>
  <c r="A29" i="5"/>
  <c r="J29" i="5" s="1"/>
  <c r="A30" i="5"/>
  <c r="J30" i="5" s="1"/>
  <c r="A31" i="5"/>
  <c r="J31" i="5" s="1"/>
  <c r="A32" i="5"/>
  <c r="J32" i="5" s="1"/>
  <c r="A33" i="5"/>
  <c r="J33" i="5" s="1"/>
  <c r="A34" i="5"/>
  <c r="J34" i="5" s="1"/>
  <c r="A35" i="5"/>
  <c r="J35" i="5" s="1"/>
  <c r="A36" i="5"/>
  <c r="J36" i="5" s="1"/>
  <c r="A37" i="5"/>
  <c r="J37" i="5" s="1"/>
  <c r="A38" i="5"/>
  <c r="J38" i="5" s="1"/>
  <c r="A39" i="5"/>
  <c r="J39" i="5" s="1"/>
  <c r="A40" i="5"/>
  <c r="J40" i="5" s="1"/>
  <c r="A41" i="5"/>
  <c r="J41" i="5" s="1"/>
  <c r="A42" i="5"/>
  <c r="J42" i="5" s="1"/>
  <c r="A43" i="5"/>
  <c r="J43" i="5" s="1"/>
  <c r="A44" i="5"/>
  <c r="J44" i="5" s="1"/>
  <c r="A45" i="5"/>
  <c r="J45" i="5" s="1"/>
  <c r="A46" i="5"/>
  <c r="J46" i="5" s="1"/>
  <c r="A47" i="5"/>
  <c r="J47" i="5" s="1"/>
  <c r="A48" i="5"/>
  <c r="J48" i="5" s="1"/>
  <c r="A49" i="5"/>
  <c r="J49" i="5" s="1"/>
  <c r="A50" i="5"/>
  <c r="J50" i="5" s="1"/>
  <c r="A51" i="5"/>
  <c r="J51" i="5" s="1"/>
  <c r="A52" i="5"/>
  <c r="J52" i="5" s="1"/>
  <c r="A53" i="5"/>
  <c r="J53" i="5" s="1"/>
  <c r="A54" i="5"/>
  <c r="J54" i="5" s="1"/>
  <c r="A55" i="5"/>
  <c r="J55" i="5" s="1"/>
  <c r="A56" i="5"/>
  <c r="J56" i="5" s="1"/>
  <c r="A57" i="5"/>
  <c r="J57" i="5" s="1"/>
  <c r="A58" i="5"/>
  <c r="J58" i="5" s="1"/>
  <c r="A59" i="5"/>
  <c r="J59" i="5" s="1"/>
  <c r="A60" i="5"/>
  <c r="J60" i="5" s="1"/>
  <c r="A61" i="5"/>
  <c r="J61" i="5" s="1"/>
  <c r="A62" i="5"/>
  <c r="J62" i="5" s="1"/>
  <c r="A63" i="5"/>
  <c r="J63" i="5" s="1"/>
  <c r="A64" i="5"/>
  <c r="J64" i="5" s="1"/>
  <c r="A65" i="5"/>
  <c r="J65" i="5" s="1"/>
  <c r="A66" i="5"/>
  <c r="J66" i="5" s="1"/>
  <c r="A67" i="5"/>
  <c r="J67" i="5" s="1"/>
  <c r="A68" i="5"/>
  <c r="J68" i="5" s="1"/>
  <c r="A69" i="5"/>
  <c r="J69" i="5" s="1"/>
  <c r="A70" i="5"/>
  <c r="J70" i="5" s="1"/>
  <c r="A71" i="5"/>
  <c r="J71" i="5" s="1"/>
  <c r="A72" i="5"/>
  <c r="J72" i="5" s="1"/>
  <c r="A73" i="5"/>
  <c r="J73" i="5" s="1"/>
  <c r="A74" i="5"/>
  <c r="J74" i="5" s="1"/>
  <c r="A75" i="5"/>
  <c r="J75" i="5" s="1"/>
  <c r="A76" i="5"/>
  <c r="J76" i="5" s="1"/>
  <c r="A77" i="5"/>
  <c r="J77" i="5" s="1"/>
  <c r="A78" i="5"/>
  <c r="J78" i="5" s="1"/>
  <c r="A79" i="5"/>
  <c r="J79" i="5" s="1"/>
  <c r="A80" i="5"/>
  <c r="J80" i="5" s="1"/>
  <c r="A81" i="5"/>
  <c r="J81" i="5" s="1"/>
  <c r="A82" i="5"/>
  <c r="J82" i="5" s="1"/>
  <c r="A83" i="5"/>
  <c r="J83" i="5" s="1"/>
  <c r="A84" i="5"/>
  <c r="J84" i="5" s="1"/>
  <c r="A85" i="5"/>
  <c r="J85" i="5" s="1"/>
  <c r="A86" i="5"/>
  <c r="J86" i="5" s="1"/>
  <c r="A87" i="5"/>
  <c r="J87" i="5" s="1"/>
  <c r="A88" i="5"/>
  <c r="J88" i="5" s="1"/>
  <c r="A89" i="5"/>
  <c r="J89" i="5" s="1"/>
  <c r="A90" i="5"/>
  <c r="J90" i="5" s="1"/>
  <c r="A91" i="5"/>
  <c r="J91" i="5" s="1"/>
  <c r="A92" i="5"/>
  <c r="J92" i="5" s="1"/>
  <c r="A93" i="5"/>
  <c r="J93" i="5" s="1"/>
  <c r="A94" i="5"/>
  <c r="J94" i="5" s="1"/>
  <c r="A95" i="5"/>
  <c r="J95" i="5" s="1"/>
  <c r="A96" i="5"/>
  <c r="J96" i="5" s="1"/>
  <c r="A97" i="5"/>
  <c r="J97" i="5" s="1"/>
  <c r="A98" i="5"/>
  <c r="J98" i="5" s="1"/>
  <c r="A99" i="5"/>
  <c r="J99" i="5" s="1"/>
  <c r="Q2" i="5"/>
  <c r="A2" i="5"/>
  <c r="J2" i="5" s="1"/>
  <c r="Q100" i="5" l="1"/>
  <c r="Q95" i="5"/>
  <c r="Q87" i="5"/>
  <c r="Q79" i="5"/>
  <c r="Q71" i="5"/>
  <c r="Q63" i="5"/>
  <c r="Q55" i="5"/>
  <c r="Q47" i="5"/>
  <c r="Q39" i="5"/>
  <c r="Q31" i="5"/>
  <c r="Q23" i="5"/>
  <c r="Q15" i="5"/>
  <c r="Q7" i="5"/>
  <c r="Q92" i="5"/>
  <c r="Q84" i="5"/>
  <c r="Q76" i="5"/>
  <c r="Q68" i="5"/>
  <c r="Q60" i="5"/>
  <c r="Q52" i="5"/>
  <c r="Q44" i="5"/>
  <c r="Q36" i="5"/>
  <c r="Q28" i="5"/>
  <c r="Q20" i="5"/>
  <c r="Q12" i="5"/>
  <c r="Q4" i="5"/>
  <c r="Q97" i="5"/>
  <c r="Q89" i="5"/>
  <c r="Q81" i="5"/>
  <c r="Q73" i="5"/>
  <c r="Q65" i="5"/>
  <c r="Q57" i="5"/>
  <c r="Q49" i="5"/>
  <c r="Q41" i="5"/>
  <c r="Q33" i="5"/>
  <c r="Q25" i="5"/>
  <c r="Q17" i="5"/>
  <c r="Q9" i="5"/>
  <c r="Q94" i="5"/>
  <c r="Q86" i="5"/>
  <c r="Q78" i="5"/>
  <c r="Q70" i="5"/>
  <c r="Q62" i="5"/>
  <c r="Q54" i="5"/>
  <c r="Q46" i="5"/>
  <c r="Q93" i="5"/>
  <c r="Q85" i="5"/>
  <c r="Q77" i="5"/>
  <c r="Q69" i="5"/>
  <c r="Q61" i="5"/>
  <c r="Q53" i="5"/>
  <c r="Q45" i="5"/>
  <c r="Q37" i="5"/>
  <c r="Q29" i="5"/>
  <c r="Q21" i="5"/>
  <c r="Q13" i="5"/>
  <c r="Q5" i="5"/>
  <c r="Q99" i="5"/>
  <c r="Q91" i="5"/>
  <c r="Q83" i="5"/>
  <c r="Q75" i="5"/>
  <c r="Q67" i="5"/>
  <c r="Q59" i="5"/>
  <c r="Q51" i="5"/>
  <c r="Q43" i="5"/>
  <c r="Q35" i="5"/>
  <c r="Q27" i="5"/>
  <c r="Q19" i="5"/>
  <c r="Q11" i="5"/>
  <c r="Q38" i="5"/>
  <c r="Q30" i="5"/>
  <c r="Q22" i="5"/>
  <c r="Q14" i="5"/>
  <c r="Q6" i="5"/>
  <c r="Q3" i="5"/>
  <c r="Q98" i="5"/>
  <c r="Q90" i="5"/>
  <c r="Q82" i="5"/>
  <c r="Q74" i="5"/>
  <c r="Q66" i="5"/>
  <c r="Q58" i="5"/>
  <c r="Q50" i="5"/>
  <c r="Q42" i="5"/>
  <c r="Q34" i="5"/>
  <c r="Q26" i="5"/>
  <c r="Q18" i="5"/>
  <c r="Q10" i="5"/>
  <c r="Q96" i="5"/>
  <c r="Q88" i="5"/>
  <c r="Q80" i="5"/>
  <c r="Q72" i="5"/>
  <c r="Q64" i="5"/>
  <c r="Q56" i="5"/>
  <c r="Q48" i="5"/>
  <c r="Q40" i="5"/>
  <c r="Q32" i="5"/>
  <c r="Q24" i="5"/>
  <c r="Q16" i="5"/>
  <c r="Q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<sst xmlns="http://schemas.openxmlformats.org/spreadsheetml/2006/main" count="66" uniqueCount="31">
  <si>
    <t>ID</t>
  </si>
  <si>
    <t>Name</t>
  </si>
  <si>
    <t>Rate Basis</t>
  </si>
  <si>
    <t>From (FH)</t>
  </si>
  <si>
    <t>From (FC)</t>
  </si>
  <si>
    <t>PBH (FH)</t>
  </si>
  <si>
    <t>PBH (FC)</t>
  </si>
  <si>
    <t>Rent Schedule</t>
  </si>
  <si>
    <t>PBH Name</t>
  </si>
  <si>
    <t>Rent Schedule Id</t>
  </si>
  <si>
    <t>PBH Rate Id</t>
  </si>
  <si>
    <t>Pbh Rate Name</t>
  </si>
  <si>
    <t>Assembly</t>
  </si>
  <si>
    <t>Assembly Name</t>
  </si>
  <si>
    <t>Utilization Unit</t>
  </si>
  <si>
    <t>Rate</t>
  </si>
  <si>
    <t>Selection</t>
  </si>
  <si>
    <t>Rate(FH)</t>
  </si>
  <si>
    <t>Rate(FC)</t>
  </si>
  <si>
    <t>Total Amount</t>
  </si>
  <si>
    <t>Unit Type</t>
  </si>
  <si>
    <t>FH</t>
  </si>
  <si>
    <t>FC</t>
  </si>
  <si>
    <t>Utilization (FH)</t>
  </si>
  <si>
    <t>Utilization (FC)</t>
  </si>
  <si>
    <t>PBH RR ID</t>
  </si>
  <si>
    <t>PBH Assembly ID</t>
  </si>
  <si>
    <t>Amount</t>
  </si>
  <si>
    <t>ILI Cnvrt Amt</t>
  </si>
  <si>
    <t>Local Currency</t>
  </si>
  <si>
    <t>Final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</si>
</sst>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B568-1C95-4486-81F3-A6B823D74141}">
  <dimension ref="A1:U200"/>
  <sheetViews>
    <sheetView topLeftCell="I1" workbookViewId="0">
      <selection activeCell="M10" sqref="M10"/>
    </sheetView>
  </sheetViews>
  <sheetFormatPr defaultRowHeight="14.5" x14ac:dyDescent="0.35"/>
  <cols>
    <col min="1" max="1" width="9.453125" bestFit="1" customWidth="1"/>
    <col min="2" max="2" width="8.54296875" bestFit="1" customWidth="1"/>
    <col min="3" max="3" width="8.54296875" customWidth="1"/>
    <col min="4" max="4" width="13.81640625" bestFit="1" customWidth="1"/>
    <col min="5" max="5" width="14.26953125" bestFit="1" customWidth="1"/>
    <col min="7" max="7" width="12.7265625" bestFit="1" customWidth="1"/>
    <col min="8" max="13" width="12.7265625" customWidth="1"/>
    <col min="14" max="14" width="10.1796875" bestFit="1" customWidth="1"/>
    <col min="15" max="15" width="13.26953125" bestFit="1" customWidth="1"/>
    <col min="16" max="16" width="13.26953125" customWidth="1"/>
    <col min="17" max="18" width="8.90625" bestFit="1" customWidth="1"/>
    <col min="19" max="20" width="8.1796875" bestFit="1" customWidth="1"/>
  </cols>
  <sheetData>
    <row r="1" spans="1:21" x14ac:dyDescent="0.35">
      <c r="A1" t="s">
        <v>8</v>
      </c>
      <c r="B1" t="s">
        <v>12</v>
      </c>
      <c r="C1" t="s">
        <v>26</v>
      </c>
      <c r="D1" t="s">
        <v>13</v>
      </c>
      <c r="E1" t="s">
        <v>9</v>
      </c>
      <c r="F1" t="s">
        <v>2</v>
      </c>
      <c r="G1" t="s">
        <v>14</v>
      </c>
      <c r="H1" t="s">
        <v>15</v>
      </c>
      <c r="I1" t="s">
        <v>28</v>
      </c>
      <c r="J1" t="s">
        <v>29</v>
      </c>
      <c r="K1" t="s">
        <v>19</v>
      </c>
      <c r="L1" t="s">
        <v>14</v>
      </c>
      <c r="M1" t="s">
        <v>20</v>
      </c>
      <c r="N1" t="s">
        <v>10</v>
      </c>
      <c r="O1" t="s">
        <v>11</v>
      </c>
      <c r="P1" t="s">
        <v>16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30</v>
      </c>
    </row>
    <row r="2" spans="1:21" x14ac:dyDescent="0.35">
      <c r="U2" t="str">
        <f>IF(A2="","",IF(J2="",K2,I2))</f>
        <v/>
      </c>
    </row>
    <row r="3" spans="1:21" x14ac:dyDescent="0.35">
      <c r="U3" t="str">
        <f>IF(A3="","",IF(J3="",K3,I3))</f>
        <v/>
      </c>
    </row>
    <row r="4" spans="1:21" x14ac:dyDescent="0.35">
      <c r="U4" t="str">
        <f>IF(A4="","",IF(J4="",K4,I4))</f>
        <v/>
      </c>
    </row>
    <row r="5" spans="1:21" x14ac:dyDescent="0.35">
      <c r="U5" t="str">
        <f>IF(A5="","",IF(J5="",K5,I5))</f>
        <v/>
      </c>
    </row>
    <row r="6" spans="1:21" x14ac:dyDescent="0.35">
      <c r="U6" t="str">
        <f>IF(A6="","",IF(J6="",K6,I6))</f>
        <v/>
      </c>
    </row>
    <row r="7" spans="1:21" x14ac:dyDescent="0.35">
      <c r="U7" t="str">
        <f>IF(A7="","",IF(J7="",K7,I7))</f>
        <v/>
      </c>
    </row>
    <row r="8" spans="1:21" x14ac:dyDescent="0.35">
      <c r="U8" t="str">
        <f>IF(A8="","",IF(J8="",K8,I8))</f>
        <v/>
      </c>
    </row>
    <row r="9" spans="1:21" x14ac:dyDescent="0.35">
      <c r="U9" t="str">
        <f>IF(A9="","",IF(J9="",K9,I9))</f>
        <v/>
      </c>
    </row>
    <row r="10" spans="1:21" x14ac:dyDescent="0.35">
      <c r="U10" t="str">
        <f>IF(A10="","",IF(J10="",K10,I10))</f>
        <v/>
      </c>
    </row>
    <row r="11" spans="1:21" x14ac:dyDescent="0.35">
      <c r="U11" t="str">
        <f>IF(A11="","",IF(J11="",K11,I11))</f>
        <v/>
      </c>
    </row>
    <row r="12" spans="1:21" x14ac:dyDescent="0.35">
      <c r="U12" t="str">
        <f>IF(A12="","",IF(J12="",K12,I12))</f>
        <v/>
      </c>
    </row>
    <row r="13" spans="1:21" x14ac:dyDescent="0.35">
      <c r="U13" t="str">
        <f>IF(A13="","",IF(J13="",K13,I13))</f>
        <v/>
      </c>
    </row>
    <row r="14" spans="1:21" x14ac:dyDescent="0.35">
      <c r="U14" t="str">
        <f>IF(A14="","",IF(J14="",K14,I14))</f>
        <v/>
      </c>
    </row>
    <row r="15" spans="1:21" x14ac:dyDescent="0.35">
      <c r="U15" t="str">
        <f>IF(A15="","",IF(J15="",K15,I15))</f>
        <v/>
      </c>
    </row>
    <row r="16" spans="1:21" x14ac:dyDescent="0.35">
      <c r="U16" t="str">
        <f>IF(A16="","",IF(J16="",K16,I16))</f>
        <v/>
      </c>
    </row>
    <row r="17" spans="21:21" x14ac:dyDescent="0.35">
      <c r="U17" t="str">
        <f>IF(A17="","",IF(J17="",K17,I17))</f>
        <v/>
      </c>
    </row>
    <row r="18" spans="21:21" x14ac:dyDescent="0.35">
      <c r="U18" t="str">
        <f>IF(A18="","",IF(J18="",K18,I18))</f>
        <v/>
      </c>
    </row>
    <row r="19" spans="21:21" x14ac:dyDescent="0.35">
      <c r="U19" t="str">
        <f>IF(A19="","",IF(J19="",K19,I19))</f>
        <v/>
      </c>
    </row>
    <row r="20" spans="21:21" x14ac:dyDescent="0.35">
      <c r="U20" t="str">
        <f>IF(A20="","",IF(J20="",K20,I20))</f>
        <v/>
      </c>
    </row>
    <row r="21" spans="21:21" x14ac:dyDescent="0.35">
      <c r="U21" t="str">
        <f>IF(A21="","",IF(J21="",K21,I21))</f>
        <v/>
      </c>
    </row>
    <row r="22" spans="21:21" x14ac:dyDescent="0.35">
      <c r="U22" t="str">
        <f>IF(A22="","",IF(J22="",K22,I22))</f>
        <v/>
      </c>
    </row>
    <row r="23" spans="21:21" x14ac:dyDescent="0.35">
      <c r="U23" t="str">
        <f>IF(A23="","",IF(J23="",K23,I23))</f>
        <v/>
      </c>
    </row>
    <row r="24" spans="21:21" x14ac:dyDescent="0.35">
      <c r="U24" t="str">
        <f>IF(A24="","",IF(J24="",K24,I24))</f>
        <v/>
      </c>
    </row>
    <row r="25" spans="21:21" x14ac:dyDescent="0.35">
      <c r="U25" t="str">
        <f>IF(A25="","",IF(J25="",K25,I25))</f>
        <v/>
      </c>
    </row>
    <row r="26" spans="21:21" x14ac:dyDescent="0.35">
      <c r="U26" t="str">
        <f>IF(A26="","",IF(J26="",K26,I26))</f>
        <v/>
      </c>
    </row>
    <row r="27" spans="21:21" x14ac:dyDescent="0.35">
      <c r="U27" t="str">
        <f>IF(A27="","",IF(J27="",K27,I27))</f>
        <v/>
      </c>
    </row>
    <row r="28" spans="21:21" x14ac:dyDescent="0.35">
      <c r="U28" t="str">
        <f>IF(A28="","",IF(J28="",K28,I28))</f>
        <v/>
      </c>
    </row>
    <row r="29" spans="21:21" x14ac:dyDescent="0.35">
      <c r="U29" t="str">
        <f>IF(A29="","",IF(J29="",K29,I29))</f>
        <v/>
      </c>
    </row>
    <row r="30" spans="21:21" x14ac:dyDescent="0.35">
      <c r="U30" t="str">
        <f>IF(A30="","",IF(J30="",K30,I30))</f>
        <v/>
      </c>
    </row>
    <row r="31" spans="21:21" x14ac:dyDescent="0.35">
      <c r="U31" t="str">
        <f>IF(A31="","",IF(J31="",K31,I31))</f>
        <v/>
      </c>
    </row>
    <row r="32" spans="21:21" x14ac:dyDescent="0.35">
      <c r="U32" t="str">
        <f>IF(A32="","",IF(J32="",K32,I32))</f>
        <v/>
      </c>
    </row>
    <row r="33" spans="21:21" x14ac:dyDescent="0.35">
      <c r="U33" t="str">
        <f>IF(A33="","",IF(J33="",K33,I33))</f>
        <v/>
      </c>
    </row>
    <row r="34" spans="21:21" x14ac:dyDescent="0.35">
      <c r="U34" t="str">
        <f>IF(A34="","",IF(J34="",K34,I34))</f>
        <v/>
      </c>
    </row>
    <row r="35" spans="21:21" x14ac:dyDescent="0.35">
      <c r="U35" t="str">
        <f>IF(A35="","",IF(J35="",K35,I35))</f>
        <v/>
      </c>
    </row>
    <row r="36" spans="21:21" x14ac:dyDescent="0.35">
      <c r="U36" t="str">
        <f>IF(A36="","",IF(J36="",K36,I36))</f>
        <v/>
      </c>
    </row>
    <row r="37" spans="21:21" x14ac:dyDescent="0.35">
      <c r="U37" t="str">
        <f>IF(A37="","",IF(J37="",K37,I37))</f>
        <v/>
      </c>
    </row>
    <row r="38" spans="21:21" x14ac:dyDescent="0.35">
      <c r="U38" t="str">
        <f>IF(A38="","",IF(J38="",K38,I38))</f>
        <v/>
      </c>
    </row>
    <row r="39" spans="21:21" x14ac:dyDescent="0.35">
      <c r="U39" t="str">
        <f>IF(A39="","",IF(J39="",K39,I39))</f>
        <v/>
      </c>
    </row>
    <row r="40" spans="21:21" x14ac:dyDescent="0.35">
      <c r="U40" t="str">
        <f>IF(A40="","",IF(J40="",K40,I40))</f>
        <v/>
      </c>
    </row>
    <row r="41" spans="21:21" x14ac:dyDescent="0.35">
      <c r="U41" t="str">
        <f>IF(A41="","",IF(J41="",K41,I41))</f>
        <v/>
      </c>
    </row>
    <row r="42" spans="21:21" x14ac:dyDescent="0.35">
      <c r="U42" t="str">
        <f>IF(A42="","",IF(J42="",K42,I42))</f>
        <v/>
      </c>
    </row>
    <row r="43" spans="21:21" x14ac:dyDescent="0.35">
      <c r="U43" t="str">
        <f>IF(A43="","",IF(J43="",K43,I43))</f>
        <v/>
      </c>
    </row>
    <row r="44" spans="21:21" x14ac:dyDescent="0.35">
      <c r="U44" t="str">
        <f>IF(A44="","",IF(J44="",K44,I44))</f>
        <v/>
      </c>
    </row>
    <row r="45" spans="21:21" x14ac:dyDescent="0.35">
      <c r="U45" t="str">
        <f>IF(A45="","",IF(J45="",K45,I45))</f>
        <v/>
      </c>
    </row>
    <row r="46" spans="21:21" x14ac:dyDescent="0.35">
      <c r="U46" t="str">
        <f>IF(A46="","",IF(J46="",K46,I46))</f>
        <v/>
      </c>
    </row>
    <row r="47" spans="21:21" x14ac:dyDescent="0.35">
      <c r="U47" t="str">
        <f>IF(A47="","",IF(J47="",K47,I47))</f>
        <v/>
      </c>
    </row>
    <row r="48" spans="21:21" x14ac:dyDescent="0.35">
      <c r="U48" t="str">
        <f>IF(A48="","",IF(J48="",K48,I48))</f>
        <v/>
      </c>
    </row>
    <row r="49" spans="21:21" x14ac:dyDescent="0.35">
      <c r="U49" t="str">
        <f>IF(A49="","",IF(J49="",K49,I49))</f>
        <v/>
      </c>
    </row>
    <row r="50" spans="21:21" x14ac:dyDescent="0.35">
      <c r="U50" t="str">
        <f>IF(A50="","",IF(J50="",K50,I50))</f>
        <v/>
      </c>
    </row>
    <row r="51" spans="21:21" x14ac:dyDescent="0.35">
      <c r="U51" t="str">
        <f>IF(A51="","",IF(J51="",K51,I51))</f>
        <v/>
      </c>
    </row>
    <row r="52" spans="21:21" x14ac:dyDescent="0.35">
      <c r="U52" t="str">
        <f>IF(A52="","",IF(J52="",K52,I52))</f>
        <v/>
      </c>
    </row>
    <row r="53" spans="21:21" x14ac:dyDescent="0.35">
      <c r="U53" t="str">
        <f>IF(A53="","",IF(J53="",K53,I53))</f>
        <v/>
      </c>
    </row>
    <row r="54" spans="21:21" x14ac:dyDescent="0.35">
      <c r="U54" t="str">
        <f>IF(A54="","",IF(J54="",K54,I54))</f>
        <v/>
      </c>
    </row>
    <row r="55" spans="21:21" x14ac:dyDescent="0.35">
      <c r="U55" t="str">
        <f>IF(A55="","",IF(J55="",K55,I55))</f>
        <v/>
      </c>
    </row>
    <row r="56" spans="21:21" x14ac:dyDescent="0.35">
      <c r="U56" t="str">
        <f>IF(A56="","",IF(J56="",K56,I56))</f>
        <v/>
      </c>
    </row>
    <row r="57" spans="21:21" x14ac:dyDescent="0.35">
      <c r="U57" t="str">
        <f>IF(A57="","",IF(J57="",K57,I57))</f>
        <v/>
      </c>
    </row>
    <row r="58" spans="21:21" x14ac:dyDescent="0.35">
      <c r="U58" t="str">
        <f>IF(A58="","",IF(J58="",K58,I58))</f>
        <v/>
      </c>
    </row>
    <row r="59" spans="21:21" x14ac:dyDescent="0.35">
      <c r="U59" t="str">
        <f>IF(A59="","",IF(J59="",K59,I59))</f>
        <v/>
      </c>
    </row>
    <row r="60" spans="21:21" x14ac:dyDescent="0.35">
      <c r="U60" t="str">
        <f>IF(A60="","",IF(J60="",K60,I60))</f>
        <v/>
      </c>
    </row>
    <row r="61" spans="21:21" x14ac:dyDescent="0.35">
      <c r="U61" t="str">
        <f>IF(A61="","",IF(J61="",K61,I61))</f>
        <v/>
      </c>
    </row>
    <row r="62" spans="21:21" x14ac:dyDescent="0.35">
      <c r="U62" t="str">
        <f>IF(A62="","",IF(J62="",K62,I62))</f>
        <v/>
      </c>
    </row>
    <row r="63" spans="21:21" x14ac:dyDescent="0.35">
      <c r="U63" t="str">
        <f>IF(A63="","",IF(J63="",K63,I63))</f>
        <v/>
      </c>
    </row>
    <row r="64" spans="21:21" x14ac:dyDescent="0.35">
      <c r="U64" t="str">
        <f>IF(A64="","",IF(J64="",K64,I64))</f>
        <v/>
      </c>
    </row>
    <row r="65" spans="21:21" x14ac:dyDescent="0.35">
      <c r="U65" t="str">
        <f>IF(A65="","",IF(J65="",K65,I65))</f>
        <v/>
      </c>
    </row>
    <row r="66" spans="21:21" x14ac:dyDescent="0.35">
      <c r="U66" t="str">
        <f>IF(A66="","",IF(J66="",K66,I66))</f>
        <v/>
      </c>
    </row>
    <row r="67" spans="21:21" x14ac:dyDescent="0.35">
      <c r="U67" t="str">
        <f>IF(A67="","",IF(J67="",K67,I67))</f>
        <v/>
      </c>
    </row>
    <row r="68" spans="21:21" x14ac:dyDescent="0.35">
      <c r="U68" t="str">
        <f>IF(A68="","",IF(J68="",K68,I68))</f>
        <v/>
      </c>
    </row>
    <row r="69" spans="21:21" x14ac:dyDescent="0.35">
      <c r="U69" t="str">
        <f>IF(A69="","",IF(J69="",K69,I69))</f>
        <v/>
      </c>
    </row>
    <row r="70" spans="21:21" x14ac:dyDescent="0.35">
      <c r="U70" t="str">
        <f>IF(A70="","",IF(J70="",K70,I70))</f>
        <v/>
      </c>
    </row>
    <row r="71" spans="21:21" x14ac:dyDescent="0.35">
      <c r="U71" t="str">
        <f>IF(A71="","",IF(J71="",K71,I71))</f>
        <v/>
      </c>
    </row>
    <row r="72" spans="21:21" x14ac:dyDescent="0.35">
      <c r="U72" t="str">
        <f>IF(A72="","",IF(J72="",K72,I72))</f>
        <v/>
      </c>
    </row>
    <row r="73" spans="21:21" x14ac:dyDescent="0.35">
      <c r="U73" t="str">
        <f>IF(A73="","",IF(J73="",K73,I73))</f>
        <v/>
      </c>
    </row>
    <row r="74" spans="21:21" x14ac:dyDescent="0.35">
      <c r="U74" t="str">
        <f>IF(A74="","",IF(J74="",K74,I74))</f>
        <v/>
      </c>
    </row>
    <row r="75" spans="21:21" x14ac:dyDescent="0.35">
      <c r="U75" t="str">
        <f>IF(A75="","",IF(J75="",K75,I75))</f>
        <v/>
      </c>
    </row>
    <row r="76" spans="21:21" x14ac:dyDescent="0.35">
      <c r="U76" t="str">
        <f>IF(A76="","",IF(J76="",K76,I76))</f>
        <v/>
      </c>
    </row>
    <row r="77" spans="21:21" x14ac:dyDescent="0.35">
      <c r="U77" t="str">
        <f>IF(A77="","",IF(J77="",K77,I77))</f>
        <v/>
      </c>
    </row>
    <row r="78" spans="21:21" x14ac:dyDescent="0.35">
      <c r="U78" t="str">
        <f>IF(A78="","",IF(J78="",K78,I78))</f>
        <v/>
      </c>
    </row>
    <row r="79" spans="21:21" x14ac:dyDescent="0.35">
      <c r="U79" t="str">
        <f>IF(A79="","",IF(J79="",K79,I79))</f>
        <v/>
      </c>
    </row>
    <row r="80" spans="21:21" x14ac:dyDescent="0.35">
      <c r="U80" t="str">
        <f>IF(A80="","",IF(J80="",K80,I80))</f>
        <v/>
      </c>
    </row>
    <row r="81" spans="21:21" x14ac:dyDescent="0.35">
      <c r="U81" t="str">
        <f>IF(A81="","",IF(J81="",K81,I81))</f>
        <v/>
      </c>
    </row>
    <row r="82" spans="21:21" x14ac:dyDescent="0.35">
      <c r="U82" t="str">
        <f>IF(A82="","",IF(J82="",K82,I82))</f>
        <v/>
      </c>
    </row>
    <row r="83" spans="21:21" x14ac:dyDescent="0.35">
      <c r="U83" t="str">
        <f>IF(A83="","",IF(J83="",K83,I83))</f>
        <v/>
      </c>
    </row>
    <row r="84" spans="21:21" x14ac:dyDescent="0.35">
      <c r="U84" t="str">
        <f>IF(A84="","",IF(J84="",K84,I84))</f>
        <v/>
      </c>
    </row>
    <row r="85" spans="21:21" x14ac:dyDescent="0.35">
      <c r="U85" t="str">
        <f>IF(A85="","",IF(J85="",K85,I85))</f>
        <v/>
      </c>
    </row>
    <row r="86" spans="21:21" x14ac:dyDescent="0.35">
      <c r="U86" t="str">
        <f>IF(A86="","",IF(J86="",K86,I86))</f>
        <v/>
      </c>
    </row>
    <row r="87" spans="21:21" x14ac:dyDescent="0.35">
      <c r="U87" t="str">
        <f>IF(A87="","",IF(J87="",K87,I87))</f>
        <v/>
      </c>
    </row>
    <row r="88" spans="21:21" x14ac:dyDescent="0.35">
      <c r="U88" t="str">
        <f>IF(A88="","",IF(J88="",K88,I88))</f>
        <v/>
      </c>
    </row>
    <row r="89" spans="21:21" x14ac:dyDescent="0.35">
      <c r="U89" t="str">
        <f>IF(A89="","",IF(J89="",K89,I89))</f>
        <v/>
      </c>
    </row>
    <row r="90" spans="21:21" x14ac:dyDescent="0.35">
      <c r="U90" t="str">
        <f>IF(A90="","",IF(J90="",K90,I90))</f>
        <v/>
      </c>
    </row>
    <row r="91" spans="21:21" x14ac:dyDescent="0.35">
      <c r="U91" t="str">
        <f>IF(A91="","",IF(J91="",K91,I91))</f>
        <v/>
      </c>
    </row>
    <row r="92" spans="21:21" x14ac:dyDescent="0.35">
      <c r="U92" t="str">
        <f>IF(A92="","",IF(J92="",K92,I92))</f>
        <v/>
      </c>
    </row>
    <row r="93" spans="21:21" x14ac:dyDescent="0.35">
      <c r="U93" t="str">
        <f>IF(A93="","",IF(J93="",K93,I93))</f>
        <v/>
      </c>
    </row>
    <row r="94" spans="21:21" x14ac:dyDescent="0.35">
      <c r="U94" t="str">
        <f>IF(A94="","",IF(J94="",K94,I94))</f>
        <v/>
      </c>
    </row>
    <row r="95" spans="21:21" x14ac:dyDescent="0.35">
      <c r="U95" t="str">
        <f>IF(A95="","",IF(J95="",K95,I95))</f>
        <v/>
      </c>
    </row>
    <row r="96" spans="21:21" x14ac:dyDescent="0.35">
      <c r="U96" t="str">
        <f>IF(A96="","",IF(J96="",K96,I96))</f>
        <v/>
      </c>
    </row>
    <row r="97" spans="21:21" x14ac:dyDescent="0.35">
      <c r="U97" t="str">
        <f>IF(A97="","",IF(J97="",K97,I97))</f>
        <v/>
      </c>
    </row>
    <row r="98" spans="21:21" x14ac:dyDescent="0.35">
      <c r="U98" t="str">
        <f>IF(A98="","",IF(J98="",K98,I98))</f>
        <v/>
      </c>
    </row>
    <row r="99" spans="21:21" x14ac:dyDescent="0.35">
      <c r="U99" t="str">
        <f>IF(A99="","",IF(J99="",K99,I99))</f>
        <v/>
      </c>
    </row>
    <row r="100" spans="21:21" x14ac:dyDescent="0.35">
      <c r="U100" t="str">
        <f>IF(A100="","",IF(J100="",K100,I100))</f>
        <v/>
      </c>
    </row>
    <row r="101" spans="21:21" x14ac:dyDescent="0.35">
      <c r="U101" t="str">
        <f>IF(A101="","",IF(J101="",K101,I101))</f>
        <v/>
      </c>
    </row>
    <row r="102" spans="21:21" x14ac:dyDescent="0.35">
      <c r="U102" t="str">
        <f>IF(A102="","",IF(J102="",K102,I102))</f>
        <v/>
      </c>
    </row>
    <row r="103" spans="21:21" x14ac:dyDescent="0.35">
      <c r="U103" t="str">
        <f>IF(A103="","",IF(J103="",K103,I103))</f>
        <v/>
      </c>
    </row>
    <row r="104" spans="21:21" x14ac:dyDescent="0.35">
      <c r="U104" t="str">
        <f>IF(A104="","",IF(J104="",K104,I104))</f>
        <v/>
      </c>
    </row>
    <row r="105" spans="21:21" x14ac:dyDescent="0.35">
      <c r="U105" t="str">
        <f>IF(A105="","",IF(J105="",K105,I105))</f>
        <v/>
      </c>
    </row>
    <row r="106" spans="21:21" x14ac:dyDescent="0.35">
      <c r="U106" t="str">
        <f>IF(A106="","",IF(J106="",K106,I106))</f>
        <v/>
      </c>
    </row>
    <row r="107" spans="21:21" x14ac:dyDescent="0.35">
      <c r="U107" t="str">
        <f>IF(A107="","",IF(J107="",K107,I107))</f>
        <v/>
      </c>
    </row>
    <row r="108" spans="21:21" x14ac:dyDescent="0.35">
      <c r="U108" t="str">
        <f>IF(A108="","",IF(J108="",K108,I108))</f>
        <v/>
      </c>
    </row>
    <row r="109" spans="21:21" x14ac:dyDescent="0.35">
      <c r="U109" t="str">
        <f>IF(A109="","",IF(J109="",K109,I109))</f>
        <v/>
      </c>
    </row>
    <row r="110" spans="21:21" x14ac:dyDescent="0.35">
      <c r="U110" t="str">
        <f>IF(A110="","",IF(J110="",K110,I110))</f>
        <v/>
      </c>
    </row>
    <row r="111" spans="21:21" x14ac:dyDescent="0.35">
      <c r="U111" t="str">
        <f>IF(A111="","",IF(J111="",K111,I111))</f>
        <v/>
      </c>
    </row>
    <row r="112" spans="21:21" x14ac:dyDescent="0.35">
      <c r="U112" t="str">
        <f>IF(A112="","",IF(J112="",K112,I112))</f>
        <v/>
      </c>
    </row>
    <row r="113" spans="21:21" x14ac:dyDescent="0.35">
      <c r="U113" t="str">
        <f>IF(A113="","",IF(J113="",K113,I113))</f>
        <v/>
      </c>
    </row>
    <row r="114" spans="21:21" x14ac:dyDescent="0.35">
      <c r="U114" t="str">
        <f>IF(A114="","",IF(J114="",K114,I114))</f>
        <v/>
      </c>
    </row>
    <row r="115" spans="21:21" x14ac:dyDescent="0.35">
      <c r="U115" t="str">
        <f>IF(A115="","",IF(J115="",K115,I115))</f>
        <v/>
      </c>
    </row>
    <row r="116" spans="21:21" x14ac:dyDescent="0.35">
      <c r="U116" t="str">
        <f>IF(A116="","",IF(J116="",K116,I116))</f>
        <v/>
      </c>
    </row>
    <row r="117" spans="21:21" x14ac:dyDescent="0.35">
      <c r="U117" t="str">
        <f>IF(A117="","",IF(J117="",K117,I117))</f>
        <v/>
      </c>
    </row>
    <row r="118" spans="21:21" x14ac:dyDescent="0.35">
      <c r="U118" t="str">
        <f>IF(A118="","",IF(J118="",K118,I118))</f>
        <v/>
      </c>
    </row>
    <row r="119" spans="21:21" x14ac:dyDescent="0.35">
      <c r="U119" t="str">
        <f>IF(A119="","",IF(J119="",K119,I119))</f>
        <v/>
      </c>
    </row>
    <row r="120" spans="21:21" x14ac:dyDescent="0.35">
      <c r="U120" t="str">
        <f>IF(A120="","",IF(J120="",K120,I120))</f>
        <v/>
      </c>
    </row>
    <row r="121" spans="21:21" x14ac:dyDescent="0.35">
      <c r="U121" t="str">
        <f>IF(A121="","",IF(J121="",K121,I121))</f>
        <v/>
      </c>
    </row>
    <row r="122" spans="21:21" x14ac:dyDescent="0.35">
      <c r="U122" t="str">
        <f>IF(A122="","",IF(J122="",K122,I122))</f>
        <v/>
      </c>
    </row>
    <row r="123" spans="21:21" x14ac:dyDescent="0.35">
      <c r="U123" t="str">
        <f>IF(A123="","",IF(J123="",K123,I123))</f>
        <v/>
      </c>
    </row>
    <row r="124" spans="21:21" x14ac:dyDescent="0.35">
      <c r="U124" t="str">
        <f>IF(A124="","",IF(J124="",K124,I124))</f>
        <v/>
      </c>
    </row>
    <row r="125" spans="21:21" x14ac:dyDescent="0.35">
      <c r="U125" t="str">
        <f>IF(A125="","",IF(J125="",K125,I125))</f>
        <v/>
      </c>
    </row>
    <row r="126" spans="21:21" x14ac:dyDescent="0.35">
      <c r="U126" t="str">
        <f>IF(A126="","",IF(J126="",K126,I126))</f>
        <v/>
      </c>
    </row>
    <row r="127" spans="21:21" x14ac:dyDescent="0.35">
      <c r="U127" t="str">
        <f>IF(A127="","",IF(J127="",K127,I127))</f>
        <v/>
      </c>
    </row>
    <row r="128" spans="21:21" x14ac:dyDescent="0.35">
      <c r="U128" t="str">
        <f>IF(A128="","",IF(J128="",K128,I128))</f>
        <v/>
      </c>
    </row>
    <row r="129" spans="21:21" x14ac:dyDescent="0.35">
      <c r="U129" t="str">
        <f>IF(A129="","",IF(J129="",K129,I129))</f>
        <v/>
      </c>
    </row>
    <row r="130" spans="21:21" x14ac:dyDescent="0.35">
      <c r="U130" t="str">
        <f>IF(A130="","",IF(J130="",K130,I130))</f>
        <v/>
      </c>
    </row>
    <row r="131" spans="21:21" x14ac:dyDescent="0.35">
      <c r="U131" t="str">
        <f>IF(A131="","",IF(J131="",K131,I131))</f>
        <v/>
      </c>
    </row>
    <row r="132" spans="21:21" x14ac:dyDescent="0.35">
      <c r="U132" t="str">
        <f>IF(A132="","",IF(J132="",K132,I132))</f>
        <v/>
      </c>
    </row>
    <row r="133" spans="21:21" x14ac:dyDescent="0.35">
      <c r="U133" t="str">
        <f>IF(A133="","",IF(J133="",K133,I133))</f>
        <v/>
      </c>
    </row>
    <row r="134" spans="21:21" x14ac:dyDescent="0.35">
      <c r="U134" t="str">
        <f>IF(A134="","",IF(J134="",K134,I134))</f>
        <v/>
      </c>
    </row>
    <row r="135" spans="21:21" x14ac:dyDescent="0.35">
      <c r="U135" t="str">
        <f>IF(A135="","",IF(J135="",K135,I135))</f>
        <v/>
      </c>
    </row>
    <row r="136" spans="21:21" x14ac:dyDescent="0.35">
      <c r="U136" t="str">
        <f>IF(A136="","",IF(J136="",K136,I136))</f>
        <v/>
      </c>
    </row>
    <row r="137" spans="21:21" x14ac:dyDescent="0.35">
      <c r="U137" t="str">
        <f>IF(A137="","",IF(J137="",K137,I137))</f>
        <v/>
      </c>
    </row>
    <row r="138" spans="21:21" x14ac:dyDescent="0.35">
      <c r="U138" t="str">
        <f>IF(A138="","",IF(J138="",K138,I138))</f>
        <v/>
      </c>
    </row>
    <row r="139" spans="21:21" x14ac:dyDescent="0.35">
      <c r="U139" t="str">
        <f>IF(A139="","",IF(J139="",K139,I139))</f>
        <v/>
      </c>
    </row>
    <row r="140" spans="21:21" x14ac:dyDescent="0.35">
      <c r="U140" t="str">
        <f>IF(A140="","",IF(J140="",K140,I140))</f>
        <v/>
      </c>
    </row>
    <row r="141" spans="21:21" x14ac:dyDescent="0.35">
      <c r="U141" t="str">
        <f>IF(A141="","",IF(J141="",K141,I141))</f>
        <v/>
      </c>
    </row>
    <row r="142" spans="21:21" x14ac:dyDescent="0.35">
      <c r="U142" t="str">
        <f>IF(A142="","",IF(J142="",K142,I142))</f>
        <v/>
      </c>
    </row>
    <row r="143" spans="21:21" x14ac:dyDescent="0.35">
      <c r="U143" t="str">
        <f>IF(A143="","",IF(J143="",K143,I143))</f>
        <v/>
      </c>
    </row>
    <row r="144" spans="21:21" x14ac:dyDescent="0.35">
      <c r="U144" t="str">
        <f>IF(A144="","",IF(J144="",K144,I144))</f>
        <v/>
      </c>
    </row>
    <row r="145" spans="21:21" x14ac:dyDescent="0.35">
      <c r="U145" t="str">
        <f>IF(A145="","",IF(J145="",K145,I145))</f>
        <v/>
      </c>
    </row>
    <row r="146" spans="21:21" x14ac:dyDescent="0.35">
      <c r="U146" t="str">
        <f>IF(A146="","",IF(J146="",K146,I146))</f>
        <v/>
      </c>
    </row>
    <row r="147" spans="21:21" x14ac:dyDescent="0.35">
      <c r="U147" t="str">
        <f>IF(A147="","",IF(J147="",K147,I147))</f>
        <v/>
      </c>
    </row>
    <row r="148" spans="21:21" x14ac:dyDescent="0.35">
      <c r="U148" t="str">
        <f>IF(A148="","",IF(J148="",K148,I148))</f>
        <v/>
      </c>
    </row>
    <row r="149" spans="21:21" x14ac:dyDescent="0.35">
      <c r="U149" t="str">
        <f>IF(A149="","",IF(J149="",K149,I149))</f>
        <v/>
      </c>
    </row>
    <row r="150" spans="21:21" x14ac:dyDescent="0.35">
      <c r="U150" t="str">
        <f>IF(A150="","",IF(J150="",K150,I150))</f>
        <v/>
      </c>
    </row>
    <row r="151" spans="21:21" x14ac:dyDescent="0.35">
      <c r="U151" t="str">
        <f>IF(A151="","",IF(J151="",K151,I151))</f>
        <v/>
      </c>
    </row>
    <row r="152" spans="21:21" x14ac:dyDescent="0.35">
      <c r="U152" t="str">
        <f>IF(A152="","",IF(J152="",K152,I152))</f>
        <v/>
      </c>
    </row>
    <row r="153" spans="21:21" x14ac:dyDescent="0.35">
      <c r="U153" t="str">
        <f>IF(A153="","",IF(J153="",K153,I153))</f>
        <v/>
      </c>
    </row>
    <row r="154" spans="21:21" x14ac:dyDescent="0.35">
      <c r="U154" t="str">
        <f>IF(A154="","",IF(J154="",K154,I154))</f>
        <v/>
      </c>
    </row>
    <row r="155" spans="21:21" x14ac:dyDescent="0.35">
      <c r="U155" t="str">
        <f>IF(A155="","",IF(J155="",K155,I155))</f>
        <v/>
      </c>
    </row>
    <row r="156" spans="21:21" x14ac:dyDescent="0.35">
      <c r="U156" t="str">
        <f>IF(A156="","",IF(J156="",K156,I156))</f>
        <v/>
      </c>
    </row>
    <row r="157" spans="21:21" x14ac:dyDescent="0.35">
      <c r="U157" t="str">
        <f>IF(A157="","",IF(J157="",K157,I157))</f>
        <v/>
      </c>
    </row>
    <row r="158" spans="21:21" x14ac:dyDescent="0.35">
      <c r="U158" t="str">
        <f>IF(A158="","",IF(J158="",K158,I158))</f>
        <v/>
      </c>
    </row>
    <row r="159" spans="21:21" x14ac:dyDescent="0.35">
      <c r="U159" t="str">
        <f>IF(A159="","",IF(J159="",K159,I159))</f>
        <v/>
      </c>
    </row>
    <row r="160" spans="21:21" x14ac:dyDescent="0.35">
      <c r="U160" t="str">
        <f>IF(A160="","",IF(J160="",K160,I160))</f>
        <v/>
      </c>
    </row>
    <row r="161" spans="21:21" x14ac:dyDescent="0.35">
      <c r="U161" t="str">
        <f>IF(A161="","",IF(J161="",K161,I161))</f>
        <v/>
      </c>
    </row>
    <row r="162" spans="21:21" x14ac:dyDescent="0.35">
      <c r="U162" t="str">
        <f>IF(A162="","",IF(J162="",K162,I162))</f>
        <v/>
      </c>
    </row>
    <row r="163" spans="21:21" x14ac:dyDescent="0.35">
      <c r="U163" t="str">
        <f>IF(A163="","",IF(J163="",K163,I163))</f>
        <v/>
      </c>
    </row>
    <row r="164" spans="21:21" x14ac:dyDescent="0.35">
      <c r="U164" t="str">
        <f>IF(A164="","",IF(J164="",K164,I164))</f>
        <v/>
      </c>
    </row>
    <row r="165" spans="21:21" x14ac:dyDescent="0.35">
      <c r="U165" t="str">
        <f>IF(A165="","",IF(J165="",K165,I165))</f>
        <v/>
      </c>
    </row>
    <row r="166" spans="21:21" x14ac:dyDescent="0.35">
      <c r="U166" t="str">
        <f>IF(A166="","",IF(J166="",K166,I166))</f>
        <v/>
      </c>
    </row>
    <row r="167" spans="21:21" x14ac:dyDescent="0.35">
      <c r="U167" t="str">
        <f>IF(A167="","",IF(J167="",K167,I167))</f>
        <v/>
      </c>
    </row>
    <row r="168" spans="21:21" x14ac:dyDescent="0.35">
      <c r="U168" t="str">
        <f>IF(A168="","",IF(J168="",K168,I168))</f>
        <v/>
      </c>
    </row>
    <row r="169" spans="21:21" x14ac:dyDescent="0.35">
      <c r="U169" t="str">
        <f>IF(A169="","",IF(J169="",K169,I169))</f>
        <v/>
      </c>
    </row>
    <row r="170" spans="21:21" x14ac:dyDescent="0.35">
      <c r="U170" t="str">
        <f>IF(A170="","",IF(J170="",K170,I170))</f>
        <v/>
      </c>
    </row>
    <row r="171" spans="21:21" x14ac:dyDescent="0.35">
      <c r="U171" t="str">
        <f>IF(A171="","",IF(J171="",K171,I171))</f>
        <v/>
      </c>
    </row>
    <row r="172" spans="21:21" x14ac:dyDescent="0.35">
      <c r="U172" t="str">
        <f>IF(A172="","",IF(J172="",K172,I172))</f>
        <v/>
      </c>
    </row>
    <row r="173" spans="21:21" x14ac:dyDescent="0.35">
      <c r="U173" t="str">
        <f>IF(A173="","",IF(J173="",K173,I173))</f>
        <v/>
      </c>
    </row>
    <row r="174" spans="21:21" x14ac:dyDescent="0.35">
      <c r="U174" t="str">
        <f>IF(A174="","",IF(J174="",K174,I174))</f>
        <v/>
      </c>
    </row>
    <row r="175" spans="21:21" x14ac:dyDescent="0.35">
      <c r="U175" t="str">
        <f>IF(A175="","",IF(J175="",K175,I175))</f>
        <v/>
      </c>
    </row>
    <row r="176" spans="21:21" x14ac:dyDescent="0.35">
      <c r="U176" t="str">
        <f>IF(A176="","",IF(J176="",K176,I176))</f>
        <v/>
      </c>
    </row>
    <row r="177" spans="21:21" x14ac:dyDescent="0.35">
      <c r="U177" t="str">
        <f>IF(A177="","",IF(J177="",K177,I177))</f>
        <v/>
      </c>
    </row>
    <row r="178" spans="21:21" x14ac:dyDescent="0.35">
      <c r="U178" t="str">
        <f>IF(A178="","",IF(J178="",K178,I178))</f>
        <v/>
      </c>
    </row>
    <row r="179" spans="21:21" x14ac:dyDescent="0.35">
      <c r="U179" t="str">
        <f>IF(A179="","",IF(J179="",K179,I179))</f>
        <v/>
      </c>
    </row>
    <row r="180" spans="21:21" x14ac:dyDescent="0.35">
      <c r="U180" t="str">
        <f>IF(A180="","",IF(J180="",K180,I180))</f>
        <v/>
      </c>
    </row>
    <row r="181" spans="21:21" x14ac:dyDescent="0.35">
      <c r="U181" t="str">
        <f>IF(A181="","",IF(J181="",K181,I181))</f>
        <v/>
      </c>
    </row>
    <row r="182" spans="21:21" x14ac:dyDescent="0.35">
      <c r="U182" t="str">
        <f>IF(A182="","",IF(J182="",K182,I182))</f>
        <v/>
      </c>
    </row>
    <row r="183" spans="21:21" x14ac:dyDescent="0.35">
      <c r="U183" t="str">
        <f>IF(A183="","",IF(J183="",K183,I183))</f>
        <v/>
      </c>
    </row>
    <row r="184" spans="21:21" x14ac:dyDescent="0.35">
      <c r="U184" t="str">
        <f>IF(A184="","",IF(J184="",K184,I184))</f>
        <v/>
      </c>
    </row>
    <row r="185" spans="21:21" x14ac:dyDescent="0.35">
      <c r="U185" t="str">
        <f>IF(A185="","",IF(J185="",K185,I185))</f>
        <v/>
      </c>
    </row>
    <row r="186" spans="21:21" x14ac:dyDescent="0.35">
      <c r="U186" t="str">
        <f>IF(A186="","",IF(J186="",K186,I186))</f>
        <v/>
      </c>
    </row>
    <row r="187" spans="21:21" x14ac:dyDescent="0.35">
      <c r="U187" t="str">
        <f>IF(A187="","",IF(J187="",K187,I187))</f>
        <v/>
      </c>
    </row>
    <row r="188" spans="21:21" x14ac:dyDescent="0.35">
      <c r="U188" t="str">
        <f>IF(A188="","",IF(J188="",K188,I188))</f>
        <v/>
      </c>
    </row>
    <row r="189" spans="21:21" x14ac:dyDescent="0.35">
      <c r="U189" t="str">
        <f>IF(A189="","",IF(J189="",K189,I189))</f>
        <v/>
      </c>
    </row>
    <row r="190" spans="21:21" x14ac:dyDescent="0.35">
      <c r="U190" t="str">
        <f>IF(A190="","",IF(J190="",K190,I190))</f>
        <v/>
      </c>
    </row>
    <row r="191" spans="21:21" x14ac:dyDescent="0.35">
      <c r="U191" t="str">
        <f>IF(A191="","",IF(J191="",K191,I191))</f>
        <v/>
      </c>
    </row>
    <row r="192" spans="21:21" x14ac:dyDescent="0.35">
      <c r="U192" t="str">
        <f>IF(A192="","",IF(J192="",K192,I192))</f>
        <v/>
      </c>
    </row>
    <row r="193" spans="21:21" x14ac:dyDescent="0.35">
      <c r="U193" t="str">
        <f>IF(A193="","",IF(J193="",K193,I193))</f>
        <v/>
      </c>
    </row>
    <row r="194" spans="21:21" x14ac:dyDescent="0.35">
      <c r="U194" t="str">
        <f>IF(A194="","",IF(J194="",K194,I194))</f>
        <v/>
      </c>
    </row>
    <row r="195" spans="21:21" x14ac:dyDescent="0.35">
      <c r="U195" t="str">
        <f>IF(A195="","",IF(J195="",K195,I195))</f>
        <v/>
      </c>
    </row>
    <row r="196" spans="21:21" x14ac:dyDescent="0.35">
      <c r="U196" t="str">
        <f>IF(A196="","",IF(J196="",K196,I196))</f>
        <v/>
      </c>
    </row>
    <row r="197" spans="21:21" x14ac:dyDescent="0.35">
      <c r="U197" t="str">
        <f>IF(A197="","",IF(J197="",K197,I197))</f>
        <v/>
      </c>
    </row>
    <row r="198" spans="21:21" x14ac:dyDescent="0.35">
      <c r="U198" t="str">
        <f>IF(A198="","",IF(J198="",K198,I198))</f>
        <v/>
      </c>
    </row>
    <row r="199" spans="21:21" x14ac:dyDescent="0.35">
      <c r="U199" t="str">
        <f>IF(A199="","",IF(J199="",K199,I199))</f>
        <v/>
      </c>
    </row>
    <row r="200" spans="21:21" x14ac:dyDescent="0.35">
      <c r="U200" t="str">
        <f>IF(A200="","",IF(J200="",K200,I200))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B748-30D9-4BDC-8C1A-D519A9DCA34E}">
  <dimension ref="A1:O200"/>
  <sheetViews>
    <sheetView workbookViewId="0">
      <selection activeCell="F2" sqref="F2"/>
    </sheetView>
  </sheetViews>
  <sheetFormatPr defaultRowHeight="14.5" x14ac:dyDescent="0.35"/>
  <cols>
    <col min="2" max="2" width="12.7265625" bestFit="1" customWidth="1"/>
    <col min="5" max="5" width="14.54296875" bestFit="1" customWidth="1"/>
    <col min="10" max="10" width="5.6328125" bestFit="1" customWidth="1"/>
    <col min="11" max="11" width="12.7265625" bestFit="1" customWidth="1"/>
    <col min="14" max="14" width="14.54296875" bestFit="1" customWidth="1"/>
  </cols>
  <sheetData>
    <row r="1" spans="1:15" x14ac:dyDescent="0.35">
      <c r="A1" s="1" t="s">
        <v>1</v>
      </c>
      <c r="B1" s="1" t="s">
        <v>14</v>
      </c>
      <c r="C1" s="1" t="s">
        <v>2</v>
      </c>
      <c r="D1" s="1" t="s">
        <v>25</v>
      </c>
      <c r="E1" s="1" t="s">
        <v>26</v>
      </c>
      <c r="F1" s="1" t="s">
        <v>27</v>
      </c>
      <c r="J1" t="s">
        <v>1</v>
      </c>
      <c r="K1" t="s">
        <v>14</v>
      </c>
      <c r="L1" t="s">
        <v>2</v>
      </c>
      <c r="M1" t="s">
        <v>25</v>
      </c>
      <c r="N1" t="s">
        <v>26</v>
      </c>
      <c r="O1" t="s">
        <v>27</v>
      </c>
    </row>
    <row r="2" spans="1:15" x14ac:dyDescent="0.35">
      <c r="G2" t="str">
        <f>IF(A2="","",IF(COUNTIF(SF_Data!C:C,E2)&gt;0,TRUE,FALSE))</f>
        <v/>
      </c>
      <c r="H2" t="str">
        <f>IF(G2=TRUE,A2,"")</f>
        <v/>
      </c>
      <c r="J2" t="str" cm="1">
        <f t="array" ref="J2">IFERROR(INDEX($H$2:$H$1000,SMALL(IF($H$2:$H$1000&lt;&gt;"",ROW($H$2:$H$1000)-1),ROW(1:1))),"")</f>
        <v/>
      </c>
      <c r="K2" t="str">
        <f>IF(J2="","",INDEX(B:B,MATCH(J2,A:A,0)))</f>
        <v/>
      </c>
      <c r="L2" t="str">
        <f>IF(J2="","",INDEX(C:C,MATCH(J2,A:A,0)))</f>
        <v/>
      </c>
      <c r="M2" t="str">
        <f>IF(J2="","",INDEX(D:D,MATCH(J2,A:A,0)))</f>
        <v/>
      </c>
      <c r="N2" t="str">
        <f>IF(J2="","",INDEX(E:E,MATCH(J2,A:A,0)))</f>
        <v/>
      </c>
      <c r="O2" t="str">
        <f>IF(J2="","",INDEX(F:F,MATCH(J2,A:A,0)))</f>
        <v/>
      </c>
    </row>
    <row r="3" spans="1:15" x14ac:dyDescent="0.35">
      <c r="G3" t="str">
        <f>IF(A3="","",IF(COUNTIF(SF_Data!C:C,E3)&gt;0,TRUE,FALSE))</f>
        <v/>
      </c>
      <c r="H3" t="str">
        <f t="shared" ref="H3:H66" si="0">IF(G3=TRUE,A3,"")</f>
        <v/>
      </c>
      <c r="J3" t="str" cm="1">
        <f t="array" ref="J3">IFERROR(INDEX($H$2:$H$1000,SMALL(IF($H$2:$H$1000&lt;&gt;"",ROW($H$2:$H$1000)-1),ROW(2:2))),"")</f>
        <v/>
      </c>
      <c r="K3" t="str">
        <f t="shared" ref="K3:K66" si="1">IF(J3="","",INDEX(B:B,MATCH(J3,A:A,0)))</f>
        <v/>
      </c>
      <c r="L3" t="str">
        <f t="shared" ref="L3:L66" si="2">IF(J3="","",INDEX(C:C,MATCH(J3,A:A,0)))</f>
        <v/>
      </c>
      <c r="M3" t="str">
        <f t="shared" ref="M3:M66" si="3">IF(J3="","",INDEX(D:D,MATCH(J3,A:A,0)))</f>
        <v/>
      </c>
      <c r="N3" t="str">
        <f t="shared" ref="N3:N66" si="4">IF(J3="","",INDEX(E:E,MATCH(J3,A:A,0)))</f>
        <v/>
      </c>
      <c r="O3" t="str">
        <f t="shared" ref="O3:O66" si="5">IF(J3="","",INDEX(F:F,MATCH(J3,A:A,0)))</f>
        <v/>
      </c>
    </row>
    <row r="4" spans="1:15" x14ac:dyDescent="0.35">
      <c r="G4" t="str">
        <f>IF(A4="","",IF(COUNTIF(SF_Data!C:C,E4)&gt;0,TRUE,FALSE))</f>
        <v/>
      </c>
      <c r="H4" t="str">
        <f t="shared" si="0"/>
        <v/>
      </c>
      <c r="J4" t="str" cm="1">
        <f t="array" ref="J4">IFERROR(INDEX($H$2:$H$1000,SMALL(IF($H$2:$H$1000&lt;&gt;"",ROW($H$2:$H$1000)-1),ROW(3:3))),"")</f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</row>
    <row r="5" spans="1:15" x14ac:dyDescent="0.35">
      <c r="G5" t="str">
        <f>IF(A5="","",IF(COUNTIF(SF_Data!C:C,E5)&gt;0,TRUE,FALSE))</f>
        <v/>
      </c>
      <c r="H5" t="str">
        <f t="shared" si="0"/>
        <v/>
      </c>
      <c r="J5" t="str" cm="1">
        <f t="array" ref="J5">IFERROR(INDEX($H$2:$H$1000,SMALL(IF($H$2:$H$1000&lt;&gt;"",ROW($H$2:$H$1000)-1),ROW(4:4))),"")</f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</row>
    <row r="6" spans="1:15" x14ac:dyDescent="0.35">
      <c r="G6" t="str">
        <f>IF(A6="","",IF(COUNTIF(SF_Data!C:C,E6)&gt;0,TRUE,FALSE))</f>
        <v/>
      </c>
      <c r="H6" t="str">
        <f t="shared" si="0"/>
        <v/>
      </c>
      <c r="J6" t="str" cm="1">
        <f t="array" ref="J6">IFERROR(INDEX($H$2:$H$1000,SMALL(IF($H$2:$H$1000&lt;&gt;"",ROW($H$2:$H$1000)-1),ROW(5:5))),"")</f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</row>
    <row r="7" spans="1:15" x14ac:dyDescent="0.35">
      <c r="G7" t="str">
        <f>IF(A7="","",IF(COUNTIF(SF_Data!C:C,E7)&gt;0,TRUE,FALSE))</f>
        <v/>
      </c>
      <c r="H7" t="str">
        <f t="shared" si="0"/>
        <v/>
      </c>
      <c r="J7" t="str" cm="1">
        <f t="array" ref="J7">IFERROR(INDEX($H$2:$H$1000,SMALL(IF($H$2:$H$1000&lt;&gt;"",ROW($H$2:$H$1000)-1),ROW(6:6))),"")</f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</row>
    <row r="8" spans="1:15" x14ac:dyDescent="0.35">
      <c r="G8" t="str">
        <f>IF(A8="","",IF(COUNTIF(SF_Data!C:C,E8)&gt;0,TRUE,FALSE))</f>
        <v/>
      </c>
      <c r="H8" t="str">
        <f t="shared" si="0"/>
        <v/>
      </c>
      <c r="J8" t="str" cm="1">
        <f t="array" ref="J8">IFERROR(INDEX($H$2:$H$1000,SMALL(IF($H$2:$H$1000&lt;&gt;"",ROW($H$2:$H$1000)-1),ROW(7:7))),"")</f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</row>
    <row r="9" spans="1:15" x14ac:dyDescent="0.35">
      <c r="G9" t="str">
        <f>IF(A9="","",IF(COUNTIF(SF_Data!C:C,E9)&gt;0,TRUE,FALSE))</f>
        <v/>
      </c>
      <c r="H9" t="str">
        <f t="shared" si="0"/>
        <v/>
      </c>
      <c r="J9" t="str" cm="1">
        <f t="array" ref="J9">IFERROR(INDEX($H$2:$H$1000,SMALL(IF($H$2:$H$1000&lt;&gt;"",ROW($H$2:$H$1000)-1),ROW(8:8))),"")</f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</row>
    <row r="10" spans="1:15" x14ac:dyDescent="0.35">
      <c r="G10" t="str">
        <f>IF(A10="","",IF(COUNTIF(SF_Data!C:C,E10)&gt;0,TRUE,FALSE))</f>
        <v/>
      </c>
      <c r="H10" t="str">
        <f t="shared" si="0"/>
        <v/>
      </c>
      <c r="J10" t="str" cm="1">
        <f t="array" ref="J10">IFERROR(INDEX($H$2:$H$1000,SMALL(IF($H$2:$H$1000&lt;&gt;"",ROW($H$2:$H$1000)-1),ROW(9:9))),"")</f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</row>
    <row r="11" spans="1:15" x14ac:dyDescent="0.35">
      <c r="G11" t="str">
        <f>IF(A11="","",IF(COUNTIF(SF_Data!C:C,E11)&gt;0,TRUE,FALSE))</f>
        <v/>
      </c>
      <c r="H11" t="str">
        <f t="shared" si="0"/>
        <v/>
      </c>
      <c r="J11" t="str" cm="1">
        <f t="array" ref="J11">IFERROR(INDEX($H$2:$H$1000,SMALL(IF($H$2:$H$1000&lt;&gt;"",ROW($H$2:$H$1000)-1),ROW(10:10))),"")</f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</row>
    <row r="12" spans="1:15" x14ac:dyDescent="0.35">
      <c r="G12" t="str">
        <f>IF(A12="","",IF(COUNTIF(SF_Data!C:C,E12)&gt;0,TRUE,FALSE))</f>
        <v/>
      </c>
      <c r="H12" t="str">
        <f t="shared" si="0"/>
        <v/>
      </c>
      <c r="J12" t="str" cm="1">
        <f t="array" ref="J12">IFERROR(INDEX($H$2:$H$1000,SMALL(IF($H$2:$H$1000&lt;&gt;"",ROW($H$2:$H$1000)-1),ROW(11:11))),"")</f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</row>
    <row r="13" spans="1:15" x14ac:dyDescent="0.35">
      <c r="G13" t="str">
        <f>IF(A13="","",IF(COUNTIF(SF_Data!C:C,E13)&gt;0,TRUE,FALSE))</f>
        <v/>
      </c>
      <c r="H13" t="str">
        <f t="shared" si="0"/>
        <v/>
      </c>
      <c r="J13" t="str" cm="1">
        <f t="array" ref="J13">IFERROR(INDEX($H$2:$H$1000,SMALL(IF($H$2:$H$1000&lt;&gt;"",ROW($H$2:$H$1000)-1),ROW(12:12))),"")</f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</row>
    <row r="14" spans="1:15" x14ac:dyDescent="0.35">
      <c r="G14" t="str">
        <f>IF(A14="","",IF(COUNTIF(SF_Data!C:C,E14)&gt;0,TRUE,FALSE))</f>
        <v/>
      </c>
      <c r="H14" t="str">
        <f t="shared" si="0"/>
        <v/>
      </c>
      <c r="J14" t="str" cm="1">
        <f t="array" ref="J14">IFERROR(INDEX($H$2:$H$1000,SMALL(IF($H$2:$H$1000&lt;&gt;"",ROW($H$2:$H$1000)-1),ROW(13:13))),"")</f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</row>
    <row r="15" spans="1:15" x14ac:dyDescent="0.35">
      <c r="G15" t="str">
        <f>IF(A15="","",IF(COUNTIF(SF_Data!C:C,E15)&gt;0,TRUE,FALSE))</f>
        <v/>
      </c>
      <c r="H15" t="str">
        <f t="shared" si="0"/>
        <v/>
      </c>
      <c r="J15" t="str" cm="1">
        <f t="array" ref="J15">IFERROR(INDEX($H$2:$H$1000,SMALL(IF($H$2:$H$1000&lt;&gt;"",ROW($H$2:$H$1000)-1),ROW(14:14))),"")</f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</row>
    <row r="16" spans="1:15" x14ac:dyDescent="0.35">
      <c r="G16" t="str">
        <f>IF(A16="","",IF(COUNTIF(SF_Data!C:C,E16)&gt;0,TRUE,FALSE))</f>
        <v/>
      </c>
      <c r="H16" t="str">
        <f t="shared" si="0"/>
        <v/>
      </c>
      <c r="J16" t="str" cm="1">
        <f t="array" ref="J16">IFERROR(INDEX($H$2:$H$1000,SMALL(IF($H$2:$H$1000&lt;&gt;"",ROW($H$2:$H$1000)-1),ROW(15:15))),"")</f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</row>
    <row r="17" spans="7:15" x14ac:dyDescent="0.35">
      <c r="G17" t="str">
        <f>IF(A17="","",IF(COUNTIF(SF_Data!C:C,E17)&gt;0,TRUE,FALSE))</f>
        <v/>
      </c>
      <c r="H17" t="str">
        <f t="shared" si="0"/>
        <v/>
      </c>
      <c r="J17" t="str" cm="1">
        <f t="array" ref="J17">IFERROR(INDEX($H$2:$H$1000,SMALL(IF($H$2:$H$1000&lt;&gt;"",ROW($H$2:$H$1000)-1),ROW(16:16))),"")</f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</row>
    <row r="18" spans="7:15" x14ac:dyDescent="0.35">
      <c r="G18" t="str">
        <f>IF(A18="","",IF(COUNTIF(SF_Data!C:C,E18)&gt;0,TRUE,FALSE))</f>
        <v/>
      </c>
      <c r="H18" t="str">
        <f t="shared" si="0"/>
        <v/>
      </c>
      <c r="J18" t="str" cm="1">
        <f t="array" ref="J18">IFERROR(INDEX($H$2:$H$1000,SMALL(IF($H$2:$H$1000&lt;&gt;"",ROW($H$2:$H$1000)-1),ROW(17:17))),"")</f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</row>
    <row r="19" spans="7:15" x14ac:dyDescent="0.35">
      <c r="G19" t="str">
        <f>IF(A19="","",IF(COUNTIF(SF_Data!C:C,E19)&gt;0,TRUE,FALSE))</f>
        <v/>
      </c>
      <c r="H19" t="str">
        <f t="shared" si="0"/>
        <v/>
      </c>
      <c r="J19" t="str" cm="1">
        <f t="array" ref="J19">IFERROR(INDEX($H$2:$H$1000,SMALL(IF($H$2:$H$1000&lt;&gt;"",ROW($H$2:$H$1000)-1),ROW(18:18))),"")</f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</row>
    <row r="20" spans="7:15" x14ac:dyDescent="0.35">
      <c r="G20" t="str">
        <f>IF(A20="","",IF(COUNTIF(SF_Data!C:C,E20)&gt;0,TRUE,FALSE))</f>
        <v/>
      </c>
      <c r="H20" t="str">
        <f t="shared" si="0"/>
        <v/>
      </c>
      <c r="J20" t="str" cm="1">
        <f t="array" ref="J20">IFERROR(INDEX($H$2:$H$1000,SMALL(IF($H$2:$H$1000&lt;&gt;"",ROW($H$2:$H$1000)-1),ROW(19:19))),"")</f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</row>
    <row r="21" spans="7:15" x14ac:dyDescent="0.35">
      <c r="G21" t="str">
        <f>IF(A21="","",IF(COUNTIF(SF_Data!C:C,E21)&gt;0,TRUE,FALSE))</f>
        <v/>
      </c>
      <c r="H21" t="str">
        <f t="shared" si="0"/>
        <v/>
      </c>
      <c r="J21" t="str" cm="1">
        <f t="array" ref="J21">IFERROR(INDEX($H$2:$H$1000,SMALL(IF($H$2:$H$1000&lt;&gt;"",ROW($H$2:$H$1000)-1),ROW(20:20))),"")</f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</row>
    <row r="22" spans="7:15" x14ac:dyDescent="0.35">
      <c r="G22" t="str">
        <f>IF(A22="","",IF(COUNTIF(SF_Data!C:C,E22)&gt;0,TRUE,FALSE))</f>
        <v/>
      </c>
      <c r="H22" t="str">
        <f t="shared" si="0"/>
        <v/>
      </c>
      <c r="J22" t="str" cm="1">
        <f t="array" ref="J22">IFERROR(INDEX($H$2:$H$1000,SMALL(IF($H$2:$H$1000&lt;&gt;"",ROW($H$2:$H$1000)-1),ROW(21:21))),"")</f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</row>
    <row r="23" spans="7:15" x14ac:dyDescent="0.35">
      <c r="G23" t="str">
        <f>IF(A23="","",IF(COUNTIF(SF_Data!C:C,E23)&gt;0,TRUE,FALSE))</f>
        <v/>
      </c>
      <c r="H23" t="str">
        <f t="shared" si="0"/>
        <v/>
      </c>
      <c r="J23" t="str" cm="1">
        <f t="array" ref="J23">IFERROR(INDEX($H$2:$H$1000,SMALL(IF($H$2:$H$1000&lt;&gt;"",ROW($H$2:$H$1000)-1),ROW(22:22))),"")</f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</row>
    <row r="24" spans="7:15" x14ac:dyDescent="0.35">
      <c r="G24" t="str">
        <f>IF(A24="","",IF(COUNTIF(SF_Data!C:C,E24)&gt;0,TRUE,FALSE))</f>
        <v/>
      </c>
      <c r="H24" t="str">
        <f t="shared" si="0"/>
        <v/>
      </c>
      <c r="J24" t="str" cm="1">
        <f t="array" ref="J24">IFERROR(INDEX($H$2:$H$1000,SMALL(IF($H$2:$H$1000&lt;&gt;"",ROW($H$2:$H$1000)-1),ROW(23:23))),"")</f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</row>
    <row r="25" spans="7:15" x14ac:dyDescent="0.35">
      <c r="G25" t="str">
        <f>IF(A25="","",IF(COUNTIF(SF_Data!C:C,E25)&gt;0,TRUE,FALSE))</f>
        <v/>
      </c>
      <c r="H25" t="str">
        <f t="shared" si="0"/>
        <v/>
      </c>
      <c r="J25" t="str" cm="1">
        <f t="array" ref="J25">IFERROR(INDEX($H$2:$H$1000,SMALL(IF($H$2:$H$1000&lt;&gt;"",ROW($H$2:$H$1000)-1),ROW(24:24))),"")</f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</row>
    <row r="26" spans="7:15" x14ac:dyDescent="0.35">
      <c r="G26" t="str">
        <f>IF(A26="","",IF(COUNTIF(SF_Data!C:C,E26)&gt;0,TRUE,FALSE))</f>
        <v/>
      </c>
      <c r="H26" t="str">
        <f t="shared" si="0"/>
        <v/>
      </c>
      <c r="J26" t="str" cm="1">
        <f t="array" ref="J26">IFERROR(INDEX($H$2:$H$1000,SMALL(IF($H$2:$H$1000&lt;&gt;"",ROW($H$2:$H$1000)-1),ROW(25:25))),"")</f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</row>
    <row r="27" spans="7:15" x14ac:dyDescent="0.35">
      <c r="G27" t="str">
        <f>IF(A27="","",IF(COUNTIF(SF_Data!C:C,E27)&gt;0,TRUE,FALSE))</f>
        <v/>
      </c>
      <c r="H27" t="str">
        <f t="shared" si="0"/>
        <v/>
      </c>
      <c r="J27" t="str" cm="1">
        <f t="array" ref="J27">IFERROR(INDEX($H$2:$H$1000,SMALL(IF($H$2:$H$1000&lt;&gt;"",ROW($H$2:$H$1000)-1),ROW(26:26))),"")</f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</row>
    <row r="28" spans="7:15" x14ac:dyDescent="0.35">
      <c r="G28" t="str">
        <f>IF(A28="","",IF(COUNTIF(SF_Data!C:C,E28)&gt;0,TRUE,FALSE))</f>
        <v/>
      </c>
      <c r="H28" t="str">
        <f t="shared" si="0"/>
        <v/>
      </c>
      <c r="J28" t="str" cm="1">
        <f t="array" ref="J28">IFERROR(INDEX($H$2:$H$1000,SMALL(IF($H$2:$H$1000&lt;&gt;"",ROW($H$2:$H$1000)-1),ROW(27:27))),"")</f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</row>
    <row r="29" spans="7:15" x14ac:dyDescent="0.35">
      <c r="G29" t="str">
        <f>IF(A29="","",IF(COUNTIF(SF_Data!C:C,E29)&gt;0,TRUE,FALSE))</f>
        <v/>
      </c>
      <c r="H29" t="str">
        <f t="shared" si="0"/>
        <v/>
      </c>
      <c r="J29" t="str" cm="1">
        <f t="array" ref="J29">IFERROR(INDEX($H$2:$H$1000,SMALL(IF($H$2:$H$1000&lt;&gt;"",ROW($H$2:$H$1000)-1),ROW(28:28))),"")</f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</row>
    <row r="30" spans="7:15" x14ac:dyDescent="0.35">
      <c r="G30" t="str">
        <f>IF(A30="","",IF(COUNTIF(SF_Data!C:C,E30)&gt;0,TRUE,FALSE))</f>
        <v/>
      </c>
      <c r="H30" t="str">
        <f t="shared" si="0"/>
        <v/>
      </c>
      <c r="J30" t="str" cm="1">
        <f t="array" ref="J30">IFERROR(INDEX($H$2:$H$1000,SMALL(IF($H$2:$H$1000&lt;&gt;"",ROW($H$2:$H$1000)-1),ROW(29:29))),"")</f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</row>
    <row r="31" spans="7:15" x14ac:dyDescent="0.35">
      <c r="G31" t="str">
        <f>IF(A31="","",IF(COUNTIF(SF_Data!C:C,E31)&gt;0,TRUE,FALSE))</f>
        <v/>
      </c>
      <c r="H31" t="str">
        <f t="shared" si="0"/>
        <v/>
      </c>
      <c r="J31" t="str" cm="1">
        <f t="array" ref="J31">IFERROR(INDEX($H$2:$H$1000,SMALL(IF($H$2:$H$1000&lt;&gt;"",ROW($H$2:$H$1000)-1),ROW(30:30))),"")</f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</row>
    <row r="32" spans="7:15" x14ac:dyDescent="0.35">
      <c r="G32" t="str">
        <f>IF(A32="","",IF(COUNTIF(SF_Data!C:C,E32)&gt;0,TRUE,FALSE))</f>
        <v/>
      </c>
      <c r="H32" t="str">
        <f t="shared" si="0"/>
        <v/>
      </c>
      <c r="J32" t="str" cm="1">
        <f t="array" ref="J32">IFERROR(INDEX($H$2:$H$1000,SMALL(IF($H$2:$H$1000&lt;&gt;"",ROW($H$2:$H$1000)-1),ROW(31:31))),"")</f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</row>
    <row r="33" spans="7:15" x14ac:dyDescent="0.35">
      <c r="G33" t="str">
        <f>IF(A33="","",IF(COUNTIF(SF_Data!C:C,E33)&gt;0,TRUE,FALSE))</f>
        <v/>
      </c>
      <c r="H33" t="str">
        <f t="shared" si="0"/>
        <v/>
      </c>
      <c r="J33" t="str" cm="1">
        <f t="array" ref="J33">IFERROR(INDEX($H$2:$H$1000,SMALL(IF($H$2:$H$1000&lt;&gt;"",ROW($H$2:$H$1000)-1),ROW(32:32))),"")</f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</row>
    <row r="34" spans="7:15" x14ac:dyDescent="0.35">
      <c r="G34" t="str">
        <f>IF(A34="","",IF(COUNTIF(SF_Data!C:C,E34)&gt;0,TRUE,FALSE))</f>
        <v/>
      </c>
      <c r="H34" t="str">
        <f t="shared" si="0"/>
        <v/>
      </c>
      <c r="J34" t="str" cm="1">
        <f t="array" ref="J34">IFERROR(INDEX($H$2:$H$1000,SMALL(IF($H$2:$H$1000&lt;&gt;"",ROW($H$2:$H$1000)-1),ROW(33:33))),"")</f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</row>
    <row r="35" spans="7:15" x14ac:dyDescent="0.35">
      <c r="G35" t="str">
        <f>IF(A35="","",IF(COUNTIF(SF_Data!C:C,E35)&gt;0,TRUE,FALSE))</f>
        <v/>
      </c>
      <c r="H35" t="str">
        <f t="shared" si="0"/>
        <v/>
      </c>
      <c r="J35" t="str" cm="1">
        <f t="array" ref="J35">IFERROR(INDEX($H$2:$H$1000,SMALL(IF($H$2:$H$1000&lt;&gt;"",ROW($H$2:$H$1000)-1),ROW(34:34))),"")</f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</row>
    <row r="36" spans="7:15" x14ac:dyDescent="0.35">
      <c r="G36" t="str">
        <f>IF(A36="","",IF(COUNTIF(SF_Data!C:C,E36)&gt;0,TRUE,FALSE))</f>
        <v/>
      </c>
      <c r="H36" t="str">
        <f t="shared" si="0"/>
        <v/>
      </c>
      <c r="J36" t="str" cm="1">
        <f t="array" ref="J36">IFERROR(INDEX($H$2:$H$1000,SMALL(IF($H$2:$H$1000&lt;&gt;"",ROW($H$2:$H$1000)-1),ROW(35:35))),"")</f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</row>
    <row r="37" spans="7:15" x14ac:dyDescent="0.35">
      <c r="G37" t="str">
        <f>IF(A37="","",IF(COUNTIF(SF_Data!C:C,E37)&gt;0,TRUE,FALSE))</f>
        <v/>
      </c>
      <c r="H37" t="str">
        <f t="shared" si="0"/>
        <v/>
      </c>
      <c r="J37" t="str" cm="1">
        <f t="array" ref="J37">IFERROR(INDEX($H$2:$H$1000,SMALL(IF($H$2:$H$1000&lt;&gt;"",ROW($H$2:$H$1000)-1),ROW(36:36))),"")</f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</row>
    <row r="38" spans="7:15" x14ac:dyDescent="0.35">
      <c r="G38" t="str">
        <f>IF(A38="","",IF(COUNTIF(SF_Data!C:C,E38)&gt;0,TRUE,FALSE))</f>
        <v/>
      </c>
      <c r="H38" t="str">
        <f t="shared" si="0"/>
        <v/>
      </c>
      <c r="J38" t="str" cm="1">
        <f t="array" ref="J38">IFERROR(INDEX($H$2:$H$1000,SMALL(IF($H$2:$H$1000&lt;&gt;"",ROW($H$2:$H$1000)-1),ROW(37:37))),"")</f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</row>
    <row r="39" spans="7:15" x14ac:dyDescent="0.35">
      <c r="G39" t="str">
        <f>IF(A39="","",IF(COUNTIF(SF_Data!C:C,E39)&gt;0,TRUE,FALSE))</f>
        <v/>
      </c>
      <c r="H39" t="str">
        <f t="shared" si="0"/>
        <v/>
      </c>
      <c r="J39" t="str" cm="1">
        <f t="array" ref="J39">IFERROR(INDEX($H$2:$H$1000,SMALL(IF($H$2:$H$1000&lt;&gt;"",ROW($H$2:$H$1000)-1),ROW(38:38))),"")</f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</row>
    <row r="40" spans="7:15" x14ac:dyDescent="0.35">
      <c r="G40" t="str">
        <f>IF(A40="","",IF(COUNTIF(SF_Data!C:C,E40)&gt;0,TRUE,FALSE))</f>
        <v/>
      </c>
      <c r="H40" t="str">
        <f t="shared" si="0"/>
        <v/>
      </c>
      <c r="J40" t="str" cm="1">
        <f t="array" ref="J40">IFERROR(INDEX($H$2:$H$1000,SMALL(IF($H$2:$H$1000&lt;&gt;"",ROW($H$2:$H$1000)-1),ROW(39:39))),"")</f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</row>
    <row r="41" spans="7:15" x14ac:dyDescent="0.35">
      <c r="G41" t="str">
        <f>IF(A41="","",IF(COUNTIF(SF_Data!C:C,E41)&gt;0,TRUE,FALSE))</f>
        <v/>
      </c>
      <c r="H41" t="str">
        <f t="shared" si="0"/>
        <v/>
      </c>
      <c r="J41" t="str" cm="1">
        <f t="array" ref="J41">IFERROR(INDEX($H$2:$H$1000,SMALL(IF($H$2:$H$1000&lt;&gt;"",ROW($H$2:$H$1000)-1),ROW(40:40))),"")</f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</row>
    <row r="42" spans="7:15" x14ac:dyDescent="0.35">
      <c r="G42" t="str">
        <f>IF(A42="","",IF(COUNTIF(SF_Data!C:C,E42)&gt;0,TRUE,FALSE))</f>
        <v/>
      </c>
      <c r="H42" t="str">
        <f t="shared" si="0"/>
        <v/>
      </c>
      <c r="J42" t="str" cm="1">
        <f t="array" ref="J42">IFERROR(INDEX($H$2:$H$1000,SMALL(IF($H$2:$H$1000&lt;&gt;"",ROW($H$2:$H$1000)-1),ROW(41:41))),"")</f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</row>
    <row r="43" spans="7:15" x14ac:dyDescent="0.35">
      <c r="G43" t="str">
        <f>IF(A43="","",IF(COUNTIF(SF_Data!C:C,E43)&gt;0,TRUE,FALSE))</f>
        <v/>
      </c>
      <c r="H43" t="str">
        <f t="shared" si="0"/>
        <v/>
      </c>
      <c r="J43" t="str" cm="1">
        <f t="array" ref="J43">IFERROR(INDEX($H$2:$H$1000,SMALL(IF($H$2:$H$1000&lt;&gt;"",ROW($H$2:$H$1000)-1),ROW(42:42))),"")</f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</row>
    <row r="44" spans="7:15" x14ac:dyDescent="0.35">
      <c r="G44" t="str">
        <f>IF(A44="","",IF(COUNTIF(SF_Data!C:C,E44)&gt;0,TRUE,FALSE))</f>
        <v/>
      </c>
      <c r="H44" t="str">
        <f t="shared" si="0"/>
        <v/>
      </c>
      <c r="J44" t="str" cm="1">
        <f t="array" ref="J44">IFERROR(INDEX($H$2:$H$1000,SMALL(IF($H$2:$H$1000&lt;&gt;"",ROW($H$2:$H$1000)-1),ROW(43:43))),"")</f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</row>
    <row r="45" spans="7:15" x14ac:dyDescent="0.35">
      <c r="G45" t="str">
        <f>IF(A45="","",IF(COUNTIF(SF_Data!C:C,E45)&gt;0,TRUE,FALSE))</f>
        <v/>
      </c>
      <c r="H45" t="str">
        <f t="shared" si="0"/>
        <v/>
      </c>
      <c r="J45" t="str" cm="1">
        <f t="array" ref="J45">IFERROR(INDEX($H$2:$H$1000,SMALL(IF($H$2:$H$1000&lt;&gt;"",ROW($H$2:$H$1000)-1),ROW(44:44))),"")</f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</row>
    <row r="46" spans="7:15" x14ac:dyDescent="0.35">
      <c r="G46" t="str">
        <f>IF(A46="","",IF(COUNTIF(SF_Data!C:C,E46)&gt;0,TRUE,FALSE))</f>
        <v/>
      </c>
      <c r="H46" t="str">
        <f t="shared" si="0"/>
        <v/>
      </c>
      <c r="J46" t="str" cm="1">
        <f t="array" ref="J46">IFERROR(INDEX($H$2:$H$1000,SMALL(IF($H$2:$H$1000&lt;&gt;"",ROW($H$2:$H$1000)-1),ROW(45:45))),"")</f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</row>
    <row r="47" spans="7:15" x14ac:dyDescent="0.35">
      <c r="G47" t="str">
        <f>IF(A47="","",IF(COUNTIF(SF_Data!C:C,E47)&gt;0,TRUE,FALSE))</f>
        <v/>
      </c>
      <c r="H47" t="str">
        <f t="shared" si="0"/>
        <v/>
      </c>
      <c r="J47" t="str" cm="1">
        <f t="array" ref="J47">IFERROR(INDEX($H$2:$H$1000,SMALL(IF($H$2:$H$1000&lt;&gt;"",ROW($H$2:$H$1000)-1),ROW(46:46))),"")</f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</row>
    <row r="48" spans="7:15" x14ac:dyDescent="0.35">
      <c r="G48" t="str">
        <f>IF(A48="","",IF(COUNTIF(SF_Data!C:C,E48)&gt;0,TRUE,FALSE))</f>
        <v/>
      </c>
      <c r="H48" t="str">
        <f t="shared" si="0"/>
        <v/>
      </c>
      <c r="J48" t="str" cm="1">
        <f t="array" ref="J48">IFERROR(INDEX($H$2:$H$1000,SMALL(IF($H$2:$H$1000&lt;&gt;"",ROW($H$2:$H$1000)-1),ROW(47:47))),"")</f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</row>
    <row r="49" spans="7:15" x14ac:dyDescent="0.35">
      <c r="G49" t="str">
        <f>IF(A49="","",IF(COUNTIF(SF_Data!C:C,E49)&gt;0,TRUE,FALSE))</f>
        <v/>
      </c>
      <c r="H49" t="str">
        <f t="shared" si="0"/>
        <v/>
      </c>
      <c r="J49" t="str" cm="1">
        <f t="array" ref="J49">IFERROR(INDEX($H$2:$H$1000,SMALL(IF($H$2:$H$1000&lt;&gt;"",ROW($H$2:$H$1000)-1),ROW(48:48))),"")</f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</row>
    <row r="50" spans="7:15" x14ac:dyDescent="0.35">
      <c r="G50" t="str">
        <f>IF(A50="","",IF(COUNTIF(SF_Data!C:C,E50)&gt;0,TRUE,FALSE))</f>
        <v/>
      </c>
      <c r="H50" t="str">
        <f t="shared" si="0"/>
        <v/>
      </c>
      <c r="J50" t="str" cm="1">
        <f t="array" ref="J50">IFERROR(INDEX($H$2:$H$1000,SMALL(IF($H$2:$H$1000&lt;&gt;"",ROW($H$2:$H$1000)-1),ROW(49:49))),"")</f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</row>
    <row r="51" spans="7:15" x14ac:dyDescent="0.35">
      <c r="G51" t="str">
        <f>IF(A51="","",IF(COUNTIF(SF_Data!C:C,E51)&gt;0,TRUE,FALSE))</f>
        <v/>
      </c>
      <c r="H51" t="str">
        <f t="shared" si="0"/>
        <v/>
      </c>
      <c r="J51" t="str" cm="1">
        <f t="array" ref="J51">IFERROR(INDEX($H$2:$H$1000,SMALL(IF($H$2:$H$1000&lt;&gt;"",ROW($H$2:$H$1000)-1),ROW(50:50))),"")</f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</row>
    <row r="52" spans="7:15" x14ac:dyDescent="0.35">
      <c r="G52" t="str">
        <f>IF(A52="","",IF(COUNTIF(SF_Data!C:C,E52)&gt;0,TRUE,FALSE))</f>
        <v/>
      </c>
      <c r="H52" t="str">
        <f t="shared" si="0"/>
        <v/>
      </c>
      <c r="J52" t="str" cm="1">
        <f t="array" ref="J52">IFERROR(INDEX($H$2:$H$1000,SMALL(IF($H$2:$H$1000&lt;&gt;"",ROW($H$2:$H$1000)-1),ROW(51:51))),"")</f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</row>
    <row r="53" spans="7:15" x14ac:dyDescent="0.35">
      <c r="G53" t="str">
        <f>IF(A53="","",IF(COUNTIF(SF_Data!C:C,E53)&gt;0,TRUE,FALSE))</f>
        <v/>
      </c>
      <c r="H53" t="str">
        <f t="shared" si="0"/>
        <v/>
      </c>
      <c r="J53" t="str" cm="1">
        <f t="array" ref="J53">IFERROR(INDEX($H$2:$H$1000,SMALL(IF($H$2:$H$1000&lt;&gt;"",ROW($H$2:$H$1000)-1),ROW(52:52))),"")</f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</row>
    <row r="54" spans="7:15" x14ac:dyDescent="0.35">
      <c r="G54" t="str">
        <f>IF(A54="","",IF(COUNTIF(SF_Data!C:C,E54)&gt;0,TRUE,FALSE))</f>
        <v/>
      </c>
      <c r="H54" t="str">
        <f t="shared" si="0"/>
        <v/>
      </c>
      <c r="J54" t="str" cm="1">
        <f t="array" ref="J54">IFERROR(INDEX($H$2:$H$1000,SMALL(IF($H$2:$H$1000&lt;&gt;"",ROW($H$2:$H$1000)-1),ROW(53:53))),"")</f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</row>
    <row r="55" spans="7:15" x14ac:dyDescent="0.35">
      <c r="G55" t="str">
        <f>IF(A55="","",IF(COUNTIF(SF_Data!C:C,E55)&gt;0,TRUE,FALSE))</f>
        <v/>
      </c>
      <c r="H55" t="str">
        <f t="shared" si="0"/>
        <v/>
      </c>
      <c r="J55" t="str" cm="1">
        <f t="array" ref="J55">IFERROR(INDEX($H$2:$H$1000,SMALL(IF($H$2:$H$1000&lt;&gt;"",ROW($H$2:$H$1000)-1),ROW(54:54))),"")</f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</row>
    <row r="56" spans="7:15" x14ac:dyDescent="0.35">
      <c r="G56" t="str">
        <f>IF(A56="","",IF(COUNTIF(SF_Data!C:C,E56)&gt;0,TRUE,FALSE))</f>
        <v/>
      </c>
      <c r="H56" t="str">
        <f t="shared" si="0"/>
        <v/>
      </c>
      <c r="J56" t="str" cm="1">
        <f t="array" ref="J56">IFERROR(INDEX($H$2:$H$1000,SMALL(IF($H$2:$H$1000&lt;&gt;"",ROW($H$2:$H$1000)-1),ROW(55:55))),"")</f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</row>
    <row r="57" spans="7:15" x14ac:dyDescent="0.35">
      <c r="G57" t="str">
        <f>IF(A57="","",IF(COUNTIF(SF_Data!C:C,E57)&gt;0,TRUE,FALSE))</f>
        <v/>
      </c>
      <c r="H57" t="str">
        <f t="shared" si="0"/>
        <v/>
      </c>
      <c r="J57" t="str" cm="1">
        <f t="array" ref="J57">IFERROR(INDEX($H$2:$H$1000,SMALL(IF($H$2:$H$1000&lt;&gt;"",ROW($H$2:$H$1000)-1),ROW(56:56))),"")</f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</row>
    <row r="58" spans="7:15" x14ac:dyDescent="0.35">
      <c r="G58" t="str">
        <f>IF(A58="","",IF(COUNTIF(SF_Data!C:C,E58)&gt;0,TRUE,FALSE))</f>
        <v/>
      </c>
      <c r="H58" t="str">
        <f t="shared" si="0"/>
        <v/>
      </c>
      <c r="J58" t="str" cm="1">
        <f t="array" ref="J58">IFERROR(INDEX($H$2:$H$1000,SMALL(IF($H$2:$H$1000&lt;&gt;"",ROW($H$2:$H$1000)-1),ROW(57:57))),"")</f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</row>
    <row r="59" spans="7:15" x14ac:dyDescent="0.35">
      <c r="G59" t="str">
        <f>IF(A59="","",IF(COUNTIF(SF_Data!C:C,E59)&gt;0,TRUE,FALSE))</f>
        <v/>
      </c>
      <c r="H59" t="str">
        <f t="shared" si="0"/>
        <v/>
      </c>
      <c r="J59" t="str" cm="1">
        <f t="array" ref="J59">IFERROR(INDEX($H$2:$H$1000,SMALL(IF($H$2:$H$1000&lt;&gt;"",ROW($H$2:$H$1000)-1),ROW(58:58))),"")</f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</row>
    <row r="60" spans="7:15" x14ac:dyDescent="0.35">
      <c r="G60" t="str">
        <f>IF(A60="","",IF(COUNTIF(SF_Data!C:C,E60)&gt;0,TRUE,FALSE))</f>
        <v/>
      </c>
      <c r="H60" t="str">
        <f t="shared" si="0"/>
        <v/>
      </c>
      <c r="J60" t="str" cm="1">
        <f t="array" ref="J60">IFERROR(INDEX($H$2:$H$1000,SMALL(IF($H$2:$H$1000&lt;&gt;"",ROW($H$2:$H$1000)-1),ROW(59:59))),"")</f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</row>
    <row r="61" spans="7:15" x14ac:dyDescent="0.35">
      <c r="G61" t="str">
        <f>IF(A61="","",IF(COUNTIF(SF_Data!C:C,E61)&gt;0,TRUE,FALSE))</f>
        <v/>
      </c>
      <c r="H61" t="str">
        <f t="shared" si="0"/>
        <v/>
      </c>
      <c r="J61" t="str" cm="1">
        <f t="array" ref="J61">IFERROR(INDEX($H$2:$H$1000,SMALL(IF($H$2:$H$1000&lt;&gt;"",ROW($H$2:$H$1000)-1),ROW(60:60))),"")</f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</row>
    <row r="62" spans="7:15" x14ac:dyDescent="0.35">
      <c r="G62" t="str">
        <f>IF(A62="","",IF(COUNTIF(SF_Data!C:C,E62)&gt;0,TRUE,FALSE))</f>
        <v/>
      </c>
      <c r="H62" t="str">
        <f t="shared" si="0"/>
        <v/>
      </c>
      <c r="J62" t="str" cm="1">
        <f t="array" ref="J62">IFERROR(INDEX($H$2:$H$1000,SMALL(IF($H$2:$H$1000&lt;&gt;"",ROW($H$2:$H$1000)-1),ROW(61:61))),"")</f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</row>
    <row r="63" spans="7:15" x14ac:dyDescent="0.35">
      <c r="G63" t="str">
        <f>IF(A63="","",IF(COUNTIF(SF_Data!C:C,E63)&gt;0,TRUE,FALSE))</f>
        <v/>
      </c>
      <c r="H63" t="str">
        <f t="shared" si="0"/>
        <v/>
      </c>
      <c r="J63" t="str" cm="1">
        <f t="array" ref="J63">IFERROR(INDEX($H$2:$H$1000,SMALL(IF($H$2:$H$1000&lt;&gt;"",ROW($H$2:$H$1000)-1),ROW(62:62))),"")</f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</row>
    <row r="64" spans="7:15" x14ac:dyDescent="0.35">
      <c r="G64" t="str">
        <f>IF(A64="","",IF(COUNTIF(SF_Data!C:C,E64)&gt;0,TRUE,FALSE))</f>
        <v/>
      </c>
      <c r="H64" t="str">
        <f t="shared" si="0"/>
        <v/>
      </c>
      <c r="J64" t="str" cm="1">
        <f t="array" ref="J64">IFERROR(INDEX($H$2:$H$1000,SMALL(IF($H$2:$H$1000&lt;&gt;"",ROW($H$2:$H$1000)-1),ROW(63:63))),"")</f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</row>
    <row r="65" spans="7:15" x14ac:dyDescent="0.35">
      <c r="G65" t="str">
        <f>IF(A65="","",IF(COUNTIF(SF_Data!C:C,E65)&gt;0,TRUE,FALSE))</f>
        <v/>
      </c>
      <c r="H65" t="str">
        <f t="shared" si="0"/>
        <v/>
      </c>
      <c r="J65" t="str" cm="1">
        <f t="array" ref="J65">IFERROR(INDEX($H$2:$H$1000,SMALL(IF($H$2:$H$1000&lt;&gt;"",ROW($H$2:$H$1000)-1),ROW(64:64))),"")</f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</row>
    <row r="66" spans="7:15" x14ac:dyDescent="0.35">
      <c r="G66" t="str">
        <f>IF(A66="","",IF(COUNTIF(SF_Data!C:C,E66)&gt;0,TRUE,FALSE))</f>
        <v/>
      </c>
      <c r="H66" t="str">
        <f t="shared" si="0"/>
        <v/>
      </c>
      <c r="J66" t="str" cm="1">
        <f t="array" ref="J66">IFERROR(INDEX($H$2:$H$1000,SMALL(IF($H$2:$H$1000&lt;&gt;"",ROW($H$2:$H$1000)-1),ROW(65:65))),"")</f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</row>
    <row r="67" spans="7:15" x14ac:dyDescent="0.35">
      <c r="G67" t="str">
        <f>IF(A67="","",IF(COUNTIF(SF_Data!C:C,E67)&gt;0,TRUE,FALSE))</f>
        <v/>
      </c>
      <c r="H67" t="str">
        <f t="shared" ref="H67:H130" si="6">IF(G67=TRUE,A67,"")</f>
        <v/>
      </c>
      <c r="J67" t="str" cm="1">
        <f t="array" ref="J67">IFERROR(INDEX($H$2:$H$1000,SMALL(IF($H$2:$H$1000&lt;&gt;"",ROW($H$2:$H$1000)-1),ROW(66:66))),"")</f>
        <v/>
      </c>
      <c r="K67" t="str">
        <f t="shared" ref="K67:K100" si="7">IF(J67="","",INDEX(B:B,MATCH(J67,A:A,0)))</f>
        <v/>
      </c>
      <c r="L67" t="str">
        <f t="shared" ref="L67:L100" si="8">IF(J67="","",INDEX(C:C,MATCH(J67,A:A,0)))</f>
        <v/>
      </c>
      <c r="M67" t="str">
        <f t="shared" ref="M67:M99" si="9">IF(J67="","",INDEX(D:D,MATCH(J67,A:A,0)))</f>
        <v/>
      </c>
      <c r="N67" t="str">
        <f t="shared" ref="N67:N100" si="10">IF(J67="","",INDEX(E:E,MATCH(J67,A:A,0)))</f>
        <v/>
      </c>
      <c r="O67" t="str">
        <f t="shared" ref="O67:O100" si="11">IF(J67="","",INDEX(F:F,MATCH(J67,A:A,0)))</f>
        <v/>
      </c>
    </row>
    <row r="68" spans="7:15" x14ac:dyDescent="0.35">
      <c r="G68" t="str">
        <f>IF(A68="","",IF(COUNTIF(SF_Data!C:C,E68)&gt;0,TRUE,FALSE))</f>
        <v/>
      </c>
      <c r="H68" t="str">
        <f t="shared" si="6"/>
        <v/>
      </c>
      <c r="J68" t="str" cm="1">
        <f t="array" ref="J68">IFERROR(INDEX($H$2:$H$1000,SMALL(IF($H$2:$H$1000&lt;&gt;"",ROW($H$2:$H$1000)-1),ROW(67:67))),"")</f>
        <v/>
      </c>
      <c r="K68" t="str">
        <f t="shared" si="7"/>
        <v/>
      </c>
      <c r="L68" t="str">
        <f t="shared" si="8"/>
        <v/>
      </c>
      <c r="M68" t="str">
        <f t="shared" si="9"/>
        <v/>
      </c>
      <c r="N68" t="str">
        <f t="shared" si="10"/>
        <v/>
      </c>
      <c r="O68" t="str">
        <f t="shared" si="11"/>
        <v/>
      </c>
    </row>
    <row r="69" spans="7:15" x14ac:dyDescent="0.35">
      <c r="G69" t="str">
        <f>IF(A69="","",IF(COUNTIF(SF_Data!C:C,E69)&gt;0,TRUE,FALSE))</f>
        <v/>
      </c>
      <c r="H69" t="str">
        <f t="shared" si="6"/>
        <v/>
      </c>
      <c r="J69" t="str" cm="1">
        <f t="array" ref="J69">IFERROR(INDEX($H$2:$H$1000,SMALL(IF($H$2:$H$1000&lt;&gt;"",ROW($H$2:$H$1000)-1),ROW(68:68))),"")</f>
        <v/>
      </c>
      <c r="K69" t="str">
        <f t="shared" si="7"/>
        <v/>
      </c>
      <c r="L69" t="str">
        <f t="shared" si="8"/>
        <v/>
      </c>
      <c r="M69" t="str">
        <f t="shared" si="9"/>
        <v/>
      </c>
      <c r="N69" t="str">
        <f t="shared" si="10"/>
        <v/>
      </c>
      <c r="O69" t="str">
        <f t="shared" si="11"/>
        <v/>
      </c>
    </row>
    <row r="70" spans="7:15" x14ac:dyDescent="0.35">
      <c r="G70" t="str">
        <f>IF(A70="","",IF(COUNTIF(SF_Data!C:C,E70)&gt;0,TRUE,FALSE))</f>
        <v/>
      </c>
      <c r="H70" t="str">
        <f t="shared" si="6"/>
        <v/>
      </c>
      <c r="J70" t="str" cm="1">
        <f t="array" ref="J70">IFERROR(INDEX($H$2:$H$1000,SMALL(IF($H$2:$H$1000&lt;&gt;"",ROW($H$2:$H$1000)-1),ROW(69:69))),"")</f>
        <v/>
      </c>
      <c r="K70" t="str">
        <f t="shared" si="7"/>
        <v/>
      </c>
      <c r="L70" t="str">
        <f t="shared" si="8"/>
        <v/>
      </c>
      <c r="M70" t="str">
        <f t="shared" si="9"/>
        <v/>
      </c>
      <c r="N70" t="str">
        <f t="shared" si="10"/>
        <v/>
      </c>
      <c r="O70" t="str">
        <f t="shared" si="11"/>
        <v/>
      </c>
    </row>
    <row r="71" spans="7:15" x14ac:dyDescent="0.35">
      <c r="G71" t="str">
        <f>IF(A71="","",IF(COUNTIF(SF_Data!C:C,E71)&gt;0,TRUE,FALSE))</f>
        <v/>
      </c>
      <c r="H71" t="str">
        <f t="shared" si="6"/>
        <v/>
      </c>
      <c r="J71" t="str" cm="1">
        <f t="array" ref="J71">IFERROR(INDEX($H$2:$H$1000,SMALL(IF($H$2:$H$1000&lt;&gt;"",ROW($H$2:$H$1000)-1),ROW(70:70))),"")</f>
        <v/>
      </c>
      <c r="K71" t="str">
        <f t="shared" si="7"/>
        <v/>
      </c>
      <c r="L71" t="str">
        <f t="shared" si="8"/>
        <v/>
      </c>
      <c r="M71" t="str">
        <f t="shared" si="9"/>
        <v/>
      </c>
      <c r="N71" t="str">
        <f t="shared" si="10"/>
        <v/>
      </c>
      <c r="O71" t="str">
        <f t="shared" si="11"/>
        <v/>
      </c>
    </row>
    <row r="72" spans="7:15" x14ac:dyDescent="0.35">
      <c r="G72" t="str">
        <f>IF(A72="","",IF(COUNTIF(SF_Data!C:C,E72)&gt;0,TRUE,FALSE))</f>
        <v/>
      </c>
      <c r="H72" t="str">
        <f t="shared" si="6"/>
        <v/>
      </c>
      <c r="J72" t="str" cm="1">
        <f t="array" ref="J72">IFERROR(INDEX($H$2:$H$1000,SMALL(IF($H$2:$H$1000&lt;&gt;"",ROW($H$2:$H$1000)-1),ROW(71:71))),"")</f>
        <v/>
      </c>
      <c r="K72" t="str">
        <f t="shared" si="7"/>
        <v/>
      </c>
      <c r="L72" t="str">
        <f t="shared" si="8"/>
        <v/>
      </c>
      <c r="M72" t="str">
        <f t="shared" si="9"/>
        <v/>
      </c>
      <c r="N72" t="str">
        <f t="shared" si="10"/>
        <v/>
      </c>
      <c r="O72" t="str">
        <f t="shared" si="11"/>
        <v/>
      </c>
    </row>
    <row r="73" spans="7:15" x14ac:dyDescent="0.35">
      <c r="G73" t="str">
        <f>IF(A73="","",IF(COUNTIF(SF_Data!C:C,E73)&gt;0,TRUE,FALSE))</f>
        <v/>
      </c>
      <c r="H73" t="str">
        <f t="shared" si="6"/>
        <v/>
      </c>
      <c r="J73" t="str" cm="1">
        <f t="array" ref="J73">IFERROR(INDEX($H$2:$H$1000,SMALL(IF($H$2:$H$1000&lt;&gt;"",ROW($H$2:$H$1000)-1),ROW(72:72))),"")</f>
        <v/>
      </c>
      <c r="K73" t="str">
        <f t="shared" si="7"/>
        <v/>
      </c>
      <c r="L73" t="str">
        <f t="shared" si="8"/>
        <v/>
      </c>
      <c r="M73" t="str">
        <f t="shared" si="9"/>
        <v/>
      </c>
      <c r="N73" t="str">
        <f t="shared" si="10"/>
        <v/>
      </c>
      <c r="O73" t="str">
        <f t="shared" si="11"/>
        <v/>
      </c>
    </row>
    <row r="74" spans="7:15" x14ac:dyDescent="0.35">
      <c r="G74" t="str">
        <f>IF(A74="","",IF(COUNTIF(SF_Data!C:C,E74)&gt;0,TRUE,FALSE))</f>
        <v/>
      </c>
      <c r="H74" t="str">
        <f t="shared" si="6"/>
        <v/>
      </c>
      <c r="J74" t="str" cm="1">
        <f t="array" ref="J74">IFERROR(INDEX($H$2:$H$1000,SMALL(IF($H$2:$H$1000&lt;&gt;"",ROW($H$2:$H$1000)-1),ROW(73:73))),"")</f>
        <v/>
      </c>
      <c r="K74" t="str">
        <f t="shared" si="7"/>
        <v/>
      </c>
      <c r="L74" t="str">
        <f t="shared" si="8"/>
        <v/>
      </c>
      <c r="M74" t="str">
        <f t="shared" si="9"/>
        <v/>
      </c>
      <c r="N74" t="str">
        <f t="shared" si="10"/>
        <v/>
      </c>
      <c r="O74" t="str">
        <f t="shared" si="11"/>
        <v/>
      </c>
    </row>
    <row r="75" spans="7:15" x14ac:dyDescent="0.35">
      <c r="G75" t="str">
        <f>IF(A75="","",IF(COUNTIF(SF_Data!C:C,E75)&gt;0,TRUE,FALSE))</f>
        <v/>
      </c>
      <c r="H75" t="str">
        <f t="shared" si="6"/>
        <v/>
      </c>
      <c r="J75" t="str" cm="1">
        <f t="array" ref="J75">IFERROR(INDEX($H$2:$H$1000,SMALL(IF($H$2:$H$1000&lt;&gt;"",ROW($H$2:$H$1000)-1),ROW(74:74))),"")</f>
        <v/>
      </c>
      <c r="K75" t="str">
        <f t="shared" si="7"/>
        <v/>
      </c>
      <c r="L75" t="str">
        <f t="shared" si="8"/>
        <v/>
      </c>
      <c r="M75" t="str">
        <f t="shared" si="9"/>
        <v/>
      </c>
      <c r="N75" t="str">
        <f t="shared" si="10"/>
        <v/>
      </c>
      <c r="O75" t="str">
        <f t="shared" si="11"/>
        <v/>
      </c>
    </row>
    <row r="76" spans="7:15" x14ac:dyDescent="0.35">
      <c r="G76" t="str">
        <f>IF(A76="","",IF(COUNTIF(SF_Data!C:C,E76)&gt;0,TRUE,FALSE))</f>
        <v/>
      </c>
      <c r="H76" t="str">
        <f t="shared" si="6"/>
        <v/>
      </c>
      <c r="J76" t="str" cm="1">
        <f t="array" ref="J76">IFERROR(INDEX($H$2:$H$1000,SMALL(IF($H$2:$H$1000&lt;&gt;"",ROW($H$2:$H$1000)-1),ROW(75:75))),"")</f>
        <v/>
      </c>
      <c r="K76" t="str">
        <f t="shared" si="7"/>
        <v/>
      </c>
      <c r="L76" t="str">
        <f t="shared" si="8"/>
        <v/>
      </c>
      <c r="M76" t="str">
        <f t="shared" si="9"/>
        <v/>
      </c>
      <c r="N76" t="str">
        <f t="shared" si="10"/>
        <v/>
      </c>
      <c r="O76" t="str">
        <f t="shared" si="11"/>
        <v/>
      </c>
    </row>
    <row r="77" spans="7:15" x14ac:dyDescent="0.35">
      <c r="G77" t="str">
        <f>IF(A77="","",IF(COUNTIF(SF_Data!C:C,E77)&gt;0,TRUE,FALSE))</f>
        <v/>
      </c>
      <c r="H77" t="str">
        <f t="shared" si="6"/>
        <v/>
      </c>
      <c r="J77" t="str" cm="1">
        <f t="array" ref="J77">IFERROR(INDEX($H$2:$H$1000,SMALL(IF($H$2:$H$1000&lt;&gt;"",ROW($H$2:$H$1000)-1),ROW(76:76))),"")</f>
        <v/>
      </c>
      <c r="K77" t="str">
        <f t="shared" si="7"/>
        <v/>
      </c>
      <c r="L77" t="str">
        <f t="shared" si="8"/>
        <v/>
      </c>
      <c r="M77" t="str">
        <f t="shared" si="9"/>
        <v/>
      </c>
      <c r="N77" t="str">
        <f t="shared" si="10"/>
        <v/>
      </c>
      <c r="O77" t="str">
        <f t="shared" si="11"/>
        <v/>
      </c>
    </row>
    <row r="78" spans="7:15" x14ac:dyDescent="0.35">
      <c r="G78" t="str">
        <f>IF(A78="","",IF(COUNTIF(SF_Data!C:C,E78)&gt;0,TRUE,FALSE))</f>
        <v/>
      </c>
      <c r="H78" t="str">
        <f t="shared" si="6"/>
        <v/>
      </c>
      <c r="J78" t="str" cm="1">
        <f t="array" ref="J78">IFERROR(INDEX($H$2:$H$1000,SMALL(IF($H$2:$H$1000&lt;&gt;"",ROW($H$2:$H$1000)-1),ROW(77:77))),"")</f>
        <v/>
      </c>
      <c r="K78" t="str">
        <f t="shared" si="7"/>
        <v/>
      </c>
      <c r="L78" t="str">
        <f t="shared" si="8"/>
        <v/>
      </c>
      <c r="M78" t="str">
        <f t="shared" si="9"/>
        <v/>
      </c>
      <c r="N78" t="str">
        <f t="shared" si="10"/>
        <v/>
      </c>
      <c r="O78" t="str">
        <f t="shared" si="11"/>
        <v/>
      </c>
    </row>
    <row r="79" spans="7:15" x14ac:dyDescent="0.35">
      <c r="G79" t="str">
        <f>IF(A79="","",IF(COUNTIF(SF_Data!C:C,E79)&gt;0,TRUE,FALSE))</f>
        <v/>
      </c>
      <c r="H79" t="str">
        <f t="shared" si="6"/>
        <v/>
      </c>
      <c r="J79" t="str" cm="1">
        <f t="array" ref="J79">IFERROR(INDEX($H$2:$H$1000,SMALL(IF($H$2:$H$1000&lt;&gt;"",ROW($H$2:$H$1000)-1),ROW(78:78))),"")</f>
        <v/>
      </c>
      <c r="K79" t="str">
        <f t="shared" si="7"/>
        <v/>
      </c>
      <c r="L79" t="str">
        <f t="shared" si="8"/>
        <v/>
      </c>
      <c r="M79" t="str">
        <f t="shared" si="9"/>
        <v/>
      </c>
      <c r="N79" t="str">
        <f t="shared" si="10"/>
        <v/>
      </c>
      <c r="O79" t="str">
        <f t="shared" si="11"/>
        <v/>
      </c>
    </row>
    <row r="80" spans="7:15" x14ac:dyDescent="0.35">
      <c r="G80" t="str">
        <f>IF(A80="","",IF(COUNTIF(SF_Data!C:C,E80)&gt;0,TRUE,FALSE))</f>
        <v/>
      </c>
      <c r="H80" t="str">
        <f t="shared" si="6"/>
        <v/>
      </c>
      <c r="J80" t="str" cm="1">
        <f t="array" ref="J80">IFERROR(INDEX($H$2:$H$1000,SMALL(IF($H$2:$H$1000&lt;&gt;"",ROW($H$2:$H$1000)-1),ROW(79:79))),"")</f>
        <v/>
      </c>
      <c r="K80" t="str">
        <f t="shared" si="7"/>
        <v/>
      </c>
      <c r="L80" t="str">
        <f t="shared" si="8"/>
        <v/>
      </c>
      <c r="M80" t="str">
        <f t="shared" si="9"/>
        <v/>
      </c>
      <c r="N80" t="str">
        <f t="shared" si="10"/>
        <v/>
      </c>
      <c r="O80" t="str">
        <f t="shared" si="11"/>
        <v/>
      </c>
    </row>
    <row r="81" spans="7:15" x14ac:dyDescent="0.35">
      <c r="G81" t="str">
        <f>IF(A81="","",IF(COUNTIF(SF_Data!C:C,E81)&gt;0,TRUE,FALSE))</f>
        <v/>
      </c>
      <c r="H81" t="str">
        <f t="shared" si="6"/>
        <v/>
      </c>
      <c r="J81" t="str" cm="1">
        <f t="array" ref="J81">IFERROR(INDEX($H$2:$H$1000,SMALL(IF($H$2:$H$1000&lt;&gt;"",ROW($H$2:$H$1000)-1),ROW(80:80))),"")</f>
        <v/>
      </c>
      <c r="K81" t="str">
        <f t="shared" si="7"/>
        <v/>
      </c>
      <c r="L81" t="str">
        <f t="shared" si="8"/>
        <v/>
      </c>
      <c r="M81" t="str">
        <f t="shared" si="9"/>
        <v/>
      </c>
      <c r="N81" t="str">
        <f t="shared" si="10"/>
        <v/>
      </c>
      <c r="O81" t="str">
        <f t="shared" si="11"/>
        <v/>
      </c>
    </row>
    <row r="82" spans="7:15" x14ac:dyDescent="0.35">
      <c r="G82" t="str">
        <f>IF(A82="","",IF(COUNTIF(SF_Data!C:C,E82)&gt;0,TRUE,FALSE))</f>
        <v/>
      </c>
      <c r="H82" t="str">
        <f t="shared" si="6"/>
        <v/>
      </c>
      <c r="J82" t="str" cm="1">
        <f t="array" ref="J82">IFERROR(INDEX($H$2:$H$1000,SMALL(IF($H$2:$H$1000&lt;&gt;"",ROW($H$2:$H$1000)-1),ROW(81:81))),"")</f>
        <v/>
      </c>
      <c r="K82" t="str">
        <f t="shared" si="7"/>
        <v/>
      </c>
      <c r="L82" t="str">
        <f t="shared" si="8"/>
        <v/>
      </c>
      <c r="M82" t="str">
        <f t="shared" si="9"/>
        <v/>
      </c>
      <c r="N82" t="str">
        <f t="shared" si="10"/>
        <v/>
      </c>
      <c r="O82" t="str">
        <f t="shared" si="11"/>
        <v/>
      </c>
    </row>
    <row r="83" spans="7:15" x14ac:dyDescent="0.35">
      <c r="G83" t="str">
        <f>IF(A83="","",IF(COUNTIF(SF_Data!C:C,E83)&gt;0,TRUE,FALSE))</f>
        <v/>
      </c>
      <c r="H83" t="str">
        <f t="shared" si="6"/>
        <v/>
      </c>
      <c r="J83" t="str" cm="1">
        <f t="array" ref="J83">IFERROR(INDEX($H$2:$H$1000,SMALL(IF($H$2:$H$1000&lt;&gt;"",ROW($H$2:$H$1000)-1),ROW(82:82))),"")</f>
        <v/>
      </c>
      <c r="K83" t="str">
        <f t="shared" si="7"/>
        <v/>
      </c>
      <c r="L83" t="str">
        <f t="shared" si="8"/>
        <v/>
      </c>
      <c r="M83" t="str">
        <f t="shared" si="9"/>
        <v/>
      </c>
      <c r="N83" t="str">
        <f t="shared" si="10"/>
        <v/>
      </c>
      <c r="O83" t="str">
        <f t="shared" si="11"/>
        <v/>
      </c>
    </row>
    <row r="84" spans="7:15" x14ac:dyDescent="0.35">
      <c r="G84" t="str">
        <f>IF(A84="","",IF(COUNTIF(SF_Data!C:C,E84)&gt;0,TRUE,FALSE))</f>
        <v/>
      </c>
      <c r="H84" t="str">
        <f t="shared" si="6"/>
        <v/>
      </c>
      <c r="J84" t="str" cm="1">
        <f t="array" ref="J84">IFERROR(INDEX($H$2:$H$1000,SMALL(IF($H$2:$H$1000&lt;&gt;"",ROW($H$2:$H$1000)-1),ROW(83:83))),"")</f>
        <v/>
      </c>
      <c r="K84" t="str">
        <f t="shared" si="7"/>
        <v/>
      </c>
      <c r="L84" t="str">
        <f t="shared" si="8"/>
        <v/>
      </c>
      <c r="M84" t="str">
        <f t="shared" si="9"/>
        <v/>
      </c>
      <c r="N84" t="str">
        <f t="shared" si="10"/>
        <v/>
      </c>
      <c r="O84" t="str">
        <f t="shared" si="11"/>
        <v/>
      </c>
    </row>
    <row r="85" spans="7:15" x14ac:dyDescent="0.35">
      <c r="G85" t="str">
        <f>IF(A85="","",IF(COUNTIF(SF_Data!C:C,E85)&gt;0,TRUE,FALSE))</f>
        <v/>
      </c>
      <c r="H85" t="str">
        <f t="shared" si="6"/>
        <v/>
      </c>
      <c r="J85" t="str" cm="1">
        <f t="array" ref="J85">IFERROR(INDEX($H$2:$H$1000,SMALL(IF($H$2:$H$1000&lt;&gt;"",ROW($H$2:$H$1000)-1),ROW(84:84))),"")</f>
        <v/>
      </c>
      <c r="K85" t="str">
        <f t="shared" si="7"/>
        <v/>
      </c>
      <c r="L85" t="str">
        <f t="shared" si="8"/>
        <v/>
      </c>
      <c r="M85" t="str">
        <f t="shared" si="9"/>
        <v/>
      </c>
      <c r="N85" t="str">
        <f t="shared" si="10"/>
        <v/>
      </c>
      <c r="O85" t="str">
        <f t="shared" si="11"/>
        <v/>
      </c>
    </row>
    <row r="86" spans="7:15" x14ac:dyDescent="0.35">
      <c r="G86" t="str">
        <f>IF(A86="","",IF(COUNTIF(SF_Data!C:C,E86)&gt;0,TRUE,FALSE))</f>
        <v/>
      </c>
      <c r="H86" t="str">
        <f t="shared" si="6"/>
        <v/>
      </c>
      <c r="J86" t="str" cm="1">
        <f t="array" ref="J86">IFERROR(INDEX($H$2:$H$1000,SMALL(IF($H$2:$H$1000&lt;&gt;"",ROW($H$2:$H$1000)-1),ROW(85:85))),"")</f>
        <v/>
      </c>
      <c r="K86" t="str">
        <f t="shared" si="7"/>
        <v/>
      </c>
      <c r="L86" t="str">
        <f t="shared" si="8"/>
        <v/>
      </c>
      <c r="M86" t="str">
        <f t="shared" si="9"/>
        <v/>
      </c>
      <c r="N86" t="str">
        <f t="shared" si="10"/>
        <v/>
      </c>
      <c r="O86" t="str">
        <f t="shared" si="11"/>
        <v/>
      </c>
    </row>
    <row r="87" spans="7:15" x14ac:dyDescent="0.35">
      <c r="G87" t="str">
        <f>IF(A87="","",IF(COUNTIF(SF_Data!C:C,E87)&gt;0,TRUE,FALSE))</f>
        <v/>
      </c>
      <c r="H87" t="str">
        <f t="shared" si="6"/>
        <v/>
      </c>
      <c r="J87" t="str" cm="1">
        <f t="array" ref="J87">IFERROR(INDEX($H$2:$H$1000,SMALL(IF($H$2:$H$1000&lt;&gt;"",ROW($H$2:$H$1000)-1),ROW(86:86))),"")</f>
        <v/>
      </c>
      <c r="K87" t="str">
        <f t="shared" si="7"/>
        <v/>
      </c>
      <c r="L87" t="str">
        <f t="shared" si="8"/>
        <v/>
      </c>
      <c r="M87" t="str">
        <f t="shared" si="9"/>
        <v/>
      </c>
      <c r="N87" t="str">
        <f t="shared" si="10"/>
        <v/>
      </c>
      <c r="O87" t="str">
        <f t="shared" si="11"/>
        <v/>
      </c>
    </row>
    <row r="88" spans="7:15" x14ac:dyDescent="0.35">
      <c r="G88" t="str">
        <f>IF(A88="","",IF(COUNTIF(SF_Data!C:C,E88)&gt;0,TRUE,FALSE))</f>
        <v/>
      </c>
      <c r="H88" t="str">
        <f t="shared" si="6"/>
        <v/>
      </c>
      <c r="J88" t="str" cm="1">
        <f t="array" ref="J88">IFERROR(INDEX($H$2:$H$1000,SMALL(IF($H$2:$H$1000&lt;&gt;"",ROW($H$2:$H$1000)-1),ROW(87:87))),"")</f>
        <v/>
      </c>
      <c r="K88" t="str">
        <f t="shared" si="7"/>
        <v/>
      </c>
      <c r="L88" t="str">
        <f t="shared" si="8"/>
        <v/>
      </c>
      <c r="M88" t="str">
        <f t="shared" si="9"/>
        <v/>
      </c>
      <c r="N88" t="str">
        <f t="shared" si="10"/>
        <v/>
      </c>
      <c r="O88" t="str">
        <f t="shared" si="11"/>
        <v/>
      </c>
    </row>
    <row r="89" spans="7:15" x14ac:dyDescent="0.35">
      <c r="G89" t="str">
        <f>IF(A89="","",IF(COUNTIF(SF_Data!C:C,E89)&gt;0,TRUE,FALSE))</f>
        <v/>
      </c>
      <c r="H89" t="str">
        <f t="shared" si="6"/>
        <v/>
      </c>
      <c r="J89" t="str" cm="1">
        <f t="array" ref="J89">IFERROR(INDEX($H$2:$H$1000,SMALL(IF($H$2:$H$1000&lt;&gt;"",ROW($H$2:$H$1000)-1),ROW(88:88))),"")</f>
        <v/>
      </c>
      <c r="K89" t="str">
        <f t="shared" si="7"/>
        <v/>
      </c>
      <c r="L89" t="str">
        <f t="shared" si="8"/>
        <v/>
      </c>
      <c r="M89" t="str">
        <f t="shared" si="9"/>
        <v/>
      </c>
      <c r="N89" t="str">
        <f t="shared" si="10"/>
        <v/>
      </c>
      <c r="O89" t="str">
        <f t="shared" si="11"/>
        <v/>
      </c>
    </row>
    <row r="90" spans="7:15" x14ac:dyDescent="0.35">
      <c r="G90" t="str">
        <f>IF(A90="","",IF(COUNTIF(SF_Data!C:C,E90)&gt;0,TRUE,FALSE))</f>
        <v/>
      </c>
      <c r="H90" t="str">
        <f t="shared" si="6"/>
        <v/>
      </c>
      <c r="J90" t="str" cm="1">
        <f t="array" ref="J90">IFERROR(INDEX($H$2:$H$1000,SMALL(IF($H$2:$H$1000&lt;&gt;"",ROW($H$2:$H$1000)-1),ROW(89:89))),"")</f>
        <v/>
      </c>
      <c r="K90" t="str">
        <f t="shared" si="7"/>
        <v/>
      </c>
      <c r="L90" t="str">
        <f t="shared" si="8"/>
        <v/>
      </c>
      <c r="M90" t="str">
        <f t="shared" si="9"/>
        <v/>
      </c>
      <c r="N90" t="str">
        <f t="shared" si="10"/>
        <v/>
      </c>
      <c r="O90" t="str">
        <f t="shared" si="11"/>
        <v/>
      </c>
    </row>
    <row r="91" spans="7:15" x14ac:dyDescent="0.35">
      <c r="G91" t="str">
        <f>IF(A91="","",IF(COUNTIF(SF_Data!C:C,E91)&gt;0,TRUE,FALSE))</f>
        <v/>
      </c>
      <c r="H91" t="str">
        <f t="shared" si="6"/>
        <v/>
      </c>
      <c r="J91" t="str" cm="1">
        <f t="array" ref="J91">IFERROR(INDEX($H$2:$H$1000,SMALL(IF($H$2:$H$1000&lt;&gt;"",ROW($H$2:$H$1000)-1),ROW(90:90))),"")</f>
        <v/>
      </c>
      <c r="K91" t="str">
        <f t="shared" si="7"/>
        <v/>
      </c>
      <c r="L91" t="str">
        <f t="shared" si="8"/>
        <v/>
      </c>
      <c r="M91" t="str">
        <f t="shared" si="9"/>
        <v/>
      </c>
      <c r="N91" t="str">
        <f t="shared" si="10"/>
        <v/>
      </c>
      <c r="O91" t="str">
        <f t="shared" si="11"/>
        <v/>
      </c>
    </row>
    <row r="92" spans="7:15" x14ac:dyDescent="0.35">
      <c r="G92" t="str">
        <f>IF(A92="","",IF(COUNTIF(SF_Data!C:C,E92)&gt;0,TRUE,FALSE))</f>
        <v/>
      </c>
      <c r="H92" t="str">
        <f t="shared" si="6"/>
        <v/>
      </c>
      <c r="J92" t="str" cm="1">
        <f t="array" ref="J92">IFERROR(INDEX($H$2:$H$1000,SMALL(IF($H$2:$H$1000&lt;&gt;"",ROW($H$2:$H$1000)-1),ROW(91:91))),"")</f>
        <v/>
      </c>
      <c r="K92" t="str">
        <f t="shared" si="7"/>
        <v/>
      </c>
      <c r="L92" t="str">
        <f t="shared" si="8"/>
        <v/>
      </c>
      <c r="M92" t="str">
        <f t="shared" si="9"/>
        <v/>
      </c>
      <c r="N92" t="str">
        <f t="shared" si="10"/>
        <v/>
      </c>
      <c r="O92" t="str">
        <f t="shared" si="11"/>
        <v/>
      </c>
    </row>
    <row r="93" spans="7:15" x14ac:dyDescent="0.35">
      <c r="G93" t="str">
        <f>IF(A93="","",IF(COUNTIF(SF_Data!C:C,E93)&gt;0,TRUE,FALSE))</f>
        <v/>
      </c>
      <c r="H93" t="str">
        <f t="shared" si="6"/>
        <v/>
      </c>
      <c r="J93" t="str" cm="1">
        <f t="array" ref="J93">IFERROR(INDEX($H$2:$H$1000,SMALL(IF($H$2:$H$1000&lt;&gt;"",ROW($H$2:$H$1000)-1),ROW(92:92))),"")</f>
        <v/>
      </c>
      <c r="K93" t="str">
        <f t="shared" si="7"/>
        <v/>
      </c>
      <c r="L93" t="str">
        <f t="shared" si="8"/>
        <v/>
      </c>
      <c r="M93" t="str">
        <f t="shared" si="9"/>
        <v/>
      </c>
      <c r="N93" t="str">
        <f t="shared" si="10"/>
        <v/>
      </c>
      <c r="O93" t="str">
        <f t="shared" si="11"/>
        <v/>
      </c>
    </row>
    <row r="94" spans="7:15" x14ac:dyDescent="0.35">
      <c r="G94" t="str">
        <f>IF(A94="","",IF(COUNTIF(SF_Data!C:C,E94)&gt;0,TRUE,FALSE))</f>
        <v/>
      </c>
      <c r="H94" t="str">
        <f t="shared" si="6"/>
        <v/>
      </c>
      <c r="J94" t="str" cm="1">
        <f t="array" ref="J94">IFERROR(INDEX($H$2:$H$1000,SMALL(IF($H$2:$H$1000&lt;&gt;"",ROW($H$2:$H$1000)-1),ROW(93:93))),"")</f>
        <v/>
      </c>
      <c r="K94" t="str">
        <f t="shared" si="7"/>
        <v/>
      </c>
      <c r="L94" t="str">
        <f t="shared" si="8"/>
        <v/>
      </c>
      <c r="M94" t="str">
        <f t="shared" si="9"/>
        <v/>
      </c>
      <c r="N94" t="str">
        <f t="shared" si="10"/>
        <v/>
      </c>
      <c r="O94" t="str">
        <f t="shared" si="11"/>
        <v/>
      </c>
    </row>
    <row r="95" spans="7:15" x14ac:dyDescent="0.35">
      <c r="G95" t="str">
        <f>IF(A95="","",IF(COUNTIF(SF_Data!C:C,E95)&gt;0,TRUE,FALSE))</f>
        <v/>
      </c>
      <c r="H95" t="str">
        <f t="shared" si="6"/>
        <v/>
      </c>
      <c r="J95" t="str" cm="1">
        <f t="array" ref="J95">IFERROR(INDEX($H$2:$H$1000,SMALL(IF($H$2:$H$1000&lt;&gt;"",ROW($H$2:$H$1000)-1),ROW(94:94))),"")</f>
        <v/>
      </c>
      <c r="K95" t="str">
        <f t="shared" si="7"/>
        <v/>
      </c>
      <c r="L95" t="str">
        <f t="shared" si="8"/>
        <v/>
      </c>
      <c r="M95" t="str">
        <f t="shared" si="9"/>
        <v/>
      </c>
      <c r="N95" t="str">
        <f t="shared" si="10"/>
        <v/>
      </c>
      <c r="O95" t="str">
        <f t="shared" si="11"/>
        <v/>
      </c>
    </row>
    <row r="96" spans="7:15" x14ac:dyDescent="0.35">
      <c r="G96" t="str">
        <f>IF(A96="","",IF(COUNTIF(SF_Data!C:C,E96)&gt;0,TRUE,FALSE))</f>
        <v/>
      </c>
      <c r="H96" t="str">
        <f t="shared" si="6"/>
        <v/>
      </c>
      <c r="J96" t="str" cm="1">
        <f t="array" ref="J96">IFERROR(INDEX($H$2:$H$1000,SMALL(IF($H$2:$H$1000&lt;&gt;"",ROW($H$2:$H$1000)-1),ROW(95:95))),"")</f>
        <v/>
      </c>
      <c r="K96" t="str">
        <f t="shared" si="7"/>
        <v/>
      </c>
      <c r="L96" t="str">
        <f t="shared" si="8"/>
        <v/>
      </c>
      <c r="M96" t="str">
        <f t="shared" si="9"/>
        <v/>
      </c>
      <c r="N96" t="str">
        <f t="shared" si="10"/>
        <v/>
      </c>
      <c r="O96" t="str">
        <f t="shared" si="11"/>
        <v/>
      </c>
    </row>
    <row r="97" spans="7:15" x14ac:dyDescent="0.35">
      <c r="G97" t="str">
        <f>IF(A97="","",IF(COUNTIF(SF_Data!C:C,E97)&gt;0,TRUE,FALSE))</f>
        <v/>
      </c>
      <c r="H97" t="str">
        <f t="shared" si="6"/>
        <v/>
      </c>
      <c r="J97" t="str" cm="1">
        <f t="array" ref="J97">IFERROR(INDEX($H$2:$H$1000,SMALL(IF($H$2:$H$1000&lt;&gt;"",ROW($H$2:$H$1000)-1),ROW(96:96))),"")</f>
        <v/>
      </c>
      <c r="K97" t="str">
        <f t="shared" si="7"/>
        <v/>
      </c>
      <c r="L97" t="str">
        <f t="shared" si="8"/>
        <v/>
      </c>
      <c r="M97" t="str">
        <f t="shared" si="9"/>
        <v/>
      </c>
      <c r="N97" t="str">
        <f t="shared" si="10"/>
        <v/>
      </c>
      <c r="O97" t="str">
        <f t="shared" si="11"/>
        <v/>
      </c>
    </row>
    <row r="98" spans="7:15" x14ac:dyDescent="0.35">
      <c r="G98" t="str">
        <f>IF(A98="","",IF(COUNTIF(SF_Data!C:C,E98)&gt;0,TRUE,FALSE))</f>
        <v/>
      </c>
      <c r="H98" t="str">
        <f t="shared" si="6"/>
        <v/>
      </c>
      <c r="J98" t="str" cm="1">
        <f t="array" ref="J98">IFERROR(INDEX($H$2:$H$1000,SMALL(IF($H$2:$H$1000&lt;&gt;"",ROW($H$2:$H$1000)-1),ROW(97:97))),"")</f>
        <v/>
      </c>
      <c r="K98" t="str">
        <f t="shared" si="7"/>
        <v/>
      </c>
      <c r="L98" t="str">
        <f t="shared" si="8"/>
        <v/>
      </c>
      <c r="M98" t="str">
        <f t="shared" si="9"/>
        <v/>
      </c>
      <c r="N98" t="str">
        <f t="shared" si="10"/>
        <v/>
      </c>
      <c r="O98" t="str">
        <f t="shared" si="11"/>
        <v/>
      </c>
    </row>
    <row r="99" spans="7:15" x14ac:dyDescent="0.35">
      <c r="G99" t="str">
        <f>IF(A99="","",IF(COUNTIF(SF_Data!C:C,E99)&gt;0,TRUE,FALSE))</f>
        <v/>
      </c>
      <c r="H99" t="str">
        <f t="shared" si="6"/>
        <v/>
      </c>
      <c r="J99" t="str" cm="1">
        <f t="array" ref="J99">IFERROR(INDEX($H$2:$H$1000,SMALL(IF($H$2:$H$1000&lt;&gt;"",ROW($H$2:$H$1000)-1),ROW(98:98))),"")</f>
        <v/>
      </c>
      <c r="K99" t="str">
        <f t="shared" si="7"/>
        <v/>
      </c>
      <c r="L99" t="str">
        <f t="shared" si="8"/>
        <v/>
      </c>
      <c r="M99" t="str">
        <f t="shared" si="9"/>
        <v/>
      </c>
      <c r="N99" t="str">
        <f t="shared" si="10"/>
        <v/>
      </c>
      <c r="O99" t="str">
        <f t="shared" si="11"/>
        <v/>
      </c>
    </row>
    <row r="100" spans="7:15" x14ac:dyDescent="0.35">
      <c r="G100" t="str">
        <f>IF(A100="","",IF(COUNTIF(SF_Data!C:C,E100)&gt;0,TRUE,FALSE))</f>
        <v/>
      </c>
      <c r="H100" t="str">
        <f t="shared" si="6"/>
        <v/>
      </c>
      <c r="J100" t="str" cm="1">
        <f t="array" ref="J100">IFERROR(INDEX($H$2:$H$1000,SMALL(IF($H$2:$H$1000&lt;&gt;"",ROW($H$2:$H$1000)-1),ROW(99:99))),"")</f>
        <v/>
      </c>
      <c r="K100" t="str">
        <f t="shared" si="7"/>
        <v/>
      </c>
      <c r="L100" t="str">
        <f t="shared" si="8"/>
        <v/>
      </c>
      <c r="M100" t="str">
        <f>IF(J100="","",INDEX(D:D,MATCH(J100,A:A,0)))</f>
        <v/>
      </c>
      <c r="N100" t="str">
        <f t="shared" si="10"/>
        <v/>
      </c>
      <c r="O100" t="str">
        <f t="shared" si="11"/>
        <v/>
      </c>
    </row>
    <row r="101" spans="7:15" x14ac:dyDescent="0.35">
      <c r="G101" t="str">
        <f>IF(A101="","",IF(COUNTIF(SF_Data!C:C,E101)&gt;0,TRUE,FALSE))</f>
        <v/>
      </c>
      <c r="H101" t="str">
        <f t="shared" si="6"/>
        <v/>
      </c>
    </row>
    <row r="102" spans="7:15" x14ac:dyDescent="0.35">
      <c r="G102" t="str">
        <f>IF(A102="","",IF(COUNTIF(SF_Data!C:C,E102)&gt;0,TRUE,FALSE))</f>
        <v/>
      </c>
      <c r="H102" t="str">
        <f t="shared" si="6"/>
        <v/>
      </c>
    </row>
    <row r="103" spans="7:15" x14ac:dyDescent="0.35">
      <c r="G103" t="str">
        <f>IF(A103="","",IF(COUNTIF(SF_Data!C:C,E103)&gt;0,TRUE,FALSE))</f>
        <v/>
      </c>
      <c r="H103" t="str">
        <f t="shared" si="6"/>
        <v/>
      </c>
    </row>
    <row r="104" spans="7:15" x14ac:dyDescent="0.35">
      <c r="G104" t="str">
        <f>IF(A104="","",IF(COUNTIF(SF_Data!C:C,E104)&gt;0,TRUE,FALSE))</f>
        <v/>
      </c>
      <c r="H104" t="str">
        <f t="shared" si="6"/>
        <v/>
      </c>
    </row>
    <row r="105" spans="7:15" x14ac:dyDescent="0.35">
      <c r="G105" t="str">
        <f>IF(A105="","",IF(COUNTIF(SF_Data!C:C,E105)&gt;0,TRUE,FALSE))</f>
        <v/>
      </c>
      <c r="H105" t="str">
        <f t="shared" si="6"/>
        <v/>
      </c>
    </row>
    <row r="106" spans="7:15" x14ac:dyDescent="0.35">
      <c r="G106" t="str">
        <f>IF(A106="","",IF(COUNTIF(SF_Data!C:C,E106)&gt;0,TRUE,FALSE))</f>
        <v/>
      </c>
      <c r="H106" t="str">
        <f t="shared" si="6"/>
        <v/>
      </c>
    </row>
    <row r="107" spans="7:15" x14ac:dyDescent="0.35">
      <c r="G107" t="str">
        <f>IF(A107="","",IF(COUNTIF(SF_Data!C:C,E107)&gt;0,TRUE,FALSE))</f>
        <v/>
      </c>
      <c r="H107" t="str">
        <f t="shared" si="6"/>
        <v/>
      </c>
    </row>
    <row r="108" spans="7:15" x14ac:dyDescent="0.35">
      <c r="G108" t="str">
        <f>IF(A108="","",IF(COUNTIF(SF_Data!C:C,E108)&gt;0,TRUE,FALSE))</f>
        <v/>
      </c>
      <c r="H108" t="str">
        <f t="shared" si="6"/>
        <v/>
      </c>
    </row>
    <row r="109" spans="7:15" x14ac:dyDescent="0.35">
      <c r="G109" t="str">
        <f>IF(A109="","",IF(COUNTIF(SF_Data!C:C,E109)&gt;0,TRUE,FALSE))</f>
        <v/>
      </c>
      <c r="H109" t="str">
        <f t="shared" si="6"/>
        <v/>
      </c>
    </row>
    <row r="110" spans="7:15" x14ac:dyDescent="0.35">
      <c r="G110" t="str">
        <f>IF(A110="","",IF(COUNTIF(SF_Data!C:C,E110)&gt;0,TRUE,FALSE))</f>
        <v/>
      </c>
      <c r="H110" t="str">
        <f t="shared" si="6"/>
        <v/>
      </c>
    </row>
    <row r="111" spans="7:15" x14ac:dyDescent="0.35">
      <c r="G111" t="str">
        <f>IF(A111="","",IF(COUNTIF(SF_Data!C:C,E111)&gt;0,TRUE,FALSE))</f>
        <v/>
      </c>
      <c r="H111" t="str">
        <f t="shared" si="6"/>
        <v/>
      </c>
    </row>
    <row r="112" spans="7:15" x14ac:dyDescent="0.35">
      <c r="G112" t="str">
        <f>IF(A112="","",IF(COUNTIF(SF_Data!C:C,E112)&gt;0,TRUE,FALSE))</f>
        <v/>
      </c>
      <c r="H112" t="str">
        <f t="shared" si="6"/>
        <v/>
      </c>
    </row>
    <row r="113" spans="7:8" x14ac:dyDescent="0.35">
      <c r="G113" t="str">
        <f>IF(A113="","",IF(COUNTIF(SF_Data!C:C,E113)&gt;0,TRUE,FALSE))</f>
        <v/>
      </c>
      <c r="H113" t="str">
        <f t="shared" si="6"/>
        <v/>
      </c>
    </row>
    <row r="114" spans="7:8" x14ac:dyDescent="0.35">
      <c r="G114" t="str">
        <f>IF(A114="","",IF(COUNTIF(SF_Data!C:C,E114)&gt;0,TRUE,FALSE))</f>
        <v/>
      </c>
      <c r="H114" t="str">
        <f t="shared" si="6"/>
        <v/>
      </c>
    </row>
    <row r="115" spans="7:8" x14ac:dyDescent="0.35">
      <c r="G115" t="str">
        <f>IF(A115="","",IF(COUNTIF(SF_Data!C:C,E115)&gt;0,TRUE,FALSE))</f>
        <v/>
      </c>
      <c r="H115" t="str">
        <f t="shared" si="6"/>
        <v/>
      </c>
    </row>
    <row r="116" spans="7:8" x14ac:dyDescent="0.35">
      <c r="G116" t="str">
        <f>IF(A116="","",IF(COUNTIF(SF_Data!C:C,E116)&gt;0,TRUE,FALSE))</f>
        <v/>
      </c>
      <c r="H116" t="str">
        <f t="shared" si="6"/>
        <v/>
      </c>
    </row>
    <row r="117" spans="7:8" x14ac:dyDescent="0.35">
      <c r="G117" t="str">
        <f>IF(A117="","",IF(COUNTIF(SF_Data!C:C,E117)&gt;0,TRUE,FALSE))</f>
        <v/>
      </c>
      <c r="H117" t="str">
        <f t="shared" si="6"/>
        <v/>
      </c>
    </row>
    <row r="118" spans="7:8" x14ac:dyDescent="0.35">
      <c r="G118" t="str">
        <f>IF(A118="","",IF(COUNTIF(SF_Data!C:C,E118)&gt;0,TRUE,FALSE))</f>
        <v/>
      </c>
      <c r="H118" t="str">
        <f t="shared" si="6"/>
        <v/>
      </c>
    </row>
    <row r="119" spans="7:8" x14ac:dyDescent="0.35">
      <c r="G119" t="str">
        <f>IF(A119="","",IF(COUNTIF(SF_Data!C:C,E119)&gt;0,TRUE,FALSE))</f>
        <v/>
      </c>
      <c r="H119" t="str">
        <f t="shared" si="6"/>
        <v/>
      </c>
    </row>
    <row r="120" spans="7:8" x14ac:dyDescent="0.35">
      <c r="G120" t="str">
        <f>IF(A120="","",IF(COUNTIF(SF_Data!C:C,E120)&gt;0,TRUE,FALSE))</f>
        <v/>
      </c>
      <c r="H120" t="str">
        <f t="shared" si="6"/>
        <v/>
      </c>
    </row>
    <row r="121" spans="7:8" x14ac:dyDescent="0.35">
      <c r="G121" t="str">
        <f>IF(A121="","",IF(COUNTIF(SF_Data!C:C,E121)&gt;0,TRUE,FALSE))</f>
        <v/>
      </c>
      <c r="H121" t="str">
        <f t="shared" si="6"/>
        <v/>
      </c>
    </row>
    <row r="122" spans="7:8" x14ac:dyDescent="0.35">
      <c r="G122" t="str">
        <f>IF(A122="","",IF(COUNTIF(SF_Data!C:C,E122)&gt;0,TRUE,FALSE))</f>
        <v/>
      </c>
      <c r="H122" t="str">
        <f t="shared" si="6"/>
        <v/>
      </c>
    </row>
    <row r="123" spans="7:8" x14ac:dyDescent="0.35">
      <c r="G123" t="str">
        <f>IF(A123="","",IF(COUNTIF(SF_Data!C:C,E123)&gt;0,TRUE,FALSE))</f>
        <v/>
      </c>
      <c r="H123" t="str">
        <f t="shared" si="6"/>
        <v/>
      </c>
    </row>
    <row r="124" spans="7:8" x14ac:dyDescent="0.35">
      <c r="G124" t="str">
        <f>IF(A124="","",IF(COUNTIF(SF_Data!C:C,E124)&gt;0,TRUE,FALSE))</f>
        <v/>
      </c>
      <c r="H124" t="str">
        <f t="shared" si="6"/>
        <v/>
      </c>
    </row>
    <row r="125" spans="7:8" x14ac:dyDescent="0.35">
      <c r="G125" t="str">
        <f>IF(A125="","",IF(COUNTIF(SF_Data!C:C,E125)&gt;0,TRUE,FALSE))</f>
        <v/>
      </c>
      <c r="H125" t="str">
        <f t="shared" si="6"/>
        <v/>
      </c>
    </row>
    <row r="126" spans="7:8" x14ac:dyDescent="0.35">
      <c r="G126" t="str">
        <f>IF(A126="","",IF(COUNTIF(SF_Data!C:C,E126)&gt;0,TRUE,FALSE))</f>
        <v/>
      </c>
      <c r="H126" t="str">
        <f t="shared" si="6"/>
        <v/>
      </c>
    </row>
    <row r="127" spans="7:8" x14ac:dyDescent="0.35">
      <c r="G127" t="str">
        <f>IF(A127="","",IF(COUNTIF(SF_Data!C:C,E127)&gt;0,TRUE,FALSE))</f>
        <v/>
      </c>
      <c r="H127" t="str">
        <f t="shared" si="6"/>
        <v/>
      </c>
    </row>
    <row r="128" spans="7:8" x14ac:dyDescent="0.35">
      <c r="G128" t="str">
        <f>IF(A128="","",IF(COUNTIF(SF_Data!C:C,E128)&gt;0,TRUE,FALSE))</f>
        <v/>
      </c>
      <c r="H128" t="str">
        <f t="shared" si="6"/>
        <v/>
      </c>
    </row>
    <row r="129" spans="7:8" x14ac:dyDescent="0.35">
      <c r="G129" t="str">
        <f>IF(A129="","",IF(COUNTIF(SF_Data!C:C,E129)&gt;0,TRUE,FALSE))</f>
        <v/>
      </c>
      <c r="H129" t="str">
        <f t="shared" si="6"/>
        <v/>
      </c>
    </row>
    <row r="130" spans="7:8" x14ac:dyDescent="0.35">
      <c r="G130" t="str">
        <f>IF(A130="","",IF(COUNTIF(SF_Data!C:C,E130)&gt;0,TRUE,FALSE))</f>
        <v/>
      </c>
      <c r="H130" t="str">
        <f t="shared" si="6"/>
        <v/>
      </c>
    </row>
    <row r="131" spans="7:8" x14ac:dyDescent="0.35">
      <c r="G131" t="str">
        <f>IF(A131="","",IF(COUNTIF(SF_Data!C:C,E131)&gt;0,TRUE,FALSE))</f>
        <v/>
      </c>
      <c r="H131" t="str">
        <f t="shared" ref="H131:H194" si="12">IF(G131=TRUE,A131,"")</f>
        <v/>
      </c>
    </row>
    <row r="132" spans="7:8" x14ac:dyDescent="0.35">
      <c r="G132" t="str">
        <f>IF(A132="","",IF(COUNTIF(SF_Data!C:C,E132)&gt;0,TRUE,FALSE))</f>
        <v/>
      </c>
      <c r="H132" t="str">
        <f t="shared" si="12"/>
        <v/>
      </c>
    </row>
    <row r="133" spans="7:8" x14ac:dyDescent="0.35">
      <c r="G133" t="str">
        <f>IF(A133="","",IF(COUNTIF(SF_Data!C:C,E133)&gt;0,TRUE,FALSE))</f>
        <v/>
      </c>
      <c r="H133" t="str">
        <f t="shared" si="12"/>
        <v/>
      </c>
    </row>
    <row r="134" spans="7:8" x14ac:dyDescent="0.35">
      <c r="G134" t="str">
        <f>IF(A134="","",IF(COUNTIF(SF_Data!C:C,E134)&gt;0,TRUE,FALSE))</f>
        <v/>
      </c>
      <c r="H134" t="str">
        <f t="shared" si="12"/>
        <v/>
      </c>
    </row>
    <row r="135" spans="7:8" x14ac:dyDescent="0.35">
      <c r="G135" t="str">
        <f>IF(A135="","",IF(COUNTIF(SF_Data!C:C,E135)&gt;0,TRUE,FALSE))</f>
        <v/>
      </c>
      <c r="H135" t="str">
        <f t="shared" si="12"/>
        <v/>
      </c>
    </row>
    <row r="136" spans="7:8" x14ac:dyDescent="0.35">
      <c r="G136" t="str">
        <f>IF(A136="","",IF(COUNTIF(SF_Data!C:C,E136)&gt;0,TRUE,FALSE))</f>
        <v/>
      </c>
      <c r="H136" t="str">
        <f t="shared" si="12"/>
        <v/>
      </c>
    </row>
    <row r="137" spans="7:8" x14ac:dyDescent="0.35">
      <c r="G137" t="str">
        <f>IF(A137="","",IF(COUNTIF(SF_Data!C:C,E137)&gt;0,TRUE,FALSE))</f>
        <v/>
      </c>
      <c r="H137" t="str">
        <f t="shared" si="12"/>
        <v/>
      </c>
    </row>
    <row r="138" spans="7:8" x14ac:dyDescent="0.35">
      <c r="G138" t="str">
        <f>IF(A138="","",IF(COUNTIF(SF_Data!C:C,E138)&gt;0,TRUE,FALSE))</f>
        <v/>
      </c>
      <c r="H138" t="str">
        <f t="shared" si="12"/>
        <v/>
      </c>
    </row>
    <row r="139" spans="7:8" x14ac:dyDescent="0.35">
      <c r="G139" t="str">
        <f>IF(A139="","",IF(COUNTIF(SF_Data!C:C,E139)&gt;0,TRUE,FALSE))</f>
        <v/>
      </c>
      <c r="H139" t="str">
        <f t="shared" si="12"/>
        <v/>
      </c>
    </row>
    <row r="140" spans="7:8" x14ac:dyDescent="0.35">
      <c r="G140" t="str">
        <f>IF(A140="","",IF(COUNTIF(SF_Data!C:C,E140)&gt;0,TRUE,FALSE))</f>
        <v/>
      </c>
      <c r="H140" t="str">
        <f t="shared" si="12"/>
        <v/>
      </c>
    </row>
    <row r="141" spans="7:8" x14ac:dyDescent="0.35">
      <c r="G141" t="str">
        <f>IF(A141="","",IF(COUNTIF(SF_Data!C:C,E141)&gt;0,TRUE,FALSE))</f>
        <v/>
      </c>
      <c r="H141" t="str">
        <f t="shared" si="12"/>
        <v/>
      </c>
    </row>
    <row r="142" spans="7:8" x14ac:dyDescent="0.35">
      <c r="G142" t="str">
        <f>IF(A142="","",IF(COUNTIF(SF_Data!C:C,E142)&gt;0,TRUE,FALSE))</f>
        <v/>
      </c>
      <c r="H142" t="str">
        <f t="shared" si="12"/>
        <v/>
      </c>
    </row>
    <row r="143" spans="7:8" x14ac:dyDescent="0.35">
      <c r="G143" t="str">
        <f>IF(A143="","",IF(COUNTIF(SF_Data!C:C,E143)&gt;0,TRUE,FALSE))</f>
        <v/>
      </c>
      <c r="H143" t="str">
        <f t="shared" si="12"/>
        <v/>
      </c>
    </row>
    <row r="144" spans="7:8" x14ac:dyDescent="0.35">
      <c r="G144" t="str">
        <f>IF(A144="","",IF(COUNTIF(SF_Data!C:C,E144)&gt;0,TRUE,FALSE))</f>
        <v/>
      </c>
      <c r="H144" t="str">
        <f t="shared" si="12"/>
        <v/>
      </c>
    </row>
    <row r="145" spans="7:8" x14ac:dyDescent="0.35">
      <c r="G145" t="str">
        <f>IF(A145="","",IF(COUNTIF(SF_Data!C:C,E145)&gt;0,TRUE,FALSE))</f>
        <v/>
      </c>
      <c r="H145" t="str">
        <f t="shared" si="12"/>
        <v/>
      </c>
    </row>
    <row r="146" spans="7:8" x14ac:dyDescent="0.35">
      <c r="G146" t="str">
        <f>IF(A146="","",IF(COUNTIF(SF_Data!C:C,E146)&gt;0,TRUE,FALSE))</f>
        <v/>
      </c>
      <c r="H146" t="str">
        <f t="shared" si="12"/>
        <v/>
      </c>
    </row>
    <row r="147" spans="7:8" x14ac:dyDescent="0.35">
      <c r="G147" t="str">
        <f>IF(A147="","",IF(COUNTIF(SF_Data!C:C,E147)&gt;0,TRUE,FALSE))</f>
        <v/>
      </c>
      <c r="H147" t="str">
        <f t="shared" si="12"/>
        <v/>
      </c>
    </row>
    <row r="148" spans="7:8" x14ac:dyDescent="0.35">
      <c r="G148" t="str">
        <f>IF(A148="","",IF(COUNTIF(SF_Data!C:C,E148)&gt;0,TRUE,FALSE))</f>
        <v/>
      </c>
      <c r="H148" t="str">
        <f t="shared" si="12"/>
        <v/>
      </c>
    </row>
    <row r="149" spans="7:8" x14ac:dyDescent="0.35">
      <c r="G149" t="str">
        <f>IF(A149="","",IF(COUNTIF(SF_Data!C:C,E149)&gt;0,TRUE,FALSE))</f>
        <v/>
      </c>
      <c r="H149" t="str">
        <f t="shared" si="12"/>
        <v/>
      </c>
    </row>
    <row r="150" spans="7:8" x14ac:dyDescent="0.35">
      <c r="G150" t="str">
        <f>IF(A150="","",IF(COUNTIF(SF_Data!C:C,E150)&gt;0,TRUE,FALSE))</f>
        <v/>
      </c>
      <c r="H150" t="str">
        <f t="shared" si="12"/>
        <v/>
      </c>
    </row>
    <row r="151" spans="7:8" x14ac:dyDescent="0.35">
      <c r="G151" t="str">
        <f>IF(A151="","",IF(COUNTIF(SF_Data!C:C,E151)&gt;0,TRUE,FALSE))</f>
        <v/>
      </c>
      <c r="H151" t="str">
        <f t="shared" si="12"/>
        <v/>
      </c>
    </row>
    <row r="152" spans="7:8" x14ac:dyDescent="0.35">
      <c r="G152" t="str">
        <f>IF(A152="","",IF(COUNTIF(SF_Data!C:C,E152)&gt;0,TRUE,FALSE))</f>
        <v/>
      </c>
      <c r="H152" t="str">
        <f t="shared" si="12"/>
        <v/>
      </c>
    </row>
    <row r="153" spans="7:8" x14ac:dyDescent="0.35">
      <c r="G153" t="str">
        <f>IF(A153="","",IF(COUNTIF(SF_Data!C:C,E153)&gt;0,TRUE,FALSE))</f>
        <v/>
      </c>
      <c r="H153" t="str">
        <f t="shared" si="12"/>
        <v/>
      </c>
    </row>
    <row r="154" spans="7:8" x14ac:dyDescent="0.35">
      <c r="G154" t="str">
        <f>IF(A154="","",IF(COUNTIF(SF_Data!C:C,E154)&gt;0,TRUE,FALSE))</f>
        <v/>
      </c>
      <c r="H154" t="str">
        <f t="shared" si="12"/>
        <v/>
      </c>
    </row>
    <row r="155" spans="7:8" x14ac:dyDescent="0.35">
      <c r="G155" t="str">
        <f>IF(A155="","",IF(COUNTIF(SF_Data!C:C,E155)&gt;0,TRUE,FALSE))</f>
        <v/>
      </c>
      <c r="H155" t="str">
        <f t="shared" si="12"/>
        <v/>
      </c>
    </row>
    <row r="156" spans="7:8" x14ac:dyDescent="0.35">
      <c r="G156" t="str">
        <f>IF(A156="","",IF(COUNTIF(SF_Data!C:C,E156)&gt;0,TRUE,FALSE))</f>
        <v/>
      </c>
      <c r="H156" t="str">
        <f t="shared" si="12"/>
        <v/>
      </c>
    </row>
    <row r="157" spans="7:8" x14ac:dyDescent="0.35">
      <c r="G157" t="str">
        <f>IF(A157="","",IF(COUNTIF(SF_Data!C:C,E157)&gt;0,TRUE,FALSE))</f>
        <v/>
      </c>
      <c r="H157" t="str">
        <f t="shared" si="12"/>
        <v/>
      </c>
    </row>
    <row r="158" spans="7:8" x14ac:dyDescent="0.35">
      <c r="G158" t="str">
        <f>IF(A158="","",IF(COUNTIF(SF_Data!C:C,E158)&gt;0,TRUE,FALSE))</f>
        <v/>
      </c>
      <c r="H158" t="str">
        <f t="shared" si="12"/>
        <v/>
      </c>
    </row>
    <row r="159" spans="7:8" x14ac:dyDescent="0.35">
      <c r="G159" t="str">
        <f>IF(A159="","",IF(COUNTIF(SF_Data!C:C,E159)&gt;0,TRUE,FALSE))</f>
        <v/>
      </c>
      <c r="H159" t="str">
        <f t="shared" si="12"/>
        <v/>
      </c>
    </row>
    <row r="160" spans="7:8" x14ac:dyDescent="0.35">
      <c r="G160" t="str">
        <f>IF(A160="","",IF(COUNTIF(SF_Data!C:C,E160)&gt;0,TRUE,FALSE))</f>
        <v/>
      </c>
      <c r="H160" t="str">
        <f t="shared" si="12"/>
        <v/>
      </c>
    </row>
    <row r="161" spans="7:8" x14ac:dyDescent="0.35">
      <c r="G161" t="str">
        <f>IF(A161="","",IF(COUNTIF(SF_Data!C:C,E161)&gt;0,TRUE,FALSE))</f>
        <v/>
      </c>
      <c r="H161" t="str">
        <f t="shared" si="12"/>
        <v/>
      </c>
    </row>
    <row r="162" spans="7:8" x14ac:dyDescent="0.35">
      <c r="G162" t="str">
        <f>IF(A162="","",IF(COUNTIF(SF_Data!C:C,E162)&gt;0,TRUE,FALSE))</f>
        <v/>
      </c>
      <c r="H162" t="str">
        <f t="shared" si="12"/>
        <v/>
      </c>
    </row>
    <row r="163" spans="7:8" x14ac:dyDescent="0.35">
      <c r="G163" t="str">
        <f>IF(A163="","",IF(COUNTIF(SF_Data!C:C,E163)&gt;0,TRUE,FALSE))</f>
        <v/>
      </c>
      <c r="H163" t="str">
        <f t="shared" si="12"/>
        <v/>
      </c>
    </row>
    <row r="164" spans="7:8" x14ac:dyDescent="0.35">
      <c r="G164" t="str">
        <f>IF(A164="","",IF(COUNTIF(SF_Data!C:C,E164)&gt;0,TRUE,FALSE))</f>
        <v/>
      </c>
      <c r="H164" t="str">
        <f t="shared" si="12"/>
        <v/>
      </c>
    </row>
    <row r="165" spans="7:8" x14ac:dyDescent="0.35">
      <c r="G165" t="str">
        <f>IF(A165="","",IF(COUNTIF(SF_Data!C:C,E165)&gt;0,TRUE,FALSE))</f>
        <v/>
      </c>
      <c r="H165" t="str">
        <f t="shared" si="12"/>
        <v/>
      </c>
    </row>
    <row r="166" spans="7:8" x14ac:dyDescent="0.35">
      <c r="G166" t="str">
        <f>IF(A166="","",IF(COUNTIF(SF_Data!C:C,E166)&gt;0,TRUE,FALSE))</f>
        <v/>
      </c>
      <c r="H166" t="str">
        <f t="shared" si="12"/>
        <v/>
      </c>
    </row>
    <row r="167" spans="7:8" x14ac:dyDescent="0.35">
      <c r="G167" t="str">
        <f>IF(A167="","",IF(COUNTIF(SF_Data!C:C,E167)&gt;0,TRUE,FALSE))</f>
        <v/>
      </c>
      <c r="H167" t="str">
        <f t="shared" si="12"/>
        <v/>
      </c>
    </row>
    <row r="168" spans="7:8" x14ac:dyDescent="0.35">
      <c r="G168" t="str">
        <f>IF(A168="","",IF(COUNTIF(SF_Data!C:C,E168)&gt;0,TRUE,FALSE))</f>
        <v/>
      </c>
      <c r="H168" t="str">
        <f t="shared" si="12"/>
        <v/>
      </c>
    </row>
    <row r="169" spans="7:8" x14ac:dyDescent="0.35">
      <c r="G169" t="str">
        <f>IF(A169="","",IF(COUNTIF(SF_Data!C:C,E169)&gt;0,TRUE,FALSE))</f>
        <v/>
      </c>
      <c r="H169" t="str">
        <f t="shared" si="12"/>
        <v/>
      </c>
    </row>
    <row r="170" spans="7:8" x14ac:dyDescent="0.35">
      <c r="G170" t="str">
        <f>IF(A170="","",IF(COUNTIF(SF_Data!C:C,E170)&gt;0,TRUE,FALSE))</f>
        <v/>
      </c>
      <c r="H170" t="str">
        <f t="shared" si="12"/>
        <v/>
      </c>
    </row>
    <row r="171" spans="7:8" x14ac:dyDescent="0.35">
      <c r="G171" t="str">
        <f>IF(A171="","",IF(COUNTIF(SF_Data!C:C,E171)&gt;0,TRUE,FALSE))</f>
        <v/>
      </c>
      <c r="H171" t="str">
        <f t="shared" si="12"/>
        <v/>
      </c>
    </row>
    <row r="172" spans="7:8" x14ac:dyDescent="0.35">
      <c r="G172" t="str">
        <f>IF(A172="","",IF(COUNTIF(SF_Data!C:C,E172)&gt;0,TRUE,FALSE))</f>
        <v/>
      </c>
      <c r="H172" t="str">
        <f t="shared" si="12"/>
        <v/>
      </c>
    </row>
    <row r="173" spans="7:8" x14ac:dyDescent="0.35">
      <c r="G173" t="str">
        <f>IF(A173="","",IF(COUNTIF(SF_Data!C:C,E173)&gt;0,TRUE,FALSE))</f>
        <v/>
      </c>
      <c r="H173" t="str">
        <f t="shared" si="12"/>
        <v/>
      </c>
    </row>
    <row r="174" spans="7:8" x14ac:dyDescent="0.35">
      <c r="G174" t="str">
        <f>IF(A174="","",IF(COUNTIF(SF_Data!C:C,E174)&gt;0,TRUE,FALSE))</f>
        <v/>
      </c>
      <c r="H174" t="str">
        <f t="shared" si="12"/>
        <v/>
      </c>
    </row>
    <row r="175" spans="7:8" x14ac:dyDescent="0.35">
      <c r="G175" t="str">
        <f>IF(A175="","",IF(COUNTIF(SF_Data!C:C,E175)&gt;0,TRUE,FALSE))</f>
        <v/>
      </c>
      <c r="H175" t="str">
        <f t="shared" si="12"/>
        <v/>
      </c>
    </row>
    <row r="176" spans="7:8" x14ac:dyDescent="0.35">
      <c r="G176" t="str">
        <f>IF(A176="","",IF(COUNTIF(SF_Data!C:C,E176)&gt;0,TRUE,FALSE))</f>
        <v/>
      </c>
      <c r="H176" t="str">
        <f t="shared" si="12"/>
        <v/>
      </c>
    </row>
    <row r="177" spans="7:8" x14ac:dyDescent="0.35">
      <c r="G177" t="str">
        <f>IF(A177="","",IF(COUNTIF(SF_Data!C:C,E177)&gt;0,TRUE,FALSE))</f>
        <v/>
      </c>
      <c r="H177" t="str">
        <f t="shared" si="12"/>
        <v/>
      </c>
    </row>
    <row r="178" spans="7:8" x14ac:dyDescent="0.35">
      <c r="G178" t="str">
        <f>IF(A178="","",IF(COUNTIF(SF_Data!C:C,E178)&gt;0,TRUE,FALSE))</f>
        <v/>
      </c>
      <c r="H178" t="str">
        <f t="shared" si="12"/>
        <v/>
      </c>
    </row>
    <row r="179" spans="7:8" x14ac:dyDescent="0.35">
      <c r="G179" t="str">
        <f>IF(A179="","",IF(COUNTIF(SF_Data!C:C,E179)&gt;0,TRUE,FALSE))</f>
        <v/>
      </c>
      <c r="H179" t="str">
        <f t="shared" si="12"/>
        <v/>
      </c>
    </row>
    <row r="180" spans="7:8" x14ac:dyDescent="0.35">
      <c r="G180" t="str">
        <f>IF(A180="","",IF(COUNTIF(SF_Data!C:C,E180)&gt;0,TRUE,FALSE))</f>
        <v/>
      </c>
      <c r="H180" t="str">
        <f t="shared" si="12"/>
        <v/>
      </c>
    </row>
    <row r="181" spans="7:8" x14ac:dyDescent="0.35">
      <c r="G181" t="str">
        <f>IF(A181="","",IF(COUNTIF(SF_Data!C:C,E181)&gt;0,TRUE,FALSE))</f>
        <v/>
      </c>
      <c r="H181" t="str">
        <f t="shared" si="12"/>
        <v/>
      </c>
    </row>
    <row r="182" spans="7:8" x14ac:dyDescent="0.35">
      <c r="G182" t="str">
        <f>IF(A182="","",IF(COUNTIF(SF_Data!C:C,E182)&gt;0,TRUE,FALSE))</f>
        <v/>
      </c>
      <c r="H182" t="str">
        <f t="shared" si="12"/>
        <v/>
      </c>
    </row>
    <row r="183" spans="7:8" x14ac:dyDescent="0.35">
      <c r="G183" t="str">
        <f>IF(A183="","",IF(COUNTIF(SF_Data!C:C,E183)&gt;0,TRUE,FALSE))</f>
        <v/>
      </c>
      <c r="H183" t="str">
        <f t="shared" si="12"/>
        <v/>
      </c>
    </row>
    <row r="184" spans="7:8" x14ac:dyDescent="0.35">
      <c r="G184" t="str">
        <f>IF(A184="","",IF(COUNTIF(SF_Data!C:C,E184)&gt;0,TRUE,FALSE))</f>
        <v/>
      </c>
      <c r="H184" t="str">
        <f t="shared" si="12"/>
        <v/>
      </c>
    </row>
    <row r="185" spans="7:8" x14ac:dyDescent="0.35">
      <c r="G185" t="str">
        <f>IF(A185="","",IF(COUNTIF(SF_Data!C:C,E185)&gt;0,TRUE,FALSE))</f>
        <v/>
      </c>
      <c r="H185" t="str">
        <f t="shared" si="12"/>
        <v/>
      </c>
    </row>
    <row r="186" spans="7:8" x14ac:dyDescent="0.35">
      <c r="G186" t="str">
        <f>IF(A186="","",IF(COUNTIF(SF_Data!C:C,E186)&gt;0,TRUE,FALSE))</f>
        <v/>
      </c>
      <c r="H186" t="str">
        <f t="shared" si="12"/>
        <v/>
      </c>
    </row>
    <row r="187" spans="7:8" x14ac:dyDescent="0.35">
      <c r="G187" t="str">
        <f>IF(A187="","",IF(COUNTIF(SF_Data!C:C,E187)&gt;0,TRUE,FALSE))</f>
        <v/>
      </c>
      <c r="H187" t="str">
        <f t="shared" si="12"/>
        <v/>
      </c>
    </row>
    <row r="188" spans="7:8" x14ac:dyDescent="0.35">
      <c r="G188" t="str">
        <f>IF(A188="","",IF(COUNTIF(SF_Data!C:C,E188)&gt;0,TRUE,FALSE))</f>
        <v/>
      </c>
      <c r="H188" t="str">
        <f t="shared" si="12"/>
        <v/>
      </c>
    </row>
    <row r="189" spans="7:8" x14ac:dyDescent="0.35">
      <c r="G189" t="str">
        <f>IF(A189="","",IF(COUNTIF(SF_Data!C:C,E189)&gt;0,TRUE,FALSE))</f>
        <v/>
      </c>
      <c r="H189" t="str">
        <f t="shared" si="12"/>
        <v/>
      </c>
    </row>
    <row r="190" spans="7:8" x14ac:dyDescent="0.35">
      <c r="G190" t="str">
        <f>IF(A190="","",IF(COUNTIF(SF_Data!C:C,E190)&gt;0,TRUE,FALSE))</f>
        <v/>
      </c>
      <c r="H190" t="str">
        <f t="shared" si="12"/>
        <v/>
      </c>
    </row>
    <row r="191" spans="7:8" x14ac:dyDescent="0.35">
      <c r="G191" t="str">
        <f>IF(A191="","",IF(COUNTIF(SF_Data!C:C,E191)&gt;0,TRUE,FALSE))</f>
        <v/>
      </c>
      <c r="H191" t="str">
        <f t="shared" si="12"/>
        <v/>
      </c>
    </row>
    <row r="192" spans="7:8" x14ac:dyDescent="0.35">
      <c r="G192" t="str">
        <f>IF(A192="","",IF(COUNTIF(SF_Data!C:C,E192)&gt;0,TRUE,FALSE))</f>
        <v/>
      </c>
      <c r="H192" t="str">
        <f t="shared" si="12"/>
        <v/>
      </c>
    </row>
    <row r="193" spans="7:8" x14ac:dyDescent="0.35">
      <c r="G193" t="str">
        <f>IF(A193="","",IF(COUNTIF(SF_Data!C:C,E193)&gt;0,TRUE,FALSE))</f>
        <v/>
      </c>
      <c r="H193" t="str">
        <f t="shared" si="12"/>
        <v/>
      </c>
    </row>
    <row r="194" spans="7:8" x14ac:dyDescent="0.35">
      <c r="G194" t="str">
        <f>IF(A194="","",IF(COUNTIF(SF_Data!C:C,E194)&gt;0,TRUE,FALSE))</f>
        <v/>
      </c>
      <c r="H194" t="str">
        <f t="shared" si="12"/>
        <v/>
      </c>
    </row>
    <row r="195" spans="7:8" x14ac:dyDescent="0.35">
      <c r="G195" t="str">
        <f>IF(A195="","",IF(COUNTIF(SF_Data!C:C,E195)&gt;0,TRUE,FALSE))</f>
        <v/>
      </c>
      <c r="H195" t="str">
        <f t="shared" ref="H195:H199" si="13">IF(G195=TRUE,A195,"")</f>
        <v/>
      </c>
    </row>
    <row r="196" spans="7:8" x14ac:dyDescent="0.35">
      <c r="G196" t="str">
        <f>IF(A196="","",IF(COUNTIF(SF_Data!C:C,E196)&gt;0,TRUE,FALSE))</f>
        <v/>
      </c>
      <c r="H196" t="str">
        <f t="shared" si="13"/>
        <v/>
      </c>
    </row>
    <row r="197" spans="7:8" x14ac:dyDescent="0.35">
      <c r="G197" t="str">
        <f>IF(A197="","",IF(COUNTIF(SF_Data!C:C,E197)&gt;0,TRUE,FALSE))</f>
        <v/>
      </c>
      <c r="H197" t="str">
        <f t="shared" si="13"/>
        <v/>
      </c>
    </row>
    <row r="198" spans="7:8" x14ac:dyDescent="0.35">
      <c r="G198" t="str">
        <f>IF(A198="","",IF(COUNTIF(SF_Data!C:C,E198)&gt;0,TRUE,FALSE))</f>
        <v/>
      </c>
      <c r="H198" t="str">
        <f t="shared" si="13"/>
        <v/>
      </c>
    </row>
    <row r="199" spans="7:8" x14ac:dyDescent="0.35">
      <c r="G199" t="str">
        <f>IF(A199="","",IF(COUNTIF(SF_Data!C:C,E199)&gt;0,TRUE,FALSE))</f>
        <v/>
      </c>
      <c r="H199" t="str">
        <f t="shared" si="13"/>
        <v/>
      </c>
    </row>
    <row r="200" spans="7:8" x14ac:dyDescent="0.35">
      <c r="G200" t="str">
        <f>IF(A200="","",IF(COUNTIF(SF_Data!C:C,E200)&gt;0,TRUE,FALSE))</f>
        <v/>
      </c>
      <c r="H200" t="str">
        <f>IF(G200=TRUE,A200,"")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2C49-0587-40CF-B062-C512716A53DC}">
  <dimension ref="A1:Q200"/>
  <sheetViews>
    <sheetView topLeftCell="D3" workbookViewId="0">
      <selection activeCell="N12" sqref="N12"/>
    </sheetView>
  </sheetViews>
  <sheetFormatPr defaultRowHeight="14.5" x14ac:dyDescent="0.35"/>
  <cols>
    <col min="3" max="3" width="13.81640625" bestFit="1" customWidth="1"/>
    <col min="11" max="11" width="12.36328125" bestFit="1" customWidth="1"/>
    <col min="12" max="13" width="12.36328125" customWidth="1"/>
    <col min="14" max="14" width="13" bestFit="1" customWidth="1"/>
    <col min="15" max="16" width="12.36328125" customWidth="1"/>
    <col min="17" max="17" width="11.453125" bestFit="1" customWidth="1"/>
  </cols>
  <sheetData>
    <row r="1" spans="1:17" x14ac:dyDescent="0.35">
      <c r="A1" t="s">
        <v>0</v>
      </c>
      <c r="B1" t="s">
        <v>1</v>
      </c>
      <c r="C1" t="s">
        <v>13</v>
      </c>
      <c r="D1" t="s">
        <v>12</v>
      </c>
      <c r="E1" t="s">
        <v>2</v>
      </c>
      <c r="F1" t="s">
        <v>16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20</v>
      </c>
      <c r="M1" t="s">
        <v>14</v>
      </c>
      <c r="N1" t="s">
        <v>29</v>
      </c>
      <c r="O1" t="s">
        <v>28</v>
      </c>
      <c r="P1" t="s">
        <v>30</v>
      </c>
      <c r="Q1" t="s">
        <v>19</v>
      </c>
    </row>
    <row r="2" spans="1:17" x14ac:dyDescent="0.35">
      <c r="P2" t="str">
        <f>IF(A2="","",IF(N2="",Q2,O2))</f>
        <v/>
      </c>
    </row>
    <row r="3" spans="1:17" x14ac:dyDescent="0.35">
      <c r="P3" t="str">
        <f t="shared" ref="P3:P66" si="0">IF(A3="","",IF(N3="",Q3,O3))</f>
        <v/>
      </c>
    </row>
    <row r="4" spans="1:17" x14ac:dyDescent="0.35">
      <c r="P4" t="str">
        <f t="shared" si="0"/>
        <v/>
      </c>
    </row>
    <row r="5" spans="1:17" x14ac:dyDescent="0.35">
      <c r="P5" t="str">
        <f t="shared" si="0"/>
        <v/>
      </c>
    </row>
    <row r="6" spans="1:17" x14ac:dyDescent="0.35">
      <c r="P6" t="str">
        <f t="shared" si="0"/>
        <v/>
      </c>
    </row>
    <row r="7" spans="1:17" x14ac:dyDescent="0.35">
      <c r="P7" t="str">
        <f t="shared" si="0"/>
        <v/>
      </c>
    </row>
    <row r="8" spans="1:17" x14ac:dyDescent="0.35">
      <c r="P8" t="str">
        <f t="shared" si="0"/>
        <v/>
      </c>
    </row>
    <row r="9" spans="1:17" x14ac:dyDescent="0.35">
      <c r="P9" t="str">
        <f t="shared" si="0"/>
        <v/>
      </c>
    </row>
    <row r="10" spans="1:17" x14ac:dyDescent="0.35">
      <c r="P10" t="str">
        <f t="shared" si="0"/>
        <v/>
      </c>
    </row>
    <row r="11" spans="1:17" x14ac:dyDescent="0.35">
      <c r="P11" t="str">
        <f t="shared" si="0"/>
        <v/>
      </c>
    </row>
    <row r="12" spans="1:17" x14ac:dyDescent="0.35">
      <c r="P12" t="str">
        <f t="shared" si="0"/>
        <v/>
      </c>
    </row>
    <row r="13" spans="1:17" x14ac:dyDescent="0.35">
      <c r="P13" t="str">
        <f t="shared" si="0"/>
        <v/>
      </c>
    </row>
    <row r="14" spans="1:17" x14ac:dyDescent="0.35">
      <c r="P14" t="str">
        <f t="shared" si="0"/>
        <v/>
      </c>
    </row>
    <row r="15" spans="1:17" x14ac:dyDescent="0.35">
      <c r="P15" t="str">
        <f t="shared" si="0"/>
        <v/>
      </c>
    </row>
    <row r="16" spans="1:17" x14ac:dyDescent="0.35">
      <c r="P16" t="str">
        <f t="shared" si="0"/>
        <v/>
      </c>
    </row>
    <row r="17" spans="16:16" x14ac:dyDescent="0.35">
      <c r="P17" t="str">
        <f t="shared" si="0"/>
        <v/>
      </c>
    </row>
    <row r="18" spans="16:16" x14ac:dyDescent="0.35">
      <c r="P18" t="str">
        <f t="shared" si="0"/>
        <v/>
      </c>
    </row>
    <row r="19" spans="16:16" x14ac:dyDescent="0.35">
      <c r="P19" t="str">
        <f t="shared" si="0"/>
        <v/>
      </c>
    </row>
    <row r="20" spans="16:16" x14ac:dyDescent="0.35">
      <c r="P20" t="str">
        <f t="shared" si="0"/>
        <v/>
      </c>
    </row>
    <row r="21" spans="16:16" x14ac:dyDescent="0.35">
      <c r="P21" t="str">
        <f t="shared" si="0"/>
        <v/>
      </c>
    </row>
    <row r="22" spans="16:16" x14ac:dyDescent="0.35">
      <c r="P22" t="str">
        <f t="shared" si="0"/>
        <v/>
      </c>
    </row>
    <row r="23" spans="16:16" x14ac:dyDescent="0.35">
      <c r="P23" t="str">
        <f t="shared" si="0"/>
        <v/>
      </c>
    </row>
    <row r="24" spans="16:16" x14ac:dyDescent="0.35">
      <c r="P24" t="str">
        <f t="shared" si="0"/>
        <v/>
      </c>
    </row>
    <row r="25" spans="16:16" x14ac:dyDescent="0.35">
      <c r="P25" t="str">
        <f t="shared" si="0"/>
        <v/>
      </c>
    </row>
    <row r="26" spans="16:16" x14ac:dyDescent="0.35">
      <c r="P26" t="str">
        <f t="shared" si="0"/>
        <v/>
      </c>
    </row>
    <row r="27" spans="16:16" x14ac:dyDescent="0.35">
      <c r="P27" t="str">
        <f t="shared" si="0"/>
        <v/>
      </c>
    </row>
    <row r="28" spans="16:16" x14ac:dyDescent="0.35">
      <c r="P28" t="str">
        <f t="shared" si="0"/>
        <v/>
      </c>
    </row>
    <row r="29" spans="16:16" x14ac:dyDescent="0.35">
      <c r="P29" t="str">
        <f t="shared" si="0"/>
        <v/>
      </c>
    </row>
    <row r="30" spans="16:16" x14ac:dyDescent="0.35">
      <c r="P30" t="str">
        <f t="shared" si="0"/>
        <v/>
      </c>
    </row>
    <row r="31" spans="16:16" x14ac:dyDescent="0.35">
      <c r="P31" t="str">
        <f t="shared" si="0"/>
        <v/>
      </c>
    </row>
    <row r="32" spans="16:16" x14ac:dyDescent="0.35">
      <c r="P32" t="str">
        <f t="shared" si="0"/>
        <v/>
      </c>
    </row>
    <row r="33" spans="16:16" x14ac:dyDescent="0.35">
      <c r="P33" t="str">
        <f t="shared" si="0"/>
        <v/>
      </c>
    </row>
    <row r="34" spans="16:16" x14ac:dyDescent="0.35">
      <c r="P34" t="str">
        <f t="shared" si="0"/>
        <v/>
      </c>
    </row>
    <row r="35" spans="16:16" x14ac:dyDescent="0.35">
      <c r="P35" t="str">
        <f t="shared" si="0"/>
        <v/>
      </c>
    </row>
    <row r="36" spans="16:16" x14ac:dyDescent="0.35">
      <c r="P36" t="str">
        <f t="shared" si="0"/>
        <v/>
      </c>
    </row>
    <row r="37" spans="16:16" x14ac:dyDescent="0.35">
      <c r="P37" t="str">
        <f t="shared" si="0"/>
        <v/>
      </c>
    </row>
    <row r="38" spans="16:16" x14ac:dyDescent="0.35">
      <c r="P38" t="str">
        <f t="shared" si="0"/>
        <v/>
      </c>
    </row>
    <row r="39" spans="16:16" x14ac:dyDescent="0.35">
      <c r="P39" t="str">
        <f t="shared" si="0"/>
        <v/>
      </c>
    </row>
    <row r="40" spans="16:16" x14ac:dyDescent="0.35">
      <c r="P40" t="str">
        <f t="shared" si="0"/>
        <v/>
      </c>
    </row>
    <row r="41" spans="16:16" x14ac:dyDescent="0.35">
      <c r="P41" t="str">
        <f t="shared" si="0"/>
        <v/>
      </c>
    </row>
    <row r="42" spans="16:16" x14ac:dyDescent="0.35">
      <c r="P42" t="str">
        <f t="shared" si="0"/>
        <v/>
      </c>
    </row>
    <row r="43" spans="16:16" x14ac:dyDescent="0.35">
      <c r="P43" t="str">
        <f t="shared" si="0"/>
        <v/>
      </c>
    </row>
    <row r="44" spans="16:16" x14ac:dyDescent="0.35">
      <c r="P44" t="str">
        <f t="shared" si="0"/>
        <v/>
      </c>
    </row>
    <row r="45" spans="16:16" x14ac:dyDescent="0.35">
      <c r="P45" t="str">
        <f t="shared" si="0"/>
        <v/>
      </c>
    </row>
    <row r="46" spans="16:16" x14ac:dyDescent="0.35">
      <c r="P46" t="str">
        <f t="shared" si="0"/>
        <v/>
      </c>
    </row>
    <row r="47" spans="16:16" x14ac:dyDescent="0.35">
      <c r="P47" t="str">
        <f t="shared" si="0"/>
        <v/>
      </c>
    </row>
    <row r="48" spans="16:16" x14ac:dyDescent="0.35">
      <c r="P48" t="str">
        <f t="shared" si="0"/>
        <v/>
      </c>
    </row>
    <row r="49" spans="16:16" x14ac:dyDescent="0.35">
      <c r="P49" t="str">
        <f t="shared" si="0"/>
        <v/>
      </c>
    </row>
    <row r="50" spans="16:16" x14ac:dyDescent="0.35">
      <c r="P50" t="str">
        <f t="shared" si="0"/>
        <v/>
      </c>
    </row>
    <row r="51" spans="16:16" x14ac:dyDescent="0.35">
      <c r="P51" t="str">
        <f t="shared" si="0"/>
        <v/>
      </c>
    </row>
    <row r="52" spans="16:16" x14ac:dyDescent="0.35">
      <c r="P52" t="str">
        <f t="shared" si="0"/>
        <v/>
      </c>
    </row>
    <row r="53" spans="16:16" x14ac:dyDescent="0.35">
      <c r="P53" t="str">
        <f t="shared" si="0"/>
        <v/>
      </c>
    </row>
    <row r="54" spans="16:16" x14ac:dyDescent="0.35">
      <c r="P54" t="str">
        <f t="shared" si="0"/>
        <v/>
      </c>
    </row>
    <row r="55" spans="16:16" x14ac:dyDescent="0.35">
      <c r="P55" t="str">
        <f t="shared" si="0"/>
        <v/>
      </c>
    </row>
    <row r="56" spans="16:16" x14ac:dyDescent="0.35">
      <c r="P56" t="str">
        <f t="shared" si="0"/>
        <v/>
      </c>
    </row>
    <row r="57" spans="16:16" x14ac:dyDescent="0.35">
      <c r="P57" t="str">
        <f t="shared" si="0"/>
        <v/>
      </c>
    </row>
    <row r="58" spans="16:16" x14ac:dyDescent="0.35">
      <c r="P58" t="str">
        <f t="shared" si="0"/>
        <v/>
      </c>
    </row>
    <row r="59" spans="16:16" x14ac:dyDescent="0.35">
      <c r="P59" t="str">
        <f t="shared" si="0"/>
        <v/>
      </c>
    </row>
    <row r="60" spans="16:16" x14ac:dyDescent="0.35">
      <c r="P60" t="str">
        <f t="shared" si="0"/>
        <v/>
      </c>
    </row>
    <row r="61" spans="16:16" x14ac:dyDescent="0.35">
      <c r="P61" t="str">
        <f t="shared" si="0"/>
        <v/>
      </c>
    </row>
    <row r="62" spans="16:16" x14ac:dyDescent="0.35">
      <c r="P62" t="str">
        <f t="shared" si="0"/>
        <v/>
      </c>
    </row>
    <row r="63" spans="16:16" x14ac:dyDescent="0.35">
      <c r="P63" t="str">
        <f t="shared" si="0"/>
        <v/>
      </c>
    </row>
    <row r="64" spans="16:16" x14ac:dyDescent="0.35">
      <c r="P64" t="str">
        <f t="shared" si="0"/>
        <v/>
      </c>
    </row>
    <row r="65" spans="16:16" x14ac:dyDescent="0.35">
      <c r="P65" t="str">
        <f t="shared" si="0"/>
        <v/>
      </c>
    </row>
    <row r="66" spans="16:16" x14ac:dyDescent="0.35">
      <c r="P66" t="str">
        <f t="shared" si="0"/>
        <v/>
      </c>
    </row>
    <row r="67" spans="16:16" x14ac:dyDescent="0.35">
      <c r="P67" t="str">
        <f t="shared" ref="P67:P130" si="1">IF(A67="","",IF(N67="",Q67,O67))</f>
        <v/>
      </c>
    </row>
    <row r="68" spans="16:16" x14ac:dyDescent="0.35">
      <c r="P68" t="str">
        <f t="shared" si="1"/>
        <v/>
      </c>
    </row>
    <row r="69" spans="16:16" x14ac:dyDescent="0.35">
      <c r="P69" t="str">
        <f t="shared" si="1"/>
        <v/>
      </c>
    </row>
    <row r="70" spans="16:16" x14ac:dyDescent="0.35">
      <c r="P70" t="str">
        <f t="shared" si="1"/>
        <v/>
      </c>
    </row>
    <row r="71" spans="16:16" x14ac:dyDescent="0.35">
      <c r="P71" t="str">
        <f t="shared" si="1"/>
        <v/>
      </c>
    </row>
    <row r="72" spans="16:16" x14ac:dyDescent="0.35">
      <c r="P72" t="str">
        <f t="shared" si="1"/>
        <v/>
      </c>
    </row>
    <row r="73" spans="16:16" x14ac:dyDescent="0.35">
      <c r="P73" t="str">
        <f t="shared" si="1"/>
        <v/>
      </c>
    </row>
    <row r="74" spans="16:16" x14ac:dyDescent="0.35">
      <c r="P74" t="str">
        <f t="shared" si="1"/>
        <v/>
      </c>
    </row>
    <row r="75" spans="16:16" x14ac:dyDescent="0.35">
      <c r="P75" t="str">
        <f t="shared" si="1"/>
        <v/>
      </c>
    </row>
    <row r="76" spans="16:16" x14ac:dyDescent="0.35">
      <c r="P76" t="str">
        <f t="shared" si="1"/>
        <v/>
      </c>
    </row>
    <row r="77" spans="16:16" x14ac:dyDescent="0.35">
      <c r="P77" t="str">
        <f t="shared" si="1"/>
        <v/>
      </c>
    </row>
    <row r="78" spans="16:16" x14ac:dyDescent="0.35">
      <c r="P78" t="str">
        <f t="shared" si="1"/>
        <v/>
      </c>
    </row>
    <row r="79" spans="16:16" x14ac:dyDescent="0.35">
      <c r="P79" t="str">
        <f t="shared" si="1"/>
        <v/>
      </c>
    </row>
    <row r="80" spans="16:16" x14ac:dyDescent="0.35">
      <c r="P80" t="str">
        <f t="shared" si="1"/>
        <v/>
      </c>
    </row>
    <row r="81" spans="16:16" x14ac:dyDescent="0.35">
      <c r="P81" t="str">
        <f t="shared" si="1"/>
        <v/>
      </c>
    </row>
    <row r="82" spans="16:16" x14ac:dyDescent="0.35">
      <c r="P82" t="str">
        <f t="shared" si="1"/>
        <v/>
      </c>
    </row>
    <row r="83" spans="16:16" x14ac:dyDescent="0.35">
      <c r="P83" t="str">
        <f t="shared" si="1"/>
        <v/>
      </c>
    </row>
    <row r="84" spans="16:16" x14ac:dyDescent="0.35">
      <c r="P84" t="str">
        <f t="shared" si="1"/>
        <v/>
      </c>
    </row>
    <row r="85" spans="16:16" x14ac:dyDescent="0.35">
      <c r="P85" t="str">
        <f t="shared" si="1"/>
        <v/>
      </c>
    </row>
    <row r="86" spans="16:16" x14ac:dyDescent="0.35">
      <c r="P86" t="str">
        <f t="shared" si="1"/>
        <v/>
      </c>
    </row>
    <row r="87" spans="16:16" x14ac:dyDescent="0.35">
      <c r="P87" t="str">
        <f t="shared" si="1"/>
        <v/>
      </c>
    </row>
    <row r="88" spans="16:16" x14ac:dyDescent="0.35">
      <c r="P88" t="str">
        <f t="shared" si="1"/>
        <v/>
      </c>
    </row>
    <row r="89" spans="16:16" x14ac:dyDescent="0.35">
      <c r="P89" t="str">
        <f t="shared" si="1"/>
        <v/>
      </c>
    </row>
    <row r="90" spans="16:16" x14ac:dyDescent="0.35">
      <c r="P90" t="str">
        <f t="shared" si="1"/>
        <v/>
      </c>
    </row>
    <row r="91" spans="16:16" x14ac:dyDescent="0.35">
      <c r="P91" t="str">
        <f t="shared" si="1"/>
        <v/>
      </c>
    </row>
    <row r="92" spans="16:16" x14ac:dyDescent="0.35">
      <c r="P92" t="str">
        <f t="shared" si="1"/>
        <v/>
      </c>
    </row>
    <row r="93" spans="16:16" x14ac:dyDescent="0.35">
      <c r="P93" t="str">
        <f t="shared" si="1"/>
        <v/>
      </c>
    </row>
    <row r="94" spans="16:16" x14ac:dyDescent="0.35">
      <c r="P94" t="str">
        <f t="shared" si="1"/>
        <v/>
      </c>
    </row>
    <row r="95" spans="16:16" x14ac:dyDescent="0.35">
      <c r="P95" t="str">
        <f t="shared" si="1"/>
        <v/>
      </c>
    </row>
    <row r="96" spans="16:16" x14ac:dyDescent="0.35">
      <c r="P96" t="str">
        <f t="shared" si="1"/>
        <v/>
      </c>
    </row>
    <row r="97" spans="16:16" x14ac:dyDescent="0.35">
      <c r="P97" t="str">
        <f t="shared" si="1"/>
        <v/>
      </c>
    </row>
    <row r="98" spans="16:16" x14ac:dyDescent="0.35">
      <c r="P98" t="str">
        <f t="shared" si="1"/>
        <v/>
      </c>
    </row>
    <row r="99" spans="16:16" x14ac:dyDescent="0.35">
      <c r="P99" t="str">
        <f t="shared" si="1"/>
        <v/>
      </c>
    </row>
    <row r="100" spans="16:16" x14ac:dyDescent="0.35">
      <c r="P100" t="str">
        <f t="shared" si="1"/>
        <v/>
      </c>
    </row>
    <row r="101" spans="16:16" x14ac:dyDescent="0.35">
      <c r="P101" t="str">
        <f t="shared" si="1"/>
        <v/>
      </c>
    </row>
    <row r="102" spans="16:16" x14ac:dyDescent="0.35">
      <c r="P102" t="str">
        <f t="shared" si="1"/>
        <v/>
      </c>
    </row>
    <row r="103" spans="16:16" x14ac:dyDescent="0.35">
      <c r="P103" t="str">
        <f t="shared" si="1"/>
        <v/>
      </c>
    </row>
    <row r="104" spans="16:16" x14ac:dyDescent="0.35">
      <c r="P104" t="str">
        <f t="shared" si="1"/>
        <v/>
      </c>
    </row>
    <row r="105" spans="16:16" x14ac:dyDescent="0.35">
      <c r="P105" t="str">
        <f t="shared" si="1"/>
        <v/>
      </c>
    </row>
    <row r="106" spans="16:16" x14ac:dyDescent="0.35">
      <c r="P106" t="str">
        <f t="shared" si="1"/>
        <v/>
      </c>
    </row>
    <row r="107" spans="16:16" x14ac:dyDescent="0.35">
      <c r="P107" t="str">
        <f t="shared" si="1"/>
        <v/>
      </c>
    </row>
    <row r="108" spans="16:16" x14ac:dyDescent="0.35">
      <c r="P108" t="str">
        <f t="shared" si="1"/>
        <v/>
      </c>
    </row>
    <row r="109" spans="16:16" x14ac:dyDescent="0.35">
      <c r="P109" t="str">
        <f t="shared" si="1"/>
        <v/>
      </c>
    </row>
    <row r="110" spans="16:16" x14ac:dyDescent="0.35">
      <c r="P110" t="str">
        <f t="shared" si="1"/>
        <v/>
      </c>
    </row>
    <row r="111" spans="16:16" x14ac:dyDescent="0.35">
      <c r="P111" t="str">
        <f t="shared" si="1"/>
        <v/>
      </c>
    </row>
    <row r="112" spans="16:16" x14ac:dyDescent="0.35">
      <c r="P112" t="str">
        <f t="shared" si="1"/>
        <v/>
      </c>
    </row>
    <row r="113" spans="16:16" x14ac:dyDescent="0.35">
      <c r="P113" t="str">
        <f t="shared" si="1"/>
        <v/>
      </c>
    </row>
    <row r="114" spans="16:16" x14ac:dyDescent="0.35">
      <c r="P114" t="str">
        <f t="shared" si="1"/>
        <v/>
      </c>
    </row>
    <row r="115" spans="16:16" x14ac:dyDescent="0.35">
      <c r="P115" t="str">
        <f t="shared" si="1"/>
        <v/>
      </c>
    </row>
    <row r="116" spans="16:16" x14ac:dyDescent="0.35">
      <c r="P116" t="str">
        <f t="shared" si="1"/>
        <v/>
      </c>
    </row>
    <row r="117" spans="16:16" x14ac:dyDescent="0.35">
      <c r="P117" t="str">
        <f t="shared" si="1"/>
        <v/>
      </c>
    </row>
    <row r="118" spans="16:16" x14ac:dyDescent="0.35">
      <c r="P118" t="str">
        <f t="shared" si="1"/>
        <v/>
      </c>
    </row>
    <row r="119" spans="16:16" x14ac:dyDescent="0.35">
      <c r="P119" t="str">
        <f t="shared" si="1"/>
        <v/>
      </c>
    </row>
    <row r="120" spans="16:16" x14ac:dyDescent="0.35">
      <c r="P120" t="str">
        <f t="shared" si="1"/>
        <v/>
      </c>
    </row>
    <row r="121" spans="16:16" x14ac:dyDescent="0.35">
      <c r="P121" t="str">
        <f t="shared" si="1"/>
        <v/>
      </c>
    </row>
    <row r="122" spans="16:16" x14ac:dyDescent="0.35">
      <c r="P122" t="str">
        <f t="shared" si="1"/>
        <v/>
      </c>
    </row>
    <row r="123" spans="16:16" x14ac:dyDescent="0.35">
      <c r="P123" t="str">
        <f t="shared" si="1"/>
        <v/>
      </c>
    </row>
    <row r="124" spans="16:16" x14ac:dyDescent="0.35">
      <c r="P124" t="str">
        <f t="shared" si="1"/>
        <v/>
      </c>
    </row>
    <row r="125" spans="16:16" x14ac:dyDescent="0.35">
      <c r="P125" t="str">
        <f t="shared" si="1"/>
        <v/>
      </c>
    </row>
    <row r="126" spans="16:16" x14ac:dyDescent="0.35">
      <c r="P126" t="str">
        <f t="shared" si="1"/>
        <v/>
      </c>
    </row>
    <row r="127" spans="16:16" x14ac:dyDescent="0.35">
      <c r="P127" t="str">
        <f t="shared" si="1"/>
        <v/>
      </c>
    </row>
    <row r="128" spans="16:16" x14ac:dyDescent="0.35">
      <c r="P128" t="str">
        <f t="shared" si="1"/>
        <v/>
      </c>
    </row>
    <row r="129" spans="16:16" x14ac:dyDescent="0.35">
      <c r="P129" t="str">
        <f t="shared" si="1"/>
        <v/>
      </c>
    </row>
    <row r="130" spans="16:16" x14ac:dyDescent="0.35">
      <c r="P130" t="str">
        <f t="shared" si="1"/>
        <v/>
      </c>
    </row>
    <row r="131" spans="16:16" x14ac:dyDescent="0.35">
      <c r="P131" t="str">
        <f t="shared" ref="P131:P194" si="2">IF(A131="","",IF(N131="",Q131,O131))</f>
        <v/>
      </c>
    </row>
    <row r="132" spans="16:16" x14ac:dyDescent="0.35">
      <c r="P132" t="str">
        <f t="shared" si="2"/>
        <v/>
      </c>
    </row>
    <row r="133" spans="16:16" x14ac:dyDescent="0.35">
      <c r="P133" t="str">
        <f t="shared" si="2"/>
        <v/>
      </c>
    </row>
    <row r="134" spans="16:16" x14ac:dyDescent="0.35">
      <c r="P134" t="str">
        <f t="shared" si="2"/>
        <v/>
      </c>
    </row>
    <row r="135" spans="16:16" x14ac:dyDescent="0.35">
      <c r="P135" t="str">
        <f t="shared" si="2"/>
        <v/>
      </c>
    </row>
    <row r="136" spans="16:16" x14ac:dyDescent="0.35">
      <c r="P136" t="str">
        <f t="shared" si="2"/>
        <v/>
      </c>
    </row>
    <row r="137" spans="16:16" x14ac:dyDescent="0.35">
      <c r="P137" t="str">
        <f t="shared" si="2"/>
        <v/>
      </c>
    </row>
    <row r="138" spans="16:16" x14ac:dyDescent="0.35">
      <c r="P138" t="str">
        <f t="shared" si="2"/>
        <v/>
      </c>
    </row>
    <row r="139" spans="16:16" x14ac:dyDescent="0.35">
      <c r="P139" t="str">
        <f t="shared" si="2"/>
        <v/>
      </c>
    </row>
    <row r="140" spans="16:16" x14ac:dyDescent="0.35">
      <c r="P140" t="str">
        <f t="shared" si="2"/>
        <v/>
      </c>
    </row>
    <row r="141" spans="16:16" x14ac:dyDescent="0.35">
      <c r="P141" t="str">
        <f t="shared" si="2"/>
        <v/>
      </c>
    </row>
    <row r="142" spans="16:16" x14ac:dyDescent="0.35">
      <c r="P142" t="str">
        <f t="shared" si="2"/>
        <v/>
      </c>
    </row>
    <row r="143" spans="16:16" x14ac:dyDescent="0.35">
      <c r="P143" t="str">
        <f t="shared" si="2"/>
        <v/>
      </c>
    </row>
    <row r="144" spans="16:16" x14ac:dyDescent="0.35">
      <c r="P144" t="str">
        <f t="shared" si="2"/>
        <v/>
      </c>
    </row>
    <row r="145" spans="16:16" x14ac:dyDescent="0.35">
      <c r="P145" t="str">
        <f t="shared" si="2"/>
        <v/>
      </c>
    </row>
    <row r="146" spans="16:16" x14ac:dyDescent="0.35">
      <c r="P146" t="str">
        <f t="shared" si="2"/>
        <v/>
      </c>
    </row>
    <row r="147" spans="16:16" x14ac:dyDescent="0.35">
      <c r="P147" t="str">
        <f t="shared" si="2"/>
        <v/>
      </c>
    </row>
    <row r="148" spans="16:16" x14ac:dyDescent="0.35">
      <c r="P148" t="str">
        <f t="shared" si="2"/>
        <v/>
      </c>
    </row>
    <row r="149" spans="16:16" x14ac:dyDescent="0.35">
      <c r="P149" t="str">
        <f t="shared" si="2"/>
        <v/>
      </c>
    </row>
    <row r="150" spans="16:16" x14ac:dyDescent="0.35">
      <c r="P150" t="str">
        <f t="shared" si="2"/>
        <v/>
      </c>
    </row>
    <row r="151" spans="16:16" x14ac:dyDescent="0.35">
      <c r="P151" t="str">
        <f t="shared" si="2"/>
        <v/>
      </c>
    </row>
    <row r="152" spans="16:16" x14ac:dyDescent="0.35">
      <c r="P152" t="str">
        <f t="shared" si="2"/>
        <v/>
      </c>
    </row>
    <row r="153" spans="16:16" x14ac:dyDescent="0.35">
      <c r="P153" t="str">
        <f t="shared" si="2"/>
        <v/>
      </c>
    </row>
    <row r="154" spans="16:16" x14ac:dyDescent="0.35">
      <c r="P154" t="str">
        <f t="shared" si="2"/>
        <v/>
      </c>
    </row>
    <row r="155" spans="16:16" x14ac:dyDescent="0.35">
      <c r="P155" t="str">
        <f t="shared" si="2"/>
        <v/>
      </c>
    </row>
    <row r="156" spans="16:16" x14ac:dyDescent="0.35">
      <c r="P156" t="str">
        <f t="shared" si="2"/>
        <v/>
      </c>
    </row>
    <row r="157" spans="16:16" x14ac:dyDescent="0.35">
      <c r="P157" t="str">
        <f t="shared" si="2"/>
        <v/>
      </c>
    </row>
    <row r="158" spans="16:16" x14ac:dyDescent="0.35">
      <c r="P158" t="str">
        <f t="shared" si="2"/>
        <v/>
      </c>
    </row>
    <row r="159" spans="16:16" x14ac:dyDescent="0.35">
      <c r="P159" t="str">
        <f t="shared" si="2"/>
        <v/>
      </c>
    </row>
    <row r="160" spans="16:16" x14ac:dyDescent="0.35">
      <c r="P160" t="str">
        <f t="shared" si="2"/>
        <v/>
      </c>
    </row>
    <row r="161" spans="16:16" x14ac:dyDescent="0.35">
      <c r="P161" t="str">
        <f t="shared" si="2"/>
        <v/>
      </c>
    </row>
    <row r="162" spans="16:16" x14ac:dyDescent="0.35">
      <c r="P162" t="str">
        <f t="shared" si="2"/>
        <v/>
      </c>
    </row>
    <row r="163" spans="16:16" x14ac:dyDescent="0.35">
      <c r="P163" t="str">
        <f t="shared" si="2"/>
        <v/>
      </c>
    </row>
    <row r="164" spans="16:16" x14ac:dyDescent="0.35">
      <c r="P164" t="str">
        <f t="shared" si="2"/>
        <v/>
      </c>
    </row>
    <row r="165" spans="16:16" x14ac:dyDescent="0.35">
      <c r="P165" t="str">
        <f t="shared" si="2"/>
        <v/>
      </c>
    </row>
    <row r="166" spans="16:16" x14ac:dyDescent="0.35">
      <c r="P166" t="str">
        <f t="shared" si="2"/>
        <v/>
      </c>
    </row>
    <row r="167" spans="16:16" x14ac:dyDescent="0.35">
      <c r="P167" t="str">
        <f t="shared" si="2"/>
        <v/>
      </c>
    </row>
    <row r="168" spans="16:16" x14ac:dyDescent="0.35">
      <c r="P168" t="str">
        <f t="shared" si="2"/>
        <v/>
      </c>
    </row>
    <row r="169" spans="16:16" x14ac:dyDescent="0.35">
      <c r="P169" t="str">
        <f t="shared" si="2"/>
        <v/>
      </c>
    </row>
    <row r="170" spans="16:16" x14ac:dyDescent="0.35">
      <c r="P170" t="str">
        <f t="shared" si="2"/>
        <v/>
      </c>
    </row>
    <row r="171" spans="16:16" x14ac:dyDescent="0.35">
      <c r="P171" t="str">
        <f t="shared" si="2"/>
        <v/>
      </c>
    </row>
    <row r="172" spans="16:16" x14ac:dyDescent="0.35">
      <c r="P172" t="str">
        <f t="shared" si="2"/>
        <v/>
      </c>
    </row>
    <row r="173" spans="16:16" x14ac:dyDescent="0.35">
      <c r="P173" t="str">
        <f t="shared" si="2"/>
        <v/>
      </c>
    </row>
    <row r="174" spans="16:16" x14ac:dyDescent="0.35">
      <c r="P174" t="str">
        <f t="shared" si="2"/>
        <v/>
      </c>
    </row>
    <row r="175" spans="16:16" x14ac:dyDescent="0.35">
      <c r="P175" t="str">
        <f t="shared" si="2"/>
        <v/>
      </c>
    </row>
    <row r="176" spans="16:16" x14ac:dyDescent="0.35">
      <c r="P176" t="str">
        <f t="shared" si="2"/>
        <v/>
      </c>
    </row>
    <row r="177" spans="16:16" x14ac:dyDescent="0.35">
      <c r="P177" t="str">
        <f t="shared" si="2"/>
        <v/>
      </c>
    </row>
    <row r="178" spans="16:16" x14ac:dyDescent="0.35">
      <c r="P178" t="str">
        <f t="shared" si="2"/>
        <v/>
      </c>
    </row>
    <row r="179" spans="16:16" x14ac:dyDescent="0.35">
      <c r="P179" t="str">
        <f t="shared" si="2"/>
        <v/>
      </c>
    </row>
    <row r="180" spans="16:16" x14ac:dyDescent="0.35">
      <c r="P180" t="str">
        <f t="shared" si="2"/>
        <v/>
      </c>
    </row>
    <row r="181" spans="16:16" x14ac:dyDescent="0.35">
      <c r="P181" t="str">
        <f t="shared" si="2"/>
        <v/>
      </c>
    </row>
    <row r="182" spans="16:16" x14ac:dyDescent="0.35">
      <c r="P182" t="str">
        <f t="shared" si="2"/>
        <v/>
      </c>
    </row>
    <row r="183" spans="16:16" x14ac:dyDescent="0.35">
      <c r="P183" t="str">
        <f t="shared" si="2"/>
        <v/>
      </c>
    </row>
    <row r="184" spans="16:16" x14ac:dyDescent="0.35">
      <c r="P184" t="str">
        <f t="shared" si="2"/>
        <v/>
      </c>
    </row>
    <row r="185" spans="16:16" x14ac:dyDescent="0.35">
      <c r="P185" t="str">
        <f t="shared" si="2"/>
        <v/>
      </c>
    </row>
    <row r="186" spans="16:16" x14ac:dyDescent="0.35">
      <c r="P186" t="str">
        <f t="shared" si="2"/>
        <v/>
      </c>
    </row>
    <row r="187" spans="16:16" x14ac:dyDescent="0.35">
      <c r="P187" t="str">
        <f t="shared" si="2"/>
        <v/>
      </c>
    </row>
    <row r="188" spans="16:16" x14ac:dyDescent="0.35">
      <c r="P188" t="str">
        <f t="shared" si="2"/>
        <v/>
      </c>
    </row>
    <row r="189" spans="16:16" x14ac:dyDescent="0.35">
      <c r="P189" t="str">
        <f t="shared" si="2"/>
        <v/>
      </c>
    </row>
    <row r="190" spans="16:16" x14ac:dyDescent="0.35">
      <c r="P190" t="str">
        <f t="shared" si="2"/>
        <v/>
      </c>
    </row>
    <row r="191" spans="16:16" x14ac:dyDescent="0.35">
      <c r="P191" t="str">
        <f t="shared" si="2"/>
        <v/>
      </c>
    </row>
    <row r="192" spans="16:16" x14ac:dyDescent="0.35">
      <c r="P192" t="str">
        <f t="shared" si="2"/>
        <v/>
      </c>
    </row>
    <row r="193" spans="16:16" x14ac:dyDescent="0.35">
      <c r="P193" t="str">
        <f t="shared" si="2"/>
        <v/>
      </c>
    </row>
    <row r="194" spans="16:16" x14ac:dyDescent="0.35">
      <c r="P194" t="str">
        <f t="shared" si="2"/>
        <v/>
      </c>
    </row>
    <row r="195" spans="16:16" x14ac:dyDescent="0.35">
      <c r="P195" t="str">
        <f t="shared" ref="P195:P200" si="3">IF(A195="","",IF(N195="",Q195,O195))</f>
        <v/>
      </c>
    </row>
    <row r="196" spans="16:16" x14ac:dyDescent="0.35">
      <c r="P196" t="str">
        <f t="shared" si="3"/>
        <v/>
      </c>
    </row>
    <row r="197" spans="16:16" x14ac:dyDescent="0.35">
      <c r="P197" t="str">
        <f t="shared" si="3"/>
        <v/>
      </c>
    </row>
    <row r="198" spans="16:16" x14ac:dyDescent="0.35">
      <c r="P198" t="str">
        <f t="shared" si="3"/>
        <v/>
      </c>
    </row>
    <row r="199" spans="16:16" x14ac:dyDescent="0.35">
      <c r="P199" t="str">
        <f t="shared" si="3"/>
        <v/>
      </c>
    </row>
    <row r="200" spans="16:16" x14ac:dyDescent="0.35">
      <c r="P200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1FF6-9476-4B5F-874B-4314DC4B5958}">
  <dimension ref="A1:Q200"/>
  <sheetViews>
    <sheetView tabSelected="1" topLeftCell="D1" workbookViewId="0">
      <selection activeCell="H2" sqref="H2"/>
    </sheetView>
  </sheetViews>
  <sheetFormatPr defaultRowHeight="14.5" x14ac:dyDescent="0.35"/>
  <cols>
    <col min="4" max="4" width="13" bestFit="1" customWidth="1"/>
    <col min="5" max="5" width="13" customWidth="1"/>
    <col min="8" max="8" width="11.453125" bestFit="1" customWidth="1"/>
    <col min="13" max="14" width="13" bestFit="1" customWidth="1"/>
    <col min="17" max="17" width="11.453125" bestFit="1" customWidth="1"/>
  </cols>
  <sheetData>
    <row r="1" spans="1:17" x14ac:dyDescent="0.35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17</v>
      </c>
      <c r="G1" t="s">
        <v>18</v>
      </c>
      <c r="H1" t="s">
        <v>19</v>
      </c>
      <c r="J1" t="s">
        <v>1</v>
      </c>
      <c r="K1" t="s">
        <v>21</v>
      </c>
      <c r="L1" t="s">
        <v>22</v>
      </c>
      <c r="M1" t="s">
        <v>23</v>
      </c>
      <c r="N1" t="s">
        <v>24</v>
      </c>
      <c r="O1" t="s">
        <v>17</v>
      </c>
      <c r="P1" t="s">
        <v>18</v>
      </c>
      <c r="Q1" t="s">
        <v>19</v>
      </c>
    </row>
    <row r="2" spans="1:17" x14ac:dyDescent="0.35">
      <c r="A2" t="str">
        <f>IF(PBH_RR!A2="","",IF(OR(PBH_RR!E2="FH Matrix", PBH_RR!E2="FC Matrix"),PBH_RR!C2,INDEX(SF_Data!D:D, MATCH(PBH_RR!D2, SF_Data!B:B, 0))))</f>
        <v/>
      </c>
      <c r="B2" t="str">
        <f>IF(PBH_RR!A2="","",IF(OR(PBH_RR!E2="FH Matrix",PBH_RR!E2="FC Matrix"),PBH_RR!G2,IF(INDEX(SF_Data!F:F,MATCH(PBH_RR!D2,SF_Data!B:B,0))="Greater(FH/FC)",IF(INDEX(SF_Data!M:M,MATCH(PBH_RR!D2,SF_Data!B:B,0))="FH",INDEX(SF_Data!Q:Q,MATCH(PBH_RR!D2,SF_Data!B:B,0)),""),IF(PBH_RR!E2="Both(FH+FC)",IF(PBH_RR!L2="FH",PBH_RR!G2,""),INDEX(SF_Data!Q:Q,MATCH(PBH_RR!D2,SF_Data!B:B,0))))))</f>
        <v/>
      </c>
      <c r="C2" t="str">
        <f>IF(PBH_RR!A2="","",IF(OR(PBH_RR!E2="FH Matrix",PBH_RR!E2="FC Matrix"),PBH_RR!H2,IF(INDEX(SF_Data!F:F,MATCH(PBH_RR!D2,SF_Data!B:B,0))="Greater(FH/FC)",IF(INDEX(SF_Data!M:M,MATCH(PBH_RR!D2,SF_Data!B:B,0))="FC",INDEX(SF_Data!R:R,MATCH(PBH_RR!D2,SF_Data!B:B,0)),""),IF(PBH_RR!E2="Both(FH+FC)",IF(PBH_RR!L2="FC",PBH_RR!H2,""),INDEX(SF_Data!R:R,MATCH(PBH_RR!D2,SF_Data!B:B,0))))))</f>
        <v/>
      </c>
      <c r="D2" t="str">
        <f>IF(PBH_RR!A2="","",IF(OR(PBH_RR!E2="Hourly",PBH_RR!E2="Cycle"),IF(INDEX(SF_Data!M:M,MATCH(PBH_RR!D2,SF_Data!B:B,0))="FH",INDEX(SF_Data!G:G,MATCH(PBH_RR!D2,SF_Data!B:B,0)),""),IF(PBH_RR!E2="Both(FH+FC)",IF(PBH_RR!L2="FH",PBH_RR!M2-PBH_RR!G2,""),IF(PBH_RR!E2="Greater(FH/FC)",IF(INDEX(SF_Data!M:M,MATCH(PBH_RR!D2,SF_Data!B:B,0))="FH",INDEX(SF_Data!G:G,MATCH(PBH_RR!D2,SF_Data!B:B,0))-INDEX(SF_Data!Q:Q,MATCH(PBH_RR!D2,SF_Data!B:B,0)),""),IF(INDEX(SF_Data!M:M,MATCH(PBH_RR!D2,SF_Data!B:B,0))="FH",INDEX(PBH_Lines!K:K,MATCH(PBH_RR!A2,PBH_Lines!M:M,0)),"")))))</f>
        <v/>
      </c>
      <c r="E2" t="str">
        <f>IF(PBH_RR!A2="","",IF(OR(PBH_RR!E2="Hourly",PBH_RR!E2="Cycle"),IF(INDEX(SF_Data!M:M,MATCH(PBH_RR!D2,SF_Data!B:B,0))="FC",INDEX(SF_Data!G:G,MATCH(PBH_RR!D2,SF_Data!B:B,0)),""),IF(PBH_RR!E2="Both(FH+FC)",IF(PBH_RR!L2="FC",PBH_RR!M2-PBH_RR!H2,""),IF(PBH_RR!E2="Greater(FH/FC)",IF(INDEX(SF_Data!M:M,MATCH(PBH_RR!D2,SF_Data!B:B,0))="FC",INDEX(SF_Data!G:G,MATCH(PBH_RR!D2,SF_Data!B:B,0))-INDEX(SF_Data!R:R,MATCH(PBH_RR!D2,SF_Data!B:B,0)),""),IF(INDEX(SF_Data!M:M,MATCH(PBH_RR!D2,SF_Data!B:B,0))="FC",INDEX(PBH_Lines!K:K,MATCH(PBH_RR!A2,PBH_Lines!M:M,0)),"")))))</f>
        <v/>
      </c>
      <c r="F2" t="str">
        <f>IF(PBH_RR!A2="","",IF(OR(PBH_RR!E2="FH Matrix",PBH_RR!E2="FC Matrix"),PBH_RR!I2,IF(INDEX(SF_Data!F:F,MATCH(PBH_RR!D2,SF_Data!B:B,0))="Greater(FH/FC)",IF(INDEX(SF_Data!M:M,MATCH(PBH_RR!D2,SF_Data!B:B,0))="FH",INDEX(SF_Data!S:S,MATCH(PBH_RR!D2,SF_Data!B:B,0)),""),IF(PBH_RR!E2="Both(FH+FC)",IF(PBH_RR!L2="FH",PBH_RR!I2,""),INDEX(SF_Data!S:S,MATCH(PBH_RR!D2,SF_Data!B:B,0))))))</f>
        <v/>
      </c>
      <c r="G2" t="str">
        <f>IF(PBH_RR!A2="","",IF(OR(PBH_RR!E2="FH Matrix",PBH_RR!E2="FC Matrix"),PBH_RR!J2,IF(INDEX(SF_Data!F:F,MATCH(PBH_RR!D2,SF_Data!B:B,0))="Greater(FH/FC)",IF(INDEX(SF_Data!M:M,MATCH(PBH_RR!D2,SF_Data!B:B,0))="FC",INDEX(SF_Data!T:T,MATCH(PBH_RR!D2,SF_Data!B:B,0)),""),IF(PBH_RR!E2="Both(FH+FC)",IF(PBH_RR!L2="FC",PBH_RR!J2,""),INDEX(SF_Data!T:T,MATCH(PBH_RR!D2,SF_Data!B:B,0))))))</f>
        <v/>
      </c>
      <c r="H2" t="str">
        <f>IF(PBH_RR!A2="","",IF(PBH_RR!E2="Both(FH+FC)",PBH_RR!P2,IF(OR(PBH_RR!E2="FH Matrix",PBH_RR!E2="FC Matrix"),INDEX(PBH_Lines!O:O,MATCH(PBH_RR!A2,PBH_Lines!M:M,0)),INDEX(SF_Data!U:U,MATCH(PBH_RR!D2,SF_Data!B:B,0)))))</f>
        <v/>
      </c>
      <c r="J2" t="str">
        <f t="shared" ref="J2:P2" si="0">IF(A2="","",A2)</f>
        <v/>
      </c>
      <c r="K2" t="str">
        <f t="shared" si="0"/>
        <v/>
      </c>
      <c r="L2" t="str">
        <f t="shared" si="0"/>
        <v/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>IF(H2=H1,"",H2)</f>
        <v/>
      </c>
    </row>
    <row r="3" spans="1:17" x14ac:dyDescent="0.35">
      <c r="A3" t="str">
        <f>IF(PBH_RR!A3="","",IF(OR(PBH_RR!E3="FH Matrix", PBH_RR!E3="FC Matrix"),PBH_RR!C3,INDEX(SF_Data!D:D, MATCH(PBH_RR!D3, SF_Data!B:B, 0))))</f>
        <v/>
      </c>
      <c r="B3" t="str">
        <f>IF(PBH_RR!A3="","",IF(OR(PBH_RR!E3="FH Matrix",PBH_RR!E3="FC Matrix"),PBH_RR!G3,IF(INDEX(SF_Data!F:F,MATCH(PBH_RR!D3,SF_Data!B:B,0))="Greater(FH/FC)",IF(INDEX(SF_Data!M:M,MATCH(PBH_RR!D3,SF_Data!B:B,0))="FH",INDEX(SF_Data!Q:Q,MATCH(PBH_RR!D3,SF_Data!B:B,0)),""),IF(PBH_RR!E3="Both(FH+FC)",IF(PBH_RR!L3="FH",PBH_RR!G3,""),INDEX(SF_Data!Q:Q,MATCH(PBH_RR!D3,SF_Data!B:B,0))))))</f>
        <v/>
      </c>
      <c r="C3" t="str">
        <f>IF(PBH_RR!A3="","",IF(OR(PBH_RR!E3="FH Matrix",PBH_RR!E3="FC Matrix"),PBH_RR!H3,IF(INDEX(SF_Data!F:F,MATCH(PBH_RR!D3,SF_Data!B:B,0))="Greater(FH/FC)",IF(INDEX(SF_Data!M:M,MATCH(PBH_RR!D3,SF_Data!B:B,0))="FC",INDEX(SF_Data!R:R,MATCH(PBH_RR!D3,SF_Data!B:B,0)),""),IF(PBH_RR!E3="Both(FH+FC)",IF(PBH_RR!L3="FC",PBH_RR!H3,""),INDEX(SF_Data!R:R,MATCH(PBH_RR!D3,SF_Data!B:B,0))))))</f>
        <v/>
      </c>
      <c r="D3" t="str">
        <f>IF(PBH_RR!A3="","",IF(OR(PBH_RR!E3="Hourly",PBH_RR!E3="Cycle"),IF(INDEX(SF_Data!M:M,MATCH(PBH_RR!D3,SF_Data!B:B,0))="FH",INDEX(SF_Data!G:G,MATCH(PBH_RR!D3,SF_Data!B:B,0)),""),IF(PBH_RR!E3="Both(FH+FC)",IF(PBH_RR!L3="FH",PBH_RR!M3-PBH_RR!G3,""),IF(PBH_RR!E3="Greater(FH/FC)",IF(INDEX(SF_Data!M:M,MATCH(PBH_RR!D3,SF_Data!B:B,0))="FH",INDEX(SF_Data!G:G,MATCH(PBH_RR!D3,SF_Data!B:B,0))-INDEX(SF_Data!Q:Q,MATCH(PBH_RR!D3,SF_Data!B:B,0)),""),IF(INDEX(SF_Data!M:M,MATCH(PBH_RR!D3,SF_Data!B:B,0))="FH",INDEX(PBH_Lines!K:K,MATCH(PBH_RR!A3,PBH_Lines!M:M,0)),"")))))</f>
        <v/>
      </c>
      <c r="E3" t="str">
        <f>IF(PBH_RR!A3="","",IF(OR(PBH_RR!E3="Hourly",PBH_RR!E3="Cycle"),IF(INDEX(SF_Data!M:M,MATCH(PBH_RR!D3,SF_Data!B:B,0))="FC",INDEX(SF_Data!G:G,MATCH(PBH_RR!D3,SF_Data!B:B,0)),""),IF(PBH_RR!E3="Both(FH+FC)",IF(PBH_RR!L3="FC",PBH_RR!M3-PBH_RR!H3,""),IF(PBH_RR!E3="Greater(FH/FC)",IF(INDEX(SF_Data!M:M,MATCH(PBH_RR!D3,SF_Data!B:B,0))="FC",INDEX(SF_Data!G:G,MATCH(PBH_RR!D3,SF_Data!B:B,0))-INDEX(SF_Data!R:R,MATCH(PBH_RR!D3,SF_Data!B:B,0)),""),IF(INDEX(SF_Data!M:M,MATCH(PBH_RR!D3,SF_Data!B:B,0))="FC",INDEX(PBH_Lines!K:K,MATCH(PBH_RR!A3,PBH_Lines!M:M,0)),"")))))</f>
        <v/>
      </c>
      <c r="F3" t="str">
        <f>IF(PBH_RR!A3="","",IF(OR(PBH_RR!E3="FH Matrix",PBH_RR!E3="FC Matrix"),PBH_RR!I3,IF(INDEX(SF_Data!F:F,MATCH(PBH_RR!D3,SF_Data!B:B,0))="Greater(FH/FC)",IF(INDEX(SF_Data!M:M,MATCH(PBH_RR!D3,SF_Data!B:B,0))="FH",INDEX(SF_Data!S:S,MATCH(PBH_RR!D3,SF_Data!B:B,0)),""),IF(PBH_RR!E3="Both(FH+FC)",IF(PBH_RR!L3="FH",PBH_RR!I3,""),INDEX(SF_Data!S:S,MATCH(PBH_RR!D3,SF_Data!B:B,0))))))</f>
        <v/>
      </c>
      <c r="G3" t="str">
        <f>IF(PBH_RR!A3="","",IF(OR(PBH_RR!E3="FH Matrix",PBH_RR!E3="FC Matrix"),PBH_RR!J3,IF(INDEX(SF_Data!F:F,MATCH(PBH_RR!D3,SF_Data!B:B,0))="Greater(FH/FC)",IF(INDEX(SF_Data!M:M,MATCH(PBH_RR!D3,SF_Data!B:B,0))="FC",INDEX(SF_Data!T:T,MATCH(PBH_RR!D3,SF_Data!B:B,0)),""),IF(PBH_RR!E3="Both(FH+FC)",IF(PBH_RR!L3="FC",PBH_RR!J3,""),INDEX(SF_Data!T:T,MATCH(PBH_RR!D3,SF_Data!B:B,0))))))</f>
        <v/>
      </c>
      <c r="H3" t="str">
        <f>IF(PBH_RR!A3="","",IF(PBH_RR!E3="Both(FH+FC)",PBH_RR!P3,IF(OR(PBH_RR!E3="FH Matrix",PBH_RR!E3="FC Matrix"),INDEX(PBH_Lines!O:O,MATCH(PBH_RR!A3,PBH_Lines!M:M,0)),INDEX(SF_Data!U:U,MATCH(PBH_RR!D3,SF_Data!B:B,0)))))</f>
        <v/>
      </c>
      <c r="J3" t="str">
        <f t="shared" ref="J3:J66" si="1">IF(A3="","",A3)</f>
        <v/>
      </c>
      <c r="K3" t="str">
        <f t="shared" ref="K3:K66" si="2">IF(B3="","",B3)</f>
        <v/>
      </c>
      <c r="L3" t="str">
        <f t="shared" ref="L3:L66" si="3">IF(C3="","",C3)</f>
        <v/>
      </c>
      <c r="M3" t="str">
        <f t="shared" ref="M3:M66" si="4">IF(D3="","",D3)</f>
        <v/>
      </c>
      <c r="N3" t="str">
        <f t="shared" ref="N3:N66" si="5">IF(E3="","",E3)</f>
        <v/>
      </c>
      <c r="O3" t="str">
        <f t="shared" ref="O3:O66" si="6">IF(F3="","",F3)</f>
        <v/>
      </c>
      <c r="P3" t="str">
        <f t="shared" ref="P3:P66" si="7">IF(G3="","",G3)</f>
        <v/>
      </c>
      <c r="Q3" t="str">
        <f t="shared" ref="Q3:Q66" si="8">IF(H3=H2,"",H3)</f>
        <v/>
      </c>
    </row>
    <row r="4" spans="1:17" x14ac:dyDescent="0.35">
      <c r="A4" t="str">
        <f>IF(PBH_RR!A4="","",IF(OR(PBH_RR!E4="FH Matrix", PBH_RR!E4="FC Matrix"),PBH_RR!C4,INDEX(SF_Data!D:D, MATCH(PBH_RR!D4, SF_Data!B:B, 0))))</f>
        <v/>
      </c>
      <c r="B4" t="str">
        <f>IF(PBH_RR!A4="","",IF(OR(PBH_RR!E4="FH Matrix",PBH_RR!E4="FC Matrix"),PBH_RR!G4,IF(INDEX(SF_Data!F:F,MATCH(PBH_RR!D4,SF_Data!B:B,0))="Greater(FH/FC)",IF(INDEX(SF_Data!M:M,MATCH(PBH_RR!D4,SF_Data!B:B,0))="FH",INDEX(SF_Data!Q:Q,MATCH(PBH_RR!D4,SF_Data!B:B,0)),""),IF(PBH_RR!E4="Both(FH+FC)",IF(PBH_RR!L4="FH",PBH_RR!G4,""),INDEX(SF_Data!Q:Q,MATCH(PBH_RR!D4,SF_Data!B:B,0))))))</f>
        <v/>
      </c>
      <c r="C4" t="str">
        <f>IF(PBH_RR!A4="","",IF(OR(PBH_RR!E4="FH Matrix",PBH_RR!E4="FC Matrix"),PBH_RR!H4,IF(INDEX(SF_Data!F:F,MATCH(PBH_RR!D4,SF_Data!B:B,0))="Greater(FH/FC)",IF(INDEX(SF_Data!M:M,MATCH(PBH_RR!D4,SF_Data!B:B,0))="FC",INDEX(SF_Data!R:R,MATCH(PBH_RR!D4,SF_Data!B:B,0)),""),IF(PBH_RR!E4="Both(FH+FC)",IF(PBH_RR!L4="FC",PBH_RR!H4,""),INDEX(SF_Data!R:R,MATCH(PBH_RR!D4,SF_Data!B:B,0))))))</f>
        <v/>
      </c>
      <c r="D4" t="str">
        <f>IF(PBH_RR!A4="","",IF(OR(PBH_RR!E4="Hourly",PBH_RR!E4="Cycle"),IF(INDEX(SF_Data!M:M,MATCH(PBH_RR!D4,SF_Data!B:B,0))="FH",INDEX(SF_Data!G:G,MATCH(PBH_RR!D4,SF_Data!B:B,0)),""),IF(PBH_RR!E4="Both(FH+FC)",IF(PBH_RR!L4="FH",PBH_RR!M4-PBH_RR!G4,""),IF(PBH_RR!E4="Greater(FH/FC)",IF(INDEX(SF_Data!M:M,MATCH(PBH_RR!D4,SF_Data!B:B,0))="FH",INDEX(SF_Data!G:G,MATCH(PBH_RR!D4,SF_Data!B:B,0))-INDEX(SF_Data!Q:Q,MATCH(PBH_RR!D4,SF_Data!B:B,0)),""),IF(INDEX(SF_Data!M:M,MATCH(PBH_RR!D4,SF_Data!B:B,0))="FH",INDEX(PBH_Lines!K:K,MATCH(PBH_RR!A4,PBH_Lines!M:M,0)),"")))))</f>
        <v/>
      </c>
      <c r="E4" t="str">
        <f>IF(PBH_RR!A4="","",IF(OR(PBH_RR!E4="Hourly",PBH_RR!E4="Cycle"),IF(INDEX(SF_Data!M:M,MATCH(PBH_RR!D4,SF_Data!B:B,0))="FC",INDEX(SF_Data!G:G,MATCH(PBH_RR!D4,SF_Data!B:B,0)),""),IF(PBH_RR!E4="Both(FH+FC)",IF(PBH_RR!L4="FC",PBH_RR!M4-PBH_RR!H4,""),IF(PBH_RR!E4="Greater(FH/FC)",IF(INDEX(SF_Data!M:M,MATCH(PBH_RR!D4,SF_Data!B:B,0))="FC",INDEX(SF_Data!G:G,MATCH(PBH_RR!D4,SF_Data!B:B,0))-INDEX(SF_Data!R:R,MATCH(PBH_RR!D4,SF_Data!B:B,0)),""),IF(INDEX(SF_Data!M:M,MATCH(PBH_RR!D4,SF_Data!B:B,0))="FC",INDEX(PBH_Lines!K:K,MATCH(PBH_RR!A4,PBH_Lines!M:M,0)),"")))))</f>
        <v/>
      </c>
      <c r="F4" t="str">
        <f>IF(PBH_RR!A4="","",IF(OR(PBH_RR!E4="FH Matrix",PBH_RR!E4="FC Matrix"),PBH_RR!I4,IF(INDEX(SF_Data!F:F,MATCH(PBH_RR!D4,SF_Data!B:B,0))="Greater(FH/FC)",IF(INDEX(SF_Data!M:M,MATCH(PBH_RR!D4,SF_Data!B:B,0))="FH",INDEX(SF_Data!S:S,MATCH(PBH_RR!D4,SF_Data!B:B,0)),""),IF(PBH_RR!E4="Both(FH+FC)",IF(PBH_RR!L4="FH",PBH_RR!I4,""),INDEX(SF_Data!S:S,MATCH(PBH_RR!D4,SF_Data!B:B,0))))))</f>
        <v/>
      </c>
      <c r="G4" t="str">
        <f>IF(PBH_RR!A4="","",IF(OR(PBH_RR!E4="FH Matrix",PBH_RR!E4="FC Matrix"),PBH_RR!J4,IF(INDEX(SF_Data!F:F,MATCH(PBH_RR!D4,SF_Data!B:B,0))="Greater(FH/FC)",IF(INDEX(SF_Data!M:M,MATCH(PBH_RR!D4,SF_Data!B:B,0))="FC",INDEX(SF_Data!T:T,MATCH(PBH_RR!D4,SF_Data!B:B,0)),""),IF(PBH_RR!E4="Both(FH+FC)",IF(PBH_RR!L4="FC",PBH_RR!J4,""),INDEX(SF_Data!T:T,MATCH(PBH_RR!D4,SF_Data!B:B,0))))))</f>
        <v/>
      </c>
      <c r="H4" t="str">
        <f>IF(PBH_RR!A4="","",IF(PBH_RR!E4="Both(FH+FC)",PBH_RR!P4,IF(OR(PBH_RR!E4="FH Matrix",PBH_RR!E4="FC Matrix"),INDEX(PBH_Lines!O:O,MATCH(PBH_RR!A4,PBH_Lines!M:M,0)),INDEX(SF_Data!U:U,MATCH(PBH_RR!D4,SF_Data!B:B,0)))))</f>
        <v/>
      </c>
      <c r="J4" t="str">
        <f t="shared" si="1"/>
        <v/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/>
      </c>
      <c r="O4" t="str">
        <f t="shared" si="6"/>
        <v/>
      </c>
      <c r="P4" t="str">
        <f t="shared" si="7"/>
        <v/>
      </c>
      <c r="Q4" t="str">
        <f t="shared" si="8"/>
        <v/>
      </c>
    </row>
    <row r="5" spans="1:17" x14ac:dyDescent="0.35">
      <c r="A5" t="str">
        <f>IF(PBH_RR!A5="","",IF(OR(PBH_RR!E5="FH Matrix", PBH_RR!E5="FC Matrix"),PBH_RR!C5,INDEX(SF_Data!D:D, MATCH(PBH_RR!D5, SF_Data!B:B, 0))))</f>
        <v/>
      </c>
      <c r="B5" t="str">
        <f>IF(PBH_RR!A5="","",IF(OR(PBH_RR!E5="FH Matrix",PBH_RR!E5="FC Matrix"),PBH_RR!G5,IF(INDEX(SF_Data!F:F,MATCH(PBH_RR!D5,SF_Data!B:B,0))="Greater(FH/FC)",IF(INDEX(SF_Data!M:M,MATCH(PBH_RR!D5,SF_Data!B:B,0))="FH",INDEX(SF_Data!Q:Q,MATCH(PBH_RR!D5,SF_Data!B:B,0)),""),IF(PBH_RR!E5="Both(FH+FC)",IF(PBH_RR!L5="FH",PBH_RR!G5,""),INDEX(SF_Data!Q:Q,MATCH(PBH_RR!D5,SF_Data!B:B,0))))))</f>
        <v/>
      </c>
      <c r="C5" t="str">
        <f>IF(PBH_RR!A5="","",IF(OR(PBH_RR!E5="FH Matrix",PBH_RR!E5="FC Matrix"),PBH_RR!H5,IF(INDEX(SF_Data!F:F,MATCH(PBH_RR!D5,SF_Data!B:B,0))="Greater(FH/FC)",IF(INDEX(SF_Data!M:M,MATCH(PBH_RR!D5,SF_Data!B:B,0))="FC",INDEX(SF_Data!R:R,MATCH(PBH_RR!D5,SF_Data!B:B,0)),""),IF(PBH_RR!E5="Both(FH+FC)",IF(PBH_RR!L5="FC",PBH_RR!H5,""),INDEX(SF_Data!R:R,MATCH(PBH_RR!D5,SF_Data!B:B,0))))))</f>
        <v/>
      </c>
      <c r="D5" t="str">
        <f>IF(PBH_RR!A5="","",IF(OR(PBH_RR!E5="Hourly",PBH_RR!E5="Cycle"),IF(INDEX(SF_Data!M:M,MATCH(PBH_RR!D5,SF_Data!B:B,0))="FH",INDEX(SF_Data!G:G,MATCH(PBH_RR!D5,SF_Data!B:B,0)),""),IF(PBH_RR!E5="Both(FH+FC)",IF(PBH_RR!L5="FH",PBH_RR!M5-PBH_RR!G5,""),IF(PBH_RR!E5="Greater(FH/FC)",IF(INDEX(SF_Data!M:M,MATCH(PBH_RR!D5,SF_Data!B:B,0))="FH",INDEX(SF_Data!G:G,MATCH(PBH_RR!D5,SF_Data!B:B,0))-INDEX(SF_Data!Q:Q,MATCH(PBH_RR!D5,SF_Data!B:B,0)),""),IF(INDEX(SF_Data!M:M,MATCH(PBH_RR!D5,SF_Data!B:B,0))="FH",INDEX(PBH_Lines!K:K,MATCH(PBH_RR!A5,PBH_Lines!M:M,0)),"")))))</f>
        <v/>
      </c>
      <c r="E5" t="str">
        <f>IF(PBH_RR!A5="","",IF(OR(PBH_RR!E5="Hourly",PBH_RR!E5="Cycle"),IF(INDEX(SF_Data!M:M,MATCH(PBH_RR!D5,SF_Data!B:B,0))="FC",INDEX(SF_Data!G:G,MATCH(PBH_RR!D5,SF_Data!B:B,0)),""),IF(PBH_RR!E5="Both(FH+FC)",IF(PBH_RR!L5="FC",PBH_RR!M5-PBH_RR!H5,""),IF(PBH_RR!E5="Greater(FH/FC)",IF(INDEX(SF_Data!M:M,MATCH(PBH_RR!D5,SF_Data!B:B,0))="FC",INDEX(SF_Data!G:G,MATCH(PBH_RR!D5,SF_Data!B:B,0))-INDEX(SF_Data!R:R,MATCH(PBH_RR!D5,SF_Data!B:B,0)),""),IF(INDEX(SF_Data!M:M,MATCH(PBH_RR!D5,SF_Data!B:B,0))="FC",INDEX(PBH_Lines!K:K,MATCH(PBH_RR!A5,PBH_Lines!M:M,0)),"")))))</f>
        <v/>
      </c>
      <c r="F5" t="str">
        <f>IF(PBH_RR!A5="","",IF(OR(PBH_RR!E5="FH Matrix",PBH_RR!E5="FC Matrix"),PBH_RR!I5,IF(INDEX(SF_Data!F:F,MATCH(PBH_RR!D5,SF_Data!B:B,0))="Greater(FH/FC)",IF(INDEX(SF_Data!M:M,MATCH(PBH_RR!D5,SF_Data!B:B,0))="FH",INDEX(SF_Data!S:S,MATCH(PBH_RR!D5,SF_Data!B:B,0)),""),IF(PBH_RR!E5="Both(FH+FC)",IF(PBH_RR!L5="FH",PBH_RR!I5,""),INDEX(SF_Data!S:S,MATCH(PBH_RR!D5,SF_Data!B:B,0))))))</f>
        <v/>
      </c>
      <c r="G5" t="str">
        <f>IF(PBH_RR!A5="","",IF(OR(PBH_RR!E5="FH Matrix",PBH_RR!E5="FC Matrix"),PBH_RR!J5,IF(INDEX(SF_Data!F:F,MATCH(PBH_RR!D5,SF_Data!B:B,0))="Greater(FH/FC)",IF(INDEX(SF_Data!M:M,MATCH(PBH_RR!D5,SF_Data!B:B,0))="FC",INDEX(SF_Data!T:T,MATCH(PBH_RR!D5,SF_Data!B:B,0)),""),IF(PBH_RR!E5="Both(FH+FC)",IF(PBH_RR!L5="FC",PBH_RR!J5,""),INDEX(SF_Data!T:T,MATCH(PBH_RR!D5,SF_Data!B:B,0))))))</f>
        <v/>
      </c>
      <c r="H5" t="str">
        <f>IF(PBH_RR!A5="","",IF(PBH_RR!E5="Both(FH+FC)",PBH_RR!P5,IF(OR(PBH_RR!E5="FH Matrix",PBH_RR!E5="FC Matrix"),INDEX(PBH_Lines!O:O,MATCH(PBH_RR!A5,PBH_Lines!M:M,0)),INDEX(SF_Data!U:U,MATCH(PBH_RR!D5,SF_Data!B:B,0)))))</f>
        <v/>
      </c>
      <c r="J5" t="str">
        <f t="shared" si="1"/>
        <v/>
      </c>
      <c r="K5" t="str">
        <f t="shared" si="2"/>
        <v/>
      </c>
      <c r="L5" t="str">
        <f t="shared" si="3"/>
        <v/>
      </c>
      <c r="M5" t="str">
        <f t="shared" si="4"/>
        <v/>
      </c>
      <c r="N5" t="str">
        <f t="shared" si="5"/>
        <v/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 x14ac:dyDescent="0.35">
      <c r="A6" t="str">
        <f>IF(PBH_RR!A6="","",IF(OR(PBH_RR!E6="FH Matrix", PBH_RR!E6="FC Matrix"),PBH_RR!C6,INDEX(SF_Data!D:D, MATCH(PBH_RR!D6, SF_Data!B:B, 0))))</f>
        <v/>
      </c>
      <c r="B6" t="str">
        <f>IF(PBH_RR!A6="","",IF(OR(PBH_RR!E6="FH Matrix",PBH_RR!E6="FC Matrix"),PBH_RR!G6,IF(INDEX(SF_Data!F:F,MATCH(PBH_RR!D6,SF_Data!B:B,0))="Greater(FH/FC)",IF(INDEX(SF_Data!M:M,MATCH(PBH_RR!D6,SF_Data!B:B,0))="FH",INDEX(SF_Data!Q:Q,MATCH(PBH_RR!D6,SF_Data!B:B,0)),""),IF(PBH_RR!E6="Both(FH+FC)",IF(PBH_RR!L6="FH",PBH_RR!G6,""),INDEX(SF_Data!Q:Q,MATCH(PBH_RR!D6,SF_Data!B:B,0))))))</f>
        <v/>
      </c>
      <c r="C6" t="str">
        <f>IF(PBH_RR!A6="","",IF(OR(PBH_RR!E6="FH Matrix",PBH_RR!E6="FC Matrix"),PBH_RR!H6,IF(INDEX(SF_Data!F:F,MATCH(PBH_RR!D6,SF_Data!B:B,0))="Greater(FH/FC)",IF(INDEX(SF_Data!M:M,MATCH(PBH_RR!D6,SF_Data!B:B,0))="FC",INDEX(SF_Data!R:R,MATCH(PBH_RR!D6,SF_Data!B:B,0)),""),IF(PBH_RR!E6="Both(FH+FC)",IF(PBH_RR!L6="FC",PBH_RR!H6,""),INDEX(SF_Data!R:R,MATCH(PBH_RR!D6,SF_Data!B:B,0))))))</f>
        <v/>
      </c>
      <c r="D6" t="str">
        <f>IF(PBH_RR!A6="","",IF(OR(PBH_RR!E6="Hourly",PBH_RR!E6="Cycle"),IF(INDEX(SF_Data!M:M,MATCH(PBH_RR!D6,SF_Data!B:B,0))="FH",INDEX(SF_Data!G:G,MATCH(PBH_RR!D6,SF_Data!B:B,0)),""),IF(PBH_RR!E6="Both(FH+FC)",IF(PBH_RR!L6="FH",PBH_RR!M6-PBH_RR!G6,""),IF(PBH_RR!E6="Greater(FH/FC)",IF(INDEX(SF_Data!M:M,MATCH(PBH_RR!D6,SF_Data!B:B,0))="FH",INDEX(SF_Data!G:G,MATCH(PBH_RR!D6,SF_Data!B:B,0))-INDEX(SF_Data!Q:Q,MATCH(PBH_RR!D6,SF_Data!B:B,0)),""),IF(INDEX(SF_Data!M:M,MATCH(PBH_RR!D6,SF_Data!B:B,0))="FH",INDEX(PBH_Lines!K:K,MATCH(PBH_RR!A6,PBH_Lines!M:M,0)),"")))))</f>
        <v/>
      </c>
      <c r="E6" t="str">
        <f>IF(PBH_RR!A6="","",IF(OR(PBH_RR!E6="Hourly",PBH_RR!E6="Cycle"),IF(INDEX(SF_Data!M:M,MATCH(PBH_RR!D6,SF_Data!B:B,0))="FC",INDEX(SF_Data!G:G,MATCH(PBH_RR!D6,SF_Data!B:B,0)),""),IF(PBH_RR!E6="Both(FH+FC)",IF(PBH_RR!L6="FC",PBH_RR!M6-PBH_RR!H6,""),IF(PBH_RR!E6="Greater(FH/FC)",IF(INDEX(SF_Data!M:M,MATCH(PBH_RR!D6,SF_Data!B:B,0))="FC",INDEX(SF_Data!G:G,MATCH(PBH_RR!D6,SF_Data!B:B,0))-INDEX(SF_Data!R:R,MATCH(PBH_RR!D6,SF_Data!B:B,0)),""),IF(INDEX(SF_Data!M:M,MATCH(PBH_RR!D6,SF_Data!B:B,0))="FC",INDEX(PBH_Lines!K:K,MATCH(PBH_RR!A6,PBH_Lines!M:M,0)),"")))))</f>
        <v/>
      </c>
      <c r="F6" t="str">
        <f>IF(PBH_RR!A6="","",IF(OR(PBH_RR!E6="FH Matrix",PBH_RR!E6="FC Matrix"),PBH_RR!I6,IF(INDEX(SF_Data!F:F,MATCH(PBH_RR!D6,SF_Data!B:B,0))="Greater(FH/FC)",IF(INDEX(SF_Data!M:M,MATCH(PBH_RR!D6,SF_Data!B:B,0))="FH",INDEX(SF_Data!S:S,MATCH(PBH_RR!D6,SF_Data!B:B,0)),""),IF(PBH_RR!E6="Both(FH+FC)",IF(PBH_RR!L6="FH",PBH_RR!I6,""),INDEX(SF_Data!S:S,MATCH(PBH_RR!D6,SF_Data!B:B,0))))))</f>
        <v/>
      </c>
      <c r="G6" t="str">
        <f>IF(PBH_RR!A6="","",IF(OR(PBH_RR!E6="FH Matrix",PBH_RR!E6="FC Matrix"),PBH_RR!J6,IF(INDEX(SF_Data!F:F,MATCH(PBH_RR!D6,SF_Data!B:B,0))="Greater(FH/FC)",IF(INDEX(SF_Data!M:M,MATCH(PBH_RR!D6,SF_Data!B:B,0))="FC",INDEX(SF_Data!T:T,MATCH(PBH_RR!D6,SF_Data!B:B,0)),""),IF(PBH_RR!E6="Both(FH+FC)",IF(PBH_RR!L6="FC",PBH_RR!J6,""),INDEX(SF_Data!T:T,MATCH(PBH_RR!D6,SF_Data!B:B,0))))))</f>
        <v/>
      </c>
      <c r="H6" t="str">
        <f>IF(PBH_RR!A6="","",IF(PBH_RR!E6="Both(FH+FC)",PBH_RR!P6,IF(OR(PBH_RR!E6="FH Matrix",PBH_RR!E6="FC Matrix"),INDEX(PBH_Lines!O:O,MATCH(PBH_RR!A6,PBH_Lines!M:M,0)),INDEX(SF_Data!U:U,MATCH(PBH_RR!D6,SF_Data!B:B,0)))))</f>
        <v/>
      </c>
      <c r="J6" t="str">
        <f t="shared" si="1"/>
        <v/>
      </c>
      <c r="K6" t="str">
        <f t="shared" si="2"/>
        <v/>
      </c>
      <c r="L6" t="str">
        <f t="shared" si="3"/>
        <v/>
      </c>
      <c r="M6" t="str">
        <f t="shared" si="4"/>
        <v/>
      </c>
      <c r="N6" t="str">
        <f t="shared" si="5"/>
        <v/>
      </c>
      <c r="O6" t="str">
        <f t="shared" si="6"/>
        <v/>
      </c>
      <c r="P6" t="str">
        <f t="shared" si="7"/>
        <v/>
      </c>
      <c r="Q6" t="str">
        <f t="shared" si="8"/>
        <v/>
      </c>
    </row>
    <row r="7" spans="1:17" x14ac:dyDescent="0.35">
      <c r="A7" t="str">
        <f>IF(PBH_RR!A7="","",IF(OR(PBH_RR!E7="FH Matrix", PBH_RR!E7="FC Matrix"),PBH_RR!C7,INDEX(SF_Data!D:D, MATCH(PBH_RR!D7, SF_Data!B:B, 0))))</f>
        <v/>
      </c>
      <c r="B7" t="str">
        <f>IF(PBH_RR!A7="","",IF(OR(PBH_RR!E7="FH Matrix",PBH_RR!E7="FC Matrix"),PBH_RR!G7,IF(INDEX(SF_Data!F:F,MATCH(PBH_RR!D7,SF_Data!B:B,0))="Greater(FH/FC)",IF(INDEX(SF_Data!M:M,MATCH(PBH_RR!D7,SF_Data!B:B,0))="FH",INDEX(SF_Data!Q:Q,MATCH(PBH_RR!D7,SF_Data!B:B,0)),""),IF(PBH_RR!E7="Both(FH+FC)",IF(PBH_RR!L7="FH",PBH_RR!G7,""),INDEX(SF_Data!Q:Q,MATCH(PBH_RR!D7,SF_Data!B:B,0))))))</f>
        <v/>
      </c>
      <c r="C7" t="str">
        <f>IF(PBH_RR!A7="","",IF(OR(PBH_RR!E7="FH Matrix",PBH_RR!E7="FC Matrix"),PBH_RR!H7,IF(INDEX(SF_Data!F:F,MATCH(PBH_RR!D7,SF_Data!B:B,0))="Greater(FH/FC)",IF(INDEX(SF_Data!M:M,MATCH(PBH_RR!D7,SF_Data!B:B,0))="FC",INDEX(SF_Data!R:R,MATCH(PBH_RR!D7,SF_Data!B:B,0)),""),IF(PBH_RR!E7="Both(FH+FC)",IF(PBH_RR!L7="FC",PBH_RR!H7,""),INDEX(SF_Data!R:R,MATCH(PBH_RR!D7,SF_Data!B:B,0))))))</f>
        <v/>
      </c>
      <c r="D7" t="str">
        <f>IF(PBH_RR!A7="","",IF(OR(PBH_RR!E7="Hourly",PBH_RR!E7="Cycle"),IF(INDEX(SF_Data!M:M,MATCH(PBH_RR!D7,SF_Data!B:B,0))="FH",INDEX(SF_Data!G:G,MATCH(PBH_RR!D7,SF_Data!B:B,0)),""),IF(PBH_RR!E7="Both(FH+FC)",IF(PBH_RR!L7="FH",PBH_RR!M7-PBH_RR!G7,""),IF(PBH_RR!E7="Greater(FH/FC)",IF(INDEX(SF_Data!M:M,MATCH(PBH_RR!D7,SF_Data!B:B,0))="FH",INDEX(SF_Data!G:G,MATCH(PBH_RR!D7,SF_Data!B:B,0))-INDEX(SF_Data!Q:Q,MATCH(PBH_RR!D7,SF_Data!B:B,0)),""),IF(INDEX(SF_Data!M:M,MATCH(PBH_RR!D7,SF_Data!B:B,0))="FH",INDEX(PBH_Lines!K:K,MATCH(PBH_RR!A7,PBH_Lines!M:M,0)),"")))))</f>
        <v/>
      </c>
      <c r="E7" t="str">
        <f>IF(PBH_RR!A7="","",IF(OR(PBH_RR!E7="Hourly",PBH_RR!E7="Cycle"),IF(INDEX(SF_Data!M:M,MATCH(PBH_RR!D7,SF_Data!B:B,0))="FC",INDEX(SF_Data!G:G,MATCH(PBH_RR!D7,SF_Data!B:B,0)),""),IF(PBH_RR!E7="Both(FH+FC)",IF(PBH_RR!L7="FC",PBH_RR!M7-PBH_RR!H7,""),IF(PBH_RR!E7="Greater(FH/FC)",IF(INDEX(SF_Data!M:M,MATCH(PBH_RR!D7,SF_Data!B:B,0))="FC",INDEX(SF_Data!G:G,MATCH(PBH_RR!D7,SF_Data!B:B,0))-INDEX(SF_Data!R:R,MATCH(PBH_RR!D7,SF_Data!B:B,0)),""),IF(INDEX(SF_Data!M:M,MATCH(PBH_RR!D7,SF_Data!B:B,0))="FC",INDEX(PBH_Lines!K:K,MATCH(PBH_RR!A7,PBH_Lines!M:M,0)),"")))))</f>
        <v/>
      </c>
      <c r="F7" t="str">
        <f>IF(PBH_RR!A7="","",IF(OR(PBH_RR!E7="FH Matrix",PBH_RR!E7="FC Matrix"),PBH_RR!I7,IF(INDEX(SF_Data!F:F,MATCH(PBH_RR!D7,SF_Data!B:B,0))="Greater(FH/FC)",IF(INDEX(SF_Data!M:M,MATCH(PBH_RR!D7,SF_Data!B:B,0))="FH",INDEX(SF_Data!S:S,MATCH(PBH_RR!D7,SF_Data!B:B,0)),""),IF(PBH_RR!E7="Both(FH+FC)",IF(PBH_RR!L7="FH",PBH_RR!I7,""),INDEX(SF_Data!S:S,MATCH(PBH_RR!D7,SF_Data!B:B,0))))))</f>
        <v/>
      </c>
      <c r="G7" t="str">
        <f>IF(PBH_RR!A7="","",IF(OR(PBH_RR!E7="FH Matrix",PBH_RR!E7="FC Matrix"),PBH_RR!J7,IF(INDEX(SF_Data!F:F,MATCH(PBH_RR!D7,SF_Data!B:B,0))="Greater(FH/FC)",IF(INDEX(SF_Data!M:M,MATCH(PBH_RR!D7,SF_Data!B:B,0))="FC",INDEX(SF_Data!T:T,MATCH(PBH_RR!D7,SF_Data!B:B,0)),""),IF(PBH_RR!E7="Both(FH+FC)",IF(PBH_RR!L7="FC",PBH_RR!J7,""),INDEX(SF_Data!T:T,MATCH(PBH_RR!D7,SF_Data!B:B,0))))))</f>
        <v/>
      </c>
      <c r="H7" t="str">
        <f>IF(PBH_RR!A7="","",IF(PBH_RR!E7="Both(FH+FC)",PBH_RR!P7,IF(OR(PBH_RR!E7="FH Matrix",PBH_RR!E7="FC Matrix"),INDEX(PBH_Lines!O:O,MATCH(PBH_RR!A7,PBH_Lines!M:M,0)),INDEX(SF_Data!U:U,MATCH(PBH_RR!D7,SF_Data!B:B,0)))))</f>
        <v/>
      </c>
      <c r="J7" t="str">
        <f t="shared" si="1"/>
        <v/>
      </c>
      <c r="K7" t="str">
        <f t="shared" si="2"/>
        <v/>
      </c>
      <c r="L7" t="str">
        <f t="shared" si="3"/>
        <v/>
      </c>
      <c r="M7" t="str">
        <f t="shared" si="4"/>
        <v/>
      </c>
      <c r="N7" t="str">
        <f t="shared" si="5"/>
        <v/>
      </c>
      <c r="O7" t="str">
        <f t="shared" si="6"/>
        <v/>
      </c>
      <c r="P7" t="str">
        <f t="shared" si="7"/>
        <v/>
      </c>
      <c r="Q7" t="str">
        <f t="shared" si="8"/>
        <v/>
      </c>
    </row>
    <row r="8" spans="1:17" x14ac:dyDescent="0.35">
      <c r="A8" t="str">
        <f>IF(PBH_RR!A8="","",IF(OR(PBH_RR!E8="FH Matrix", PBH_RR!E8="FC Matrix"),PBH_RR!C8,INDEX(SF_Data!D:D, MATCH(PBH_RR!D8, SF_Data!B:B, 0))))</f>
        <v/>
      </c>
      <c r="B8" t="str">
        <f>IF(PBH_RR!A8="","",IF(OR(PBH_RR!E8="FH Matrix",PBH_RR!E8="FC Matrix"),PBH_RR!G8,IF(INDEX(SF_Data!F:F,MATCH(PBH_RR!D8,SF_Data!B:B,0))="Greater(FH/FC)",IF(INDEX(SF_Data!M:M,MATCH(PBH_RR!D8,SF_Data!B:B,0))="FH",INDEX(SF_Data!Q:Q,MATCH(PBH_RR!D8,SF_Data!B:B,0)),""),IF(PBH_RR!E8="Both(FH+FC)",IF(PBH_RR!L8="FH",PBH_RR!G8,""),INDEX(SF_Data!Q:Q,MATCH(PBH_RR!D8,SF_Data!B:B,0))))))</f>
        <v/>
      </c>
      <c r="C8" t="str">
        <f>IF(PBH_RR!A8="","",IF(OR(PBH_RR!E8="FH Matrix",PBH_RR!E8="FC Matrix"),PBH_RR!H8,IF(INDEX(SF_Data!F:F,MATCH(PBH_RR!D8,SF_Data!B:B,0))="Greater(FH/FC)",IF(INDEX(SF_Data!M:M,MATCH(PBH_RR!D8,SF_Data!B:B,0))="FC",INDEX(SF_Data!R:R,MATCH(PBH_RR!D8,SF_Data!B:B,0)),""),IF(PBH_RR!E8="Both(FH+FC)",IF(PBH_RR!L8="FC",PBH_RR!H8,""),INDEX(SF_Data!R:R,MATCH(PBH_RR!D8,SF_Data!B:B,0))))))</f>
        <v/>
      </c>
      <c r="D8" t="str">
        <f>IF(PBH_RR!A8="","",IF(OR(PBH_RR!E8="Hourly",PBH_RR!E8="Cycle"),IF(INDEX(SF_Data!M:M,MATCH(PBH_RR!D8,SF_Data!B:B,0))="FH",INDEX(SF_Data!G:G,MATCH(PBH_RR!D8,SF_Data!B:B,0)),""),IF(PBH_RR!E8="Both(FH+FC)",IF(PBH_RR!L8="FH",PBH_RR!M8-PBH_RR!G8,""),IF(PBH_RR!E8="Greater(FH/FC)",IF(INDEX(SF_Data!M:M,MATCH(PBH_RR!D8,SF_Data!B:B,0))="FH",INDEX(SF_Data!G:G,MATCH(PBH_RR!D8,SF_Data!B:B,0))-INDEX(SF_Data!Q:Q,MATCH(PBH_RR!D8,SF_Data!B:B,0)),""),IF(INDEX(SF_Data!M:M,MATCH(PBH_RR!D8,SF_Data!B:B,0))="FH",INDEX(PBH_Lines!K:K,MATCH(PBH_RR!A8,PBH_Lines!M:M,0)),"")))))</f>
        <v/>
      </c>
      <c r="E8" t="str">
        <f>IF(PBH_RR!A8="","",IF(OR(PBH_RR!E8="Hourly",PBH_RR!E8="Cycle"),IF(INDEX(SF_Data!M:M,MATCH(PBH_RR!D8,SF_Data!B:B,0))="FC",INDEX(SF_Data!G:G,MATCH(PBH_RR!D8,SF_Data!B:B,0)),""),IF(PBH_RR!E8="Both(FH+FC)",IF(PBH_RR!L8="FC",PBH_RR!M8-PBH_RR!H8,""),IF(PBH_RR!E8="Greater(FH/FC)",IF(INDEX(SF_Data!M:M,MATCH(PBH_RR!D8,SF_Data!B:B,0))="FC",INDEX(SF_Data!G:G,MATCH(PBH_RR!D8,SF_Data!B:B,0))-INDEX(SF_Data!R:R,MATCH(PBH_RR!D8,SF_Data!B:B,0)),""),IF(INDEX(SF_Data!M:M,MATCH(PBH_RR!D8,SF_Data!B:B,0))="FC",INDEX(PBH_Lines!K:K,MATCH(PBH_RR!A8,PBH_Lines!M:M,0)),"")))))</f>
        <v/>
      </c>
      <c r="F8" t="str">
        <f>IF(PBH_RR!A8="","",IF(OR(PBH_RR!E8="FH Matrix",PBH_RR!E8="FC Matrix"),PBH_RR!I8,IF(INDEX(SF_Data!F:F,MATCH(PBH_RR!D8,SF_Data!B:B,0))="Greater(FH/FC)",IF(INDEX(SF_Data!M:M,MATCH(PBH_RR!D8,SF_Data!B:B,0))="FH",INDEX(SF_Data!S:S,MATCH(PBH_RR!D8,SF_Data!B:B,0)),""),IF(PBH_RR!E8="Both(FH+FC)",IF(PBH_RR!L8="FH",PBH_RR!I8,""),INDEX(SF_Data!S:S,MATCH(PBH_RR!D8,SF_Data!B:B,0))))))</f>
        <v/>
      </c>
      <c r="G8" t="str">
        <f>IF(PBH_RR!A8="","",IF(OR(PBH_RR!E8="FH Matrix",PBH_RR!E8="FC Matrix"),PBH_RR!J8,IF(INDEX(SF_Data!F:F,MATCH(PBH_RR!D8,SF_Data!B:B,0))="Greater(FH/FC)",IF(INDEX(SF_Data!M:M,MATCH(PBH_RR!D8,SF_Data!B:B,0))="FC",INDEX(SF_Data!T:T,MATCH(PBH_RR!D8,SF_Data!B:B,0)),""),IF(PBH_RR!E8="Both(FH+FC)",IF(PBH_RR!L8="FC",PBH_RR!J8,""),INDEX(SF_Data!T:T,MATCH(PBH_RR!D8,SF_Data!B:B,0))))))</f>
        <v/>
      </c>
      <c r="H8" t="str">
        <f>IF(PBH_RR!A8="","",IF(PBH_RR!E8="Both(FH+FC)",PBH_RR!P8,IF(OR(PBH_RR!E8="FH Matrix",PBH_RR!E8="FC Matrix"),INDEX(PBH_Lines!O:O,MATCH(PBH_RR!A8,PBH_Lines!M:M,0)),INDEX(SF_Data!U:U,MATCH(PBH_RR!D8,SF_Data!B:B,0)))))</f>
        <v/>
      </c>
      <c r="J8" t="str">
        <f t="shared" si="1"/>
        <v/>
      </c>
      <c r="K8" t="str">
        <f t="shared" si="2"/>
        <v/>
      </c>
      <c r="L8" t="str">
        <f t="shared" si="3"/>
        <v/>
      </c>
      <c r="M8" t="str">
        <f t="shared" si="4"/>
        <v/>
      </c>
      <c r="N8" t="str">
        <f t="shared" si="5"/>
        <v/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 x14ac:dyDescent="0.35">
      <c r="A9" t="str">
        <f>IF(PBH_RR!A9="","",IF(OR(PBH_RR!E9="FH Matrix", PBH_RR!E9="FC Matrix"),PBH_RR!C9,INDEX(SF_Data!D:D, MATCH(PBH_RR!D9, SF_Data!B:B, 0))))</f>
        <v/>
      </c>
      <c r="B9" t="str">
        <f>IF(PBH_RR!A9="","",IF(OR(PBH_RR!E9="FH Matrix",PBH_RR!E9="FC Matrix"),PBH_RR!G9,IF(INDEX(SF_Data!F:F,MATCH(PBH_RR!D9,SF_Data!B:B,0))="Greater(FH/FC)",IF(INDEX(SF_Data!M:M,MATCH(PBH_RR!D9,SF_Data!B:B,0))="FH",INDEX(SF_Data!Q:Q,MATCH(PBH_RR!D9,SF_Data!B:B,0)),""),IF(PBH_RR!E9="Both(FH+FC)",IF(PBH_RR!L9="FH",PBH_RR!G9,""),INDEX(SF_Data!Q:Q,MATCH(PBH_RR!D9,SF_Data!B:B,0))))))</f>
        <v/>
      </c>
      <c r="C9" t="str">
        <f>IF(PBH_RR!A9="","",IF(OR(PBH_RR!E9="FH Matrix",PBH_RR!E9="FC Matrix"),PBH_RR!H9,IF(INDEX(SF_Data!F:F,MATCH(PBH_RR!D9,SF_Data!B:B,0))="Greater(FH/FC)",IF(INDEX(SF_Data!M:M,MATCH(PBH_RR!D9,SF_Data!B:B,0))="FC",INDEX(SF_Data!R:R,MATCH(PBH_RR!D9,SF_Data!B:B,0)),""),IF(PBH_RR!E9="Both(FH+FC)",IF(PBH_RR!L9="FC",PBH_RR!H9,""),INDEX(SF_Data!R:R,MATCH(PBH_RR!D9,SF_Data!B:B,0))))))</f>
        <v/>
      </c>
      <c r="D9" t="str">
        <f>IF(PBH_RR!A9="","",IF(OR(PBH_RR!E9="Hourly",PBH_RR!E9="Cycle"),IF(INDEX(SF_Data!M:M,MATCH(PBH_RR!D9,SF_Data!B:B,0))="FH",INDEX(SF_Data!G:G,MATCH(PBH_RR!D9,SF_Data!B:B,0)),""),IF(PBH_RR!E9="Both(FH+FC)",IF(PBH_RR!L9="FH",PBH_RR!M9-PBH_RR!G9,""),IF(PBH_RR!E9="Greater(FH/FC)",IF(INDEX(SF_Data!M:M,MATCH(PBH_RR!D9,SF_Data!B:B,0))="FH",INDEX(SF_Data!G:G,MATCH(PBH_RR!D9,SF_Data!B:B,0))-INDEX(SF_Data!Q:Q,MATCH(PBH_RR!D9,SF_Data!B:B,0)),""),IF(INDEX(SF_Data!M:M,MATCH(PBH_RR!D9,SF_Data!B:B,0))="FH",INDEX(PBH_Lines!K:K,MATCH(PBH_RR!A9,PBH_Lines!M:M,0)),"")))))</f>
        <v/>
      </c>
      <c r="E9" t="str">
        <f>IF(PBH_RR!A9="","",IF(OR(PBH_RR!E9="Hourly",PBH_RR!E9="Cycle"),IF(INDEX(SF_Data!M:M,MATCH(PBH_RR!D9,SF_Data!B:B,0))="FC",INDEX(SF_Data!G:G,MATCH(PBH_RR!D9,SF_Data!B:B,0)),""),IF(PBH_RR!E9="Both(FH+FC)",IF(PBH_RR!L9="FC",PBH_RR!M9-PBH_RR!H9,""),IF(PBH_RR!E9="Greater(FH/FC)",IF(INDEX(SF_Data!M:M,MATCH(PBH_RR!D9,SF_Data!B:B,0))="FC",INDEX(SF_Data!G:G,MATCH(PBH_RR!D9,SF_Data!B:B,0))-INDEX(SF_Data!R:R,MATCH(PBH_RR!D9,SF_Data!B:B,0)),""),IF(INDEX(SF_Data!M:M,MATCH(PBH_RR!D9,SF_Data!B:B,0))="FC",INDEX(PBH_Lines!K:K,MATCH(PBH_RR!A9,PBH_Lines!M:M,0)),"")))))</f>
        <v/>
      </c>
      <c r="F9" t="str">
        <f>IF(PBH_RR!A9="","",IF(OR(PBH_RR!E9="FH Matrix",PBH_RR!E9="FC Matrix"),PBH_RR!I9,IF(INDEX(SF_Data!F:F,MATCH(PBH_RR!D9,SF_Data!B:B,0))="Greater(FH/FC)",IF(INDEX(SF_Data!M:M,MATCH(PBH_RR!D9,SF_Data!B:B,0))="FH",INDEX(SF_Data!S:S,MATCH(PBH_RR!D9,SF_Data!B:B,0)),""),IF(PBH_RR!E9="Both(FH+FC)",IF(PBH_RR!L9="FH",PBH_RR!I9,""),INDEX(SF_Data!S:S,MATCH(PBH_RR!D9,SF_Data!B:B,0))))))</f>
        <v/>
      </c>
      <c r="G9" t="str">
        <f>IF(PBH_RR!A9="","",IF(OR(PBH_RR!E9="FH Matrix",PBH_RR!E9="FC Matrix"),PBH_RR!J9,IF(INDEX(SF_Data!F:F,MATCH(PBH_RR!D9,SF_Data!B:B,0))="Greater(FH/FC)",IF(INDEX(SF_Data!M:M,MATCH(PBH_RR!D9,SF_Data!B:B,0))="FC",INDEX(SF_Data!T:T,MATCH(PBH_RR!D9,SF_Data!B:B,0)),""),IF(PBH_RR!E9="Both(FH+FC)",IF(PBH_RR!L9="FC",PBH_RR!J9,""),INDEX(SF_Data!T:T,MATCH(PBH_RR!D9,SF_Data!B:B,0))))))</f>
        <v/>
      </c>
      <c r="H9" t="str">
        <f>IF(PBH_RR!A9="","",IF(PBH_RR!E9="Both(FH+FC)",PBH_RR!P9,IF(OR(PBH_RR!E9="FH Matrix",PBH_RR!E9="FC Matrix"),INDEX(PBH_Lines!O:O,MATCH(PBH_RR!A9,PBH_Lines!M:M,0)),INDEX(SF_Data!U:U,MATCH(PBH_RR!D9,SF_Data!B:B,0)))))</f>
        <v/>
      </c>
      <c r="J9" t="str">
        <f t="shared" si="1"/>
        <v/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/>
      </c>
      <c r="O9" t="str">
        <f t="shared" si="6"/>
        <v/>
      </c>
      <c r="P9" t="str">
        <f t="shared" si="7"/>
        <v/>
      </c>
      <c r="Q9" t="str">
        <f t="shared" si="8"/>
        <v/>
      </c>
    </row>
    <row r="10" spans="1:17" x14ac:dyDescent="0.35">
      <c r="A10" t="str">
        <f>IF(PBH_RR!A10="","",IF(OR(PBH_RR!E10="FH Matrix", PBH_RR!E10="FC Matrix"),PBH_RR!C10,INDEX(SF_Data!D:D, MATCH(PBH_RR!D10, SF_Data!B:B, 0))))</f>
        <v/>
      </c>
      <c r="B10" t="str">
        <f>IF(PBH_RR!A10="","",IF(OR(PBH_RR!E10="FH Matrix",PBH_RR!E10="FC Matrix"),PBH_RR!G10,IF(INDEX(SF_Data!F:F,MATCH(PBH_RR!D10,SF_Data!B:B,0))="Greater(FH/FC)",IF(INDEX(SF_Data!M:M,MATCH(PBH_RR!D10,SF_Data!B:B,0))="FH",INDEX(SF_Data!Q:Q,MATCH(PBH_RR!D10,SF_Data!B:B,0)),""),IF(PBH_RR!E10="Both(FH+FC)",IF(PBH_RR!L10="FH",PBH_RR!G10,""),INDEX(SF_Data!Q:Q,MATCH(PBH_RR!D10,SF_Data!B:B,0))))))</f>
        <v/>
      </c>
      <c r="C10" t="str">
        <f>IF(PBH_RR!A10="","",IF(OR(PBH_RR!E10="FH Matrix",PBH_RR!E10="FC Matrix"),PBH_RR!H10,IF(INDEX(SF_Data!F:F,MATCH(PBH_RR!D10,SF_Data!B:B,0))="Greater(FH/FC)",IF(INDEX(SF_Data!M:M,MATCH(PBH_RR!D10,SF_Data!B:B,0))="FC",INDEX(SF_Data!R:R,MATCH(PBH_RR!D10,SF_Data!B:B,0)),""),IF(PBH_RR!E10="Both(FH+FC)",IF(PBH_RR!L10="FC",PBH_RR!H10,""),INDEX(SF_Data!R:R,MATCH(PBH_RR!D10,SF_Data!B:B,0))))))</f>
        <v/>
      </c>
      <c r="D10" t="str">
        <f>IF(PBH_RR!A10="","",IF(OR(PBH_RR!E10="Hourly",PBH_RR!E10="Cycle"),IF(INDEX(SF_Data!M:M,MATCH(PBH_RR!D10,SF_Data!B:B,0))="FH",INDEX(SF_Data!G:G,MATCH(PBH_RR!D10,SF_Data!B:B,0)),""),IF(PBH_RR!E10="Both(FH+FC)",IF(PBH_RR!L10="FH",PBH_RR!M10-PBH_RR!G10,""),IF(PBH_RR!E10="Greater(FH/FC)",IF(INDEX(SF_Data!M:M,MATCH(PBH_RR!D10,SF_Data!B:B,0))="FH",INDEX(SF_Data!G:G,MATCH(PBH_RR!D10,SF_Data!B:B,0))-INDEX(SF_Data!Q:Q,MATCH(PBH_RR!D10,SF_Data!B:B,0)),""),IF(INDEX(SF_Data!M:M,MATCH(PBH_RR!D10,SF_Data!B:B,0))="FH",INDEX(PBH_Lines!K:K,MATCH(PBH_RR!A10,PBH_Lines!M:M,0)),"")))))</f>
        <v/>
      </c>
      <c r="E10" t="str">
        <f>IF(PBH_RR!A10="","",IF(OR(PBH_RR!E10="Hourly",PBH_RR!E10="Cycle"),IF(INDEX(SF_Data!M:M,MATCH(PBH_RR!D10,SF_Data!B:B,0))="FC",INDEX(SF_Data!G:G,MATCH(PBH_RR!D10,SF_Data!B:B,0)),""),IF(PBH_RR!E10="Both(FH+FC)",IF(PBH_RR!L10="FC",PBH_RR!M10-PBH_RR!H10,""),IF(PBH_RR!E10="Greater(FH/FC)",IF(INDEX(SF_Data!M:M,MATCH(PBH_RR!D10,SF_Data!B:B,0))="FC",INDEX(SF_Data!G:G,MATCH(PBH_RR!D10,SF_Data!B:B,0))-INDEX(SF_Data!R:R,MATCH(PBH_RR!D10,SF_Data!B:B,0)),""),IF(INDEX(SF_Data!M:M,MATCH(PBH_RR!D10,SF_Data!B:B,0))="FC",INDEX(PBH_Lines!K:K,MATCH(PBH_RR!A10,PBH_Lines!M:M,0)),"")))))</f>
        <v/>
      </c>
      <c r="F10" t="str">
        <f>IF(PBH_RR!A10="","",IF(OR(PBH_RR!E10="FH Matrix",PBH_RR!E10="FC Matrix"),PBH_RR!I10,IF(INDEX(SF_Data!F:F,MATCH(PBH_RR!D10,SF_Data!B:B,0))="Greater(FH/FC)",IF(INDEX(SF_Data!M:M,MATCH(PBH_RR!D10,SF_Data!B:B,0))="FH",INDEX(SF_Data!S:S,MATCH(PBH_RR!D10,SF_Data!B:B,0)),""),IF(PBH_RR!E10="Both(FH+FC)",IF(PBH_RR!L10="FH",PBH_RR!I10,""),INDEX(SF_Data!S:S,MATCH(PBH_RR!D10,SF_Data!B:B,0))))))</f>
        <v/>
      </c>
      <c r="G10" t="str">
        <f>IF(PBH_RR!A10="","",IF(OR(PBH_RR!E10="FH Matrix",PBH_RR!E10="FC Matrix"),PBH_RR!J10,IF(INDEX(SF_Data!F:F,MATCH(PBH_RR!D10,SF_Data!B:B,0))="Greater(FH/FC)",IF(INDEX(SF_Data!M:M,MATCH(PBH_RR!D10,SF_Data!B:B,0))="FC",INDEX(SF_Data!T:T,MATCH(PBH_RR!D10,SF_Data!B:B,0)),""),IF(PBH_RR!E10="Both(FH+FC)",IF(PBH_RR!L10="FC",PBH_RR!J10,""),INDEX(SF_Data!T:T,MATCH(PBH_RR!D10,SF_Data!B:B,0))))))</f>
        <v/>
      </c>
      <c r="H10" t="str">
        <f>IF(PBH_RR!A10="","",IF(PBH_RR!E10="Both(FH+FC)",PBH_RR!P10,IF(OR(PBH_RR!E10="FH Matrix",PBH_RR!E10="FC Matrix"),INDEX(PBH_Lines!O:O,MATCH(PBH_RR!A10,PBH_Lines!M:M,0)),INDEX(SF_Data!U:U,MATCH(PBH_RR!D10,SF_Data!B:B,0)))))</f>
        <v/>
      </c>
      <c r="J10" t="str">
        <f t="shared" si="1"/>
        <v/>
      </c>
      <c r="K10" t="str">
        <f t="shared" si="2"/>
        <v/>
      </c>
      <c r="L10" t="str">
        <f t="shared" si="3"/>
        <v/>
      </c>
      <c r="M10" t="str">
        <f t="shared" si="4"/>
        <v/>
      </c>
      <c r="N10" t="str">
        <f t="shared" si="5"/>
        <v/>
      </c>
      <c r="O10" t="str">
        <f t="shared" si="6"/>
        <v/>
      </c>
      <c r="P10" t="str">
        <f t="shared" si="7"/>
        <v/>
      </c>
      <c r="Q10" t="str">
        <f t="shared" si="8"/>
        <v/>
      </c>
    </row>
    <row r="11" spans="1:17" x14ac:dyDescent="0.35">
      <c r="A11" t="str">
        <f>IF(PBH_RR!A11="","",IF(OR(PBH_RR!E11="FH Matrix", PBH_RR!E11="FC Matrix"),PBH_RR!C11,INDEX(SF_Data!D:D, MATCH(PBH_RR!D11, SF_Data!B:B, 0))))</f>
        <v/>
      </c>
      <c r="B11" t="str">
        <f>IF(PBH_RR!A11="","",IF(OR(PBH_RR!E11="FH Matrix",PBH_RR!E11="FC Matrix"),PBH_RR!G11,IF(INDEX(SF_Data!F:F,MATCH(PBH_RR!D11,SF_Data!B:B,0))="Greater(FH/FC)",IF(INDEX(SF_Data!M:M,MATCH(PBH_RR!D11,SF_Data!B:B,0))="FH",INDEX(SF_Data!Q:Q,MATCH(PBH_RR!D11,SF_Data!B:B,0)),""),IF(PBH_RR!E11="Both(FH+FC)",IF(PBH_RR!L11="FH",PBH_RR!G11,""),INDEX(SF_Data!Q:Q,MATCH(PBH_RR!D11,SF_Data!B:B,0))))))</f>
        <v/>
      </c>
      <c r="C11" t="str">
        <f>IF(PBH_RR!A11="","",IF(OR(PBH_RR!E11="FH Matrix",PBH_RR!E11="FC Matrix"),PBH_RR!H11,IF(INDEX(SF_Data!F:F,MATCH(PBH_RR!D11,SF_Data!B:B,0))="Greater(FH/FC)",IF(INDEX(SF_Data!M:M,MATCH(PBH_RR!D11,SF_Data!B:B,0))="FC",INDEX(SF_Data!R:R,MATCH(PBH_RR!D11,SF_Data!B:B,0)),""),IF(PBH_RR!E11="Both(FH+FC)",IF(PBH_RR!L11="FC",PBH_RR!H11,""),INDEX(SF_Data!R:R,MATCH(PBH_RR!D11,SF_Data!B:B,0))))))</f>
        <v/>
      </c>
      <c r="D11" t="str">
        <f>IF(PBH_RR!A11="","",IF(OR(PBH_RR!E11="Hourly",PBH_RR!E11="Cycle"),IF(INDEX(SF_Data!M:M,MATCH(PBH_RR!D11,SF_Data!B:B,0))="FH",INDEX(SF_Data!G:G,MATCH(PBH_RR!D11,SF_Data!B:B,0)),""),IF(PBH_RR!E11="Both(FH+FC)",IF(PBH_RR!L11="FH",PBH_RR!M11-PBH_RR!G11,""),IF(PBH_RR!E11="Greater(FH/FC)",IF(INDEX(SF_Data!M:M,MATCH(PBH_RR!D11,SF_Data!B:B,0))="FH",INDEX(SF_Data!G:G,MATCH(PBH_RR!D11,SF_Data!B:B,0))-INDEX(SF_Data!Q:Q,MATCH(PBH_RR!D11,SF_Data!B:B,0)),""),IF(INDEX(SF_Data!M:M,MATCH(PBH_RR!D11,SF_Data!B:B,0))="FH",INDEX(PBH_Lines!K:K,MATCH(PBH_RR!A11,PBH_Lines!M:M,0)),"")))))</f>
        <v/>
      </c>
      <c r="E11" t="str">
        <f>IF(PBH_RR!A11="","",IF(OR(PBH_RR!E11="Hourly",PBH_RR!E11="Cycle"),IF(INDEX(SF_Data!M:M,MATCH(PBH_RR!D11,SF_Data!B:B,0))="FC",INDEX(SF_Data!G:G,MATCH(PBH_RR!D11,SF_Data!B:B,0)),""),IF(PBH_RR!E11="Both(FH+FC)",IF(PBH_RR!L11="FC",PBH_RR!M11-PBH_RR!H11,""),IF(PBH_RR!E11="Greater(FH/FC)",IF(INDEX(SF_Data!M:M,MATCH(PBH_RR!D11,SF_Data!B:B,0))="FC",INDEX(SF_Data!G:G,MATCH(PBH_RR!D11,SF_Data!B:B,0))-INDEX(SF_Data!R:R,MATCH(PBH_RR!D11,SF_Data!B:B,0)),""),IF(INDEX(SF_Data!M:M,MATCH(PBH_RR!D11,SF_Data!B:B,0))="FC",INDEX(PBH_Lines!K:K,MATCH(PBH_RR!A11,PBH_Lines!M:M,0)),"")))))</f>
        <v/>
      </c>
      <c r="F11" t="str">
        <f>IF(PBH_RR!A11="","",IF(OR(PBH_RR!E11="FH Matrix",PBH_RR!E11="FC Matrix"),PBH_RR!I11,IF(INDEX(SF_Data!F:F,MATCH(PBH_RR!D11,SF_Data!B:B,0))="Greater(FH/FC)",IF(INDEX(SF_Data!M:M,MATCH(PBH_RR!D11,SF_Data!B:B,0))="FH",INDEX(SF_Data!S:S,MATCH(PBH_RR!D11,SF_Data!B:B,0)),""),IF(PBH_RR!E11="Both(FH+FC)",IF(PBH_RR!L11="FH",PBH_RR!I11,""),INDEX(SF_Data!S:S,MATCH(PBH_RR!D11,SF_Data!B:B,0))))))</f>
        <v/>
      </c>
      <c r="G11" t="str">
        <f>IF(PBH_RR!A11="","",IF(OR(PBH_RR!E11="FH Matrix",PBH_RR!E11="FC Matrix"),PBH_RR!J11,IF(INDEX(SF_Data!F:F,MATCH(PBH_RR!D11,SF_Data!B:B,0))="Greater(FH/FC)",IF(INDEX(SF_Data!M:M,MATCH(PBH_RR!D11,SF_Data!B:B,0))="FC",INDEX(SF_Data!T:T,MATCH(PBH_RR!D11,SF_Data!B:B,0)),""),IF(PBH_RR!E11="Both(FH+FC)",IF(PBH_RR!L11="FC",PBH_RR!J11,""),INDEX(SF_Data!T:T,MATCH(PBH_RR!D11,SF_Data!B:B,0))))))</f>
        <v/>
      </c>
      <c r="H11" t="str">
        <f>IF(PBH_RR!A11="","",IF(PBH_RR!E11="Both(FH+FC)",PBH_RR!P11,IF(OR(PBH_RR!E11="FH Matrix",PBH_RR!E11="FC Matrix"),INDEX(PBH_Lines!O:O,MATCH(PBH_RR!A11,PBH_Lines!M:M,0)),INDEX(SF_Data!U:U,MATCH(PBH_RR!D11,SF_Data!B:B,0)))))</f>
        <v/>
      </c>
      <c r="J11" t="str">
        <f t="shared" si="1"/>
        <v/>
      </c>
      <c r="K11" t="str">
        <f t="shared" si="2"/>
        <v/>
      </c>
      <c r="L11" t="str">
        <f t="shared" si="3"/>
        <v/>
      </c>
      <c r="M11" t="str">
        <f t="shared" si="4"/>
        <v/>
      </c>
      <c r="N11" t="str">
        <f t="shared" si="5"/>
        <v/>
      </c>
      <c r="O11" t="str">
        <f t="shared" si="6"/>
        <v/>
      </c>
      <c r="P11" t="str">
        <f t="shared" si="7"/>
        <v/>
      </c>
      <c r="Q11" t="str">
        <f t="shared" si="8"/>
        <v/>
      </c>
    </row>
    <row r="12" spans="1:17" x14ac:dyDescent="0.35">
      <c r="A12" t="str">
        <f>IF(PBH_RR!A12="","",IF(OR(PBH_RR!E12="FH Matrix", PBH_RR!E12="FC Matrix"),PBH_RR!C12,INDEX(SF_Data!D:D, MATCH(PBH_RR!D12, SF_Data!B:B, 0))))</f>
        <v/>
      </c>
      <c r="B12" t="str">
        <f>IF(PBH_RR!A12="","",IF(OR(PBH_RR!E12="FH Matrix",PBH_RR!E12="FC Matrix"),PBH_RR!G12,IF(INDEX(SF_Data!F:F,MATCH(PBH_RR!D12,SF_Data!B:B,0))="Greater(FH/FC)",IF(INDEX(SF_Data!M:M,MATCH(PBH_RR!D12,SF_Data!B:B,0))="FH",INDEX(SF_Data!Q:Q,MATCH(PBH_RR!D12,SF_Data!B:B,0)),""),IF(PBH_RR!E12="Both(FH+FC)",IF(PBH_RR!L12="FH",PBH_RR!G12,""),INDEX(SF_Data!Q:Q,MATCH(PBH_RR!D12,SF_Data!B:B,0))))))</f>
        <v/>
      </c>
      <c r="C12" t="str">
        <f>IF(PBH_RR!A12="","",IF(OR(PBH_RR!E12="FH Matrix",PBH_RR!E12="FC Matrix"),PBH_RR!H12,IF(INDEX(SF_Data!F:F,MATCH(PBH_RR!D12,SF_Data!B:B,0))="Greater(FH/FC)",IF(INDEX(SF_Data!M:M,MATCH(PBH_RR!D12,SF_Data!B:B,0))="FC",INDEX(SF_Data!R:R,MATCH(PBH_RR!D12,SF_Data!B:B,0)),""),IF(PBH_RR!E12="Both(FH+FC)",IF(PBH_RR!L12="FC",PBH_RR!H12,""),INDEX(SF_Data!R:R,MATCH(PBH_RR!D12,SF_Data!B:B,0))))))</f>
        <v/>
      </c>
      <c r="D12" t="str">
        <f>IF(PBH_RR!A12="","",IF(OR(PBH_RR!E12="Hourly",PBH_RR!E12="Cycle"),IF(INDEX(SF_Data!M:M,MATCH(PBH_RR!D12,SF_Data!B:B,0))="FH",INDEX(SF_Data!G:G,MATCH(PBH_RR!D12,SF_Data!B:B,0)),""),IF(PBH_RR!E12="Both(FH+FC)",IF(PBH_RR!L12="FH",PBH_RR!M12-PBH_RR!G12,""),IF(PBH_RR!E12="Greater(FH/FC)",IF(INDEX(SF_Data!M:M,MATCH(PBH_RR!D12,SF_Data!B:B,0))="FH",INDEX(SF_Data!G:G,MATCH(PBH_RR!D12,SF_Data!B:B,0))-INDEX(SF_Data!Q:Q,MATCH(PBH_RR!D12,SF_Data!B:B,0)),""),IF(INDEX(SF_Data!M:M,MATCH(PBH_RR!D12,SF_Data!B:B,0))="FH",INDEX(PBH_Lines!K:K,MATCH(PBH_RR!A12,PBH_Lines!M:M,0)),"")))))</f>
        <v/>
      </c>
      <c r="E12" t="str">
        <f>IF(PBH_RR!A12="","",IF(OR(PBH_RR!E12="Hourly",PBH_RR!E12="Cycle"),IF(INDEX(SF_Data!M:M,MATCH(PBH_RR!D12,SF_Data!B:B,0))="FC",INDEX(SF_Data!G:G,MATCH(PBH_RR!D12,SF_Data!B:B,0)),""),IF(PBH_RR!E12="Both(FH+FC)",IF(PBH_RR!L12="FC",PBH_RR!M12-PBH_RR!H12,""),IF(PBH_RR!E12="Greater(FH/FC)",IF(INDEX(SF_Data!M:M,MATCH(PBH_RR!D12,SF_Data!B:B,0))="FC",INDEX(SF_Data!G:G,MATCH(PBH_RR!D12,SF_Data!B:B,0))-INDEX(SF_Data!R:R,MATCH(PBH_RR!D12,SF_Data!B:B,0)),""),IF(INDEX(SF_Data!M:M,MATCH(PBH_RR!D12,SF_Data!B:B,0))="FC",INDEX(PBH_Lines!K:K,MATCH(PBH_RR!A12,PBH_Lines!M:M,0)),"")))))</f>
        <v/>
      </c>
      <c r="F12" t="str">
        <f>IF(PBH_RR!A12="","",IF(OR(PBH_RR!E12="FH Matrix",PBH_RR!E12="FC Matrix"),PBH_RR!I12,IF(INDEX(SF_Data!F:F,MATCH(PBH_RR!D12,SF_Data!B:B,0))="Greater(FH/FC)",IF(INDEX(SF_Data!M:M,MATCH(PBH_RR!D12,SF_Data!B:B,0))="FH",INDEX(SF_Data!S:S,MATCH(PBH_RR!D12,SF_Data!B:B,0)),""),IF(PBH_RR!E12="Both(FH+FC)",IF(PBH_RR!L12="FH",PBH_RR!I12,""),INDEX(SF_Data!S:S,MATCH(PBH_RR!D12,SF_Data!B:B,0))))))</f>
        <v/>
      </c>
      <c r="G12" t="str">
        <f>IF(PBH_RR!A12="","",IF(OR(PBH_RR!E12="FH Matrix",PBH_RR!E12="FC Matrix"),PBH_RR!J12,IF(INDEX(SF_Data!F:F,MATCH(PBH_RR!D12,SF_Data!B:B,0))="Greater(FH/FC)",IF(INDEX(SF_Data!M:M,MATCH(PBH_RR!D12,SF_Data!B:B,0))="FC",INDEX(SF_Data!T:T,MATCH(PBH_RR!D12,SF_Data!B:B,0)),""),IF(PBH_RR!E12="Both(FH+FC)",IF(PBH_RR!L12="FC",PBH_RR!J12,""),INDEX(SF_Data!T:T,MATCH(PBH_RR!D12,SF_Data!B:B,0))))))</f>
        <v/>
      </c>
      <c r="H12" t="str">
        <f>IF(PBH_RR!A12="","",IF(PBH_RR!E12="Both(FH+FC)",PBH_RR!P12,IF(OR(PBH_RR!E12="FH Matrix",PBH_RR!E12="FC Matrix"),INDEX(PBH_Lines!O:O,MATCH(PBH_RR!A12,PBH_Lines!M:M,0)),INDEX(SF_Data!U:U,MATCH(PBH_RR!D12,SF_Data!B:B,0)))))</f>
        <v/>
      </c>
      <c r="J12" t="str">
        <f t="shared" si="1"/>
        <v/>
      </c>
      <c r="K12" t="str">
        <f t="shared" si="2"/>
        <v/>
      </c>
      <c r="L12" t="str">
        <f t="shared" si="3"/>
        <v/>
      </c>
      <c r="M12" t="str">
        <f t="shared" si="4"/>
        <v/>
      </c>
      <c r="N12" t="str">
        <f t="shared" si="5"/>
        <v/>
      </c>
      <c r="O12" t="str">
        <f t="shared" si="6"/>
        <v/>
      </c>
      <c r="P12" t="str">
        <f t="shared" si="7"/>
        <v/>
      </c>
      <c r="Q12" t="str">
        <f t="shared" si="8"/>
        <v/>
      </c>
    </row>
    <row r="13" spans="1:17" x14ac:dyDescent="0.35">
      <c r="A13" t="str">
        <f>IF(PBH_RR!A13="","",IF(OR(PBH_RR!E13="FH Matrix", PBH_RR!E13="FC Matrix"),PBH_RR!C13,INDEX(SF_Data!D:D, MATCH(PBH_RR!D13, SF_Data!B:B, 0))))</f>
        <v/>
      </c>
      <c r="B13" t="str">
        <f>IF(PBH_RR!A13="","",IF(OR(PBH_RR!E13="FH Matrix",PBH_RR!E13="FC Matrix"),PBH_RR!G13,IF(INDEX(SF_Data!F:F,MATCH(PBH_RR!D13,SF_Data!B:B,0))="Greater(FH/FC)",IF(INDEX(SF_Data!M:M,MATCH(PBH_RR!D13,SF_Data!B:B,0))="FH",INDEX(SF_Data!Q:Q,MATCH(PBH_RR!D13,SF_Data!B:B,0)),""),IF(PBH_RR!E13="Both(FH+FC)",IF(PBH_RR!L13="FH",PBH_RR!G13,""),INDEX(SF_Data!Q:Q,MATCH(PBH_RR!D13,SF_Data!B:B,0))))))</f>
        <v/>
      </c>
      <c r="C13" t="str">
        <f>IF(PBH_RR!A13="","",IF(OR(PBH_RR!E13="FH Matrix",PBH_RR!E13="FC Matrix"),PBH_RR!H13,IF(INDEX(SF_Data!F:F,MATCH(PBH_RR!D13,SF_Data!B:B,0))="Greater(FH/FC)",IF(INDEX(SF_Data!M:M,MATCH(PBH_RR!D13,SF_Data!B:B,0))="FC",INDEX(SF_Data!R:R,MATCH(PBH_RR!D13,SF_Data!B:B,0)),""),IF(PBH_RR!E13="Both(FH+FC)",IF(PBH_RR!L13="FC",PBH_RR!H13,""),INDEX(SF_Data!R:R,MATCH(PBH_RR!D13,SF_Data!B:B,0))))))</f>
        <v/>
      </c>
      <c r="D13" t="str">
        <f>IF(PBH_RR!A13="","",IF(OR(PBH_RR!E13="Hourly",PBH_RR!E13="Cycle"),IF(INDEX(SF_Data!M:M,MATCH(PBH_RR!D13,SF_Data!B:B,0))="FH",INDEX(SF_Data!G:G,MATCH(PBH_RR!D13,SF_Data!B:B,0)),""),IF(PBH_RR!E13="Both(FH+FC)",IF(PBH_RR!L13="FH",PBH_RR!M13-PBH_RR!G13,""),IF(PBH_RR!E13="Greater(FH/FC)",IF(INDEX(SF_Data!M:M,MATCH(PBH_RR!D13,SF_Data!B:B,0))="FH",INDEX(SF_Data!G:G,MATCH(PBH_RR!D13,SF_Data!B:B,0))-INDEX(SF_Data!Q:Q,MATCH(PBH_RR!D13,SF_Data!B:B,0)),""),IF(INDEX(SF_Data!M:M,MATCH(PBH_RR!D13,SF_Data!B:B,0))="FH",INDEX(PBH_Lines!K:K,MATCH(PBH_RR!A13,PBH_Lines!M:M,0)),"")))))</f>
        <v/>
      </c>
      <c r="E13" t="str">
        <f>IF(PBH_RR!A13="","",IF(OR(PBH_RR!E13="Hourly",PBH_RR!E13="Cycle"),IF(INDEX(SF_Data!M:M,MATCH(PBH_RR!D13,SF_Data!B:B,0))="FC",INDEX(SF_Data!G:G,MATCH(PBH_RR!D13,SF_Data!B:B,0)),""),IF(PBH_RR!E13="Both(FH+FC)",IF(PBH_RR!L13="FC",PBH_RR!M13-PBH_RR!H13,""),IF(PBH_RR!E13="Greater(FH/FC)",IF(INDEX(SF_Data!M:M,MATCH(PBH_RR!D13,SF_Data!B:B,0))="FC",INDEX(SF_Data!G:G,MATCH(PBH_RR!D13,SF_Data!B:B,0))-INDEX(SF_Data!R:R,MATCH(PBH_RR!D13,SF_Data!B:B,0)),""),IF(INDEX(SF_Data!M:M,MATCH(PBH_RR!D13,SF_Data!B:B,0))="FC",INDEX(PBH_Lines!K:K,MATCH(PBH_RR!A13,PBH_Lines!M:M,0)),"")))))</f>
        <v/>
      </c>
      <c r="F13" t="str">
        <f>IF(PBH_RR!A13="","",IF(OR(PBH_RR!E13="FH Matrix",PBH_RR!E13="FC Matrix"),PBH_RR!I13,IF(INDEX(SF_Data!F:F,MATCH(PBH_RR!D13,SF_Data!B:B,0))="Greater(FH/FC)",IF(INDEX(SF_Data!M:M,MATCH(PBH_RR!D13,SF_Data!B:B,0))="FH",INDEX(SF_Data!S:S,MATCH(PBH_RR!D13,SF_Data!B:B,0)),""),IF(PBH_RR!E13="Both(FH+FC)",IF(PBH_RR!L13="FH",PBH_RR!I13,""),INDEX(SF_Data!S:S,MATCH(PBH_RR!D13,SF_Data!B:B,0))))))</f>
        <v/>
      </c>
      <c r="G13" t="str">
        <f>IF(PBH_RR!A13="","",IF(OR(PBH_RR!E13="FH Matrix",PBH_RR!E13="FC Matrix"),PBH_RR!J13,IF(INDEX(SF_Data!F:F,MATCH(PBH_RR!D13,SF_Data!B:B,0))="Greater(FH/FC)",IF(INDEX(SF_Data!M:M,MATCH(PBH_RR!D13,SF_Data!B:B,0))="FC",INDEX(SF_Data!T:T,MATCH(PBH_RR!D13,SF_Data!B:B,0)),""),IF(PBH_RR!E13="Both(FH+FC)",IF(PBH_RR!L13="FC",PBH_RR!J13,""),INDEX(SF_Data!T:T,MATCH(PBH_RR!D13,SF_Data!B:B,0))))))</f>
        <v/>
      </c>
      <c r="H13" t="str">
        <f>IF(PBH_RR!A13="","",IF(PBH_RR!E13="Both(FH+FC)",PBH_RR!P13,IF(OR(PBH_RR!E13="FH Matrix",PBH_RR!E13="FC Matrix"),INDEX(PBH_Lines!O:O,MATCH(PBH_RR!A13,PBH_Lines!M:M,0)),INDEX(SF_Data!U:U,MATCH(PBH_RR!D13,SF_Data!B:B,0)))))</f>
        <v/>
      </c>
      <c r="J13" t="str">
        <f t="shared" si="1"/>
        <v/>
      </c>
      <c r="K13" t="str">
        <f t="shared" si="2"/>
        <v/>
      </c>
      <c r="L13" t="str">
        <f t="shared" si="3"/>
        <v/>
      </c>
      <c r="M13" t="str">
        <f t="shared" si="4"/>
        <v/>
      </c>
      <c r="N13" t="str">
        <f t="shared" si="5"/>
        <v/>
      </c>
      <c r="O13" t="str">
        <f t="shared" si="6"/>
        <v/>
      </c>
      <c r="P13" t="str">
        <f t="shared" si="7"/>
        <v/>
      </c>
      <c r="Q13" t="str">
        <f t="shared" si="8"/>
        <v/>
      </c>
    </row>
    <row r="14" spans="1:17" x14ac:dyDescent="0.35">
      <c r="A14" t="str">
        <f>IF(PBH_RR!A14="","",IF(OR(PBH_RR!E14="FH Matrix", PBH_RR!E14="FC Matrix"),PBH_RR!C14,INDEX(SF_Data!D:D, MATCH(PBH_RR!D14, SF_Data!B:B, 0))))</f>
        <v/>
      </c>
      <c r="B14" t="str">
        <f>IF(PBH_RR!A14="","",IF(OR(PBH_RR!E14="FH Matrix",PBH_RR!E14="FC Matrix"),PBH_RR!G14,IF(INDEX(SF_Data!F:F,MATCH(PBH_RR!D14,SF_Data!B:B,0))="Greater(FH/FC)",IF(INDEX(SF_Data!M:M,MATCH(PBH_RR!D14,SF_Data!B:B,0))="FH",INDEX(SF_Data!Q:Q,MATCH(PBH_RR!D14,SF_Data!B:B,0)),""),IF(PBH_RR!E14="Both(FH+FC)",IF(PBH_RR!L14="FH",PBH_RR!G14,""),INDEX(SF_Data!Q:Q,MATCH(PBH_RR!D14,SF_Data!B:B,0))))))</f>
        <v/>
      </c>
      <c r="C14" t="str">
        <f>IF(PBH_RR!A14="","",IF(OR(PBH_RR!E14="FH Matrix",PBH_RR!E14="FC Matrix"),PBH_RR!H14,IF(INDEX(SF_Data!F:F,MATCH(PBH_RR!D14,SF_Data!B:B,0))="Greater(FH/FC)",IF(INDEX(SF_Data!M:M,MATCH(PBH_RR!D14,SF_Data!B:B,0))="FC",INDEX(SF_Data!R:R,MATCH(PBH_RR!D14,SF_Data!B:B,0)),""),IF(PBH_RR!E14="Both(FH+FC)",IF(PBH_RR!L14="FC",PBH_RR!H14,""),INDEX(SF_Data!R:R,MATCH(PBH_RR!D14,SF_Data!B:B,0))))))</f>
        <v/>
      </c>
      <c r="D14" t="str">
        <f>IF(PBH_RR!A14="","",IF(OR(PBH_RR!E14="Hourly",PBH_RR!E14="Cycle"),IF(INDEX(SF_Data!M:M,MATCH(PBH_RR!D14,SF_Data!B:B,0))="FH",INDEX(SF_Data!G:G,MATCH(PBH_RR!D14,SF_Data!B:B,0)),""),IF(PBH_RR!E14="Both(FH+FC)",IF(PBH_RR!L14="FH",PBH_RR!M14-PBH_RR!G14,""),IF(PBH_RR!E14="Greater(FH/FC)",IF(INDEX(SF_Data!M:M,MATCH(PBH_RR!D14,SF_Data!B:B,0))="FH",INDEX(SF_Data!G:G,MATCH(PBH_RR!D14,SF_Data!B:B,0))-INDEX(SF_Data!Q:Q,MATCH(PBH_RR!D14,SF_Data!B:B,0)),""),IF(INDEX(SF_Data!M:M,MATCH(PBH_RR!D14,SF_Data!B:B,0))="FH",INDEX(PBH_Lines!K:K,MATCH(PBH_RR!A14,PBH_Lines!M:M,0)),"")))))</f>
        <v/>
      </c>
      <c r="E14" t="str">
        <f>IF(PBH_RR!A14="","",IF(OR(PBH_RR!E14="Hourly",PBH_RR!E14="Cycle"),IF(INDEX(SF_Data!M:M,MATCH(PBH_RR!D14,SF_Data!B:B,0))="FC",INDEX(SF_Data!G:G,MATCH(PBH_RR!D14,SF_Data!B:B,0)),""),IF(PBH_RR!E14="Both(FH+FC)",IF(PBH_RR!L14="FC",PBH_RR!M14-PBH_RR!H14,""),IF(PBH_RR!E14="Greater(FH/FC)",IF(INDEX(SF_Data!M:M,MATCH(PBH_RR!D14,SF_Data!B:B,0))="FC",INDEX(SF_Data!G:G,MATCH(PBH_RR!D14,SF_Data!B:B,0))-INDEX(SF_Data!R:R,MATCH(PBH_RR!D14,SF_Data!B:B,0)),""),IF(INDEX(SF_Data!M:M,MATCH(PBH_RR!D14,SF_Data!B:B,0))="FC",INDEX(PBH_Lines!K:K,MATCH(PBH_RR!A14,PBH_Lines!M:M,0)),"")))))</f>
        <v/>
      </c>
      <c r="F14" t="str">
        <f>IF(PBH_RR!A14="","",IF(OR(PBH_RR!E14="FH Matrix",PBH_RR!E14="FC Matrix"),PBH_RR!I14,IF(INDEX(SF_Data!F:F,MATCH(PBH_RR!D14,SF_Data!B:B,0))="Greater(FH/FC)",IF(INDEX(SF_Data!M:M,MATCH(PBH_RR!D14,SF_Data!B:B,0))="FH",INDEX(SF_Data!S:S,MATCH(PBH_RR!D14,SF_Data!B:B,0)),""),IF(PBH_RR!E14="Both(FH+FC)",IF(PBH_RR!L14="FH",PBH_RR!I14,""),INDEX(SF_Data!S:S,MATCH(PBH_RR!D14,SF_Data!B:B,0))))))</f>
        <v/>
      </c>
      <c r="G14" t="str">
        <f>IF(PBH_RR!A14="","",IF(OR(PBH_RR!E14="FH Matrix",PBH_RR!E14="FC Matrix"),PBH_RR!J14,IF(INDEX(SF_Data!F:F,MATCH(PBH_RR!D14,SF_Data!B:B,0))="Greater(FH/FC)",IF(INDEX(SF_Data!M:M,MATCH(PBH_RR!D14,SF_Data!B:B,0))="FC",INDEX(SF_Data!T:T,MATCH(PBH_RR!D14,SF_Data!B:B,0)),""),IF(PBH_RR!E14="Both(FH+FC)",IF(PBH_RR!L14="FC",PBH_RR!J14,""),INDEX(SF_Data!T:T,MATCH(PBH_RR!D14,SF_Data!B:B,0))))))</f>
        <v/>
      </c>
      <c r="H14" t="str">
        <f>IF(PBH_RR!A14="","",IF(PBH_RR!E14="Both(FH+FC)",PBH_RR!P14,IF(OR(PBH_RR!E14="FH Matrix",PBH_RR!E14="FC Matrix"),INDEX(PBH_Lines!O:O,MATCH(PBH_RR!A14,PBH_Lines!M:M,0)),INDEX(SF_Data!U:U,MATCH(PBH_RR!D14,SF_Data!B:B,0)))))</f>
        <v/>
      </c>
      <c r="J14" t="str">
        <f t="shared" si="1"/>
        <v/>
      </c>
      <c r="K14" t="str">
        <f t="shared" si="2"/>
        <v/>
      </c>
      <c r="L14" t="str">
        <f t="shared" si="3"/>
        <v/>
      </c>
      <c r="M14" t="str">
        <f t="shared" si="4"/>
        <v/>
      </c>
      <c r="N14" t="str">
        <f t="shared" si="5"/>
        <v/>
      </c>
      <c r="O14" t="str">
        <f t="shared" si="6"/>
        <v/>
      </c>
      <c r="P14" t="str">
        <f t="shared" si="7"/>
        <v/>
      </c>
      <c r="Q14" t="str">
        <f t="shared" si="8"/>
        <v/>
      </c>
    </row>
    <row r="15" spans="1:17" x14ac:dyDescent="0.35">
      <c r="A15" t="str">
        <f>IF(PBH_RR!A15="","",IF(OR(PBH_RR!E15="FH Matrix", PBH_RR!E15="FC Matrix"),PBH_RR!C15,INDEX(SF_Data!D:D, MATCH(PBH_RR!D15, SF_Data!B:B, 0))))</f>
        <v/>
      </c>
      <c r="B15" t="str">
        <f>IF(PBH_RR!A15="","",IF(OR(PBH_RR!E15="FH Matrix",PBH_RR!E15="FC Matrix"),PBH_RR!G15,IF(INDEX(SF_Data!F:F,MATCH(PBH_RR!D15,SF_Data!B:B,0))="Greater(FH/FC)",IF(INDEX(SF_Data!M:M,MATCH(PBH_RR!D15,SF_Data!B:B,0))="FH",INDEX(SF_Data!Q:Q,MATCH(PBH_RR!D15,SF_Data!B:B,0)),""),IF(PBH_RR!E15="Both(FH+FC)",IF(PBH_RR!L15="FH",PBH_RR!G15,""),INDEX(SF_Data!Q:Q,MATCH(PBH_RR!D15,SF_Data!B:B,0))))))</f>
        <v/>
      </c>
      <c r="C15" t="str">
        <f>IF(PBH_RR!A15="","",IF(OR(PBH_RR!E15="FH Matrix",PBH_RR!E15="FC Matrix"),PBH_RR!H15,IF(INDEX(SF_Data!F:F,MATCH(PBH_RR!D15,SF_Data!B:B,0))="Greater(FH/FC)",IF(INDEX(SF_Data!M:M,MATCH(PBH_RR!D15,SF_Data!B:B,0))="FC",INDEX(SF_Data!R:R,MATCH(PBH_RR!D15,SF_Data!B:B,0)),""),IF(PBH_RR!E15="Both(FH+FC)",IF(PBH_RR!L15="FC",PBH_RR!H15,""),INDEX(SF_Data!R:R,MATCH(PBH_RR!D15,SF_Data!B:B,0))))))</f>
        <v/>
      </c>
      <c r="D15" t="str">
        <f>IF(PBH_RR!A15="","",IF(OR(PBH_RR!E15="Hourly",PBH_RR!E15="Cycle"),IF(INDEX(SF_Data!M:M,MATCH(PBH_RR!D15,SF_Data!B:B,0))="FH",INDEX(SF_Data!G:G,MATCH(PBH_RR!D15,SF_Data!B:B,0)),""),IF(PBH_RR!E15="Both(FH+FC)",IF(PBH_RR!L15="FH",PBH_RR!M15-PBH_RR!G15,""),IF(PBH_RR!E15="Greater(FH/FC)",IF(INDEX(SF_Data!M:M,MATCH(PBH_RR!D15,SF_Data!B:B,0))="FH",INDEX(SF_Data!G:G,MATCH(PBH_RR!D15,SF_Data!B:B,0))-INDEX(SF_Data!Q:Q,MATCH(PBH_RR!D15,SF_Data!B:B,0)),""),IF(INDEX(SF_Data!M:M,MATCH(PBH_RR!D15,SF_Data!B:B,0))="FH",INDEX(PBH_Lines!K:K,MATCH(PBH_RR!A15,PBH_Lines!M:M,0)),"")))))</f>
        <v/>
      </c>
      <c r="E15" t="str">
        <f>IF(PBH_RR!A15="","",IF(OR(PBH_RR!E15="Hourly",PBH_RR!E15="Cycle"),IF(INDEX(SF_Data!M:M,MATCH(PBH_RR!D15,SF_Data!B:B,0))="FC",INDEX(SF_Data!G:G,MATCH(PBH_RR!D15,SF_Data!B:B,0)),""),IF(PBH_RR!E15="Both(FH+FC)",IF(PBH_RR!L15="FC",PBH_RR!M15-PBH_RR!H15,""),IF(PBH_RR!E15="Greater(FH/FC)",IF(INDEX(SF_Data!M:M,MATCH(PBH_RR!D15,SF_Data!B:B,0))="FC",INDEX(SF_Data!G:G,MATCH(PBH_RR!D15,SF_Data!B:B,0))-INDEX(SF_Data!R:R,MATCH(PBH_RR!D15,SF_Data!B:B,0)),""),IF(INDEX(SF_Data!M:M,MATCH(PBH_RR!D15,SF_Data!B:B,0))="FC",INDEX(PBH_Lines!K:K,MATCH(PBH_RR!A15,PBH_Lines!M:M,0)),"")))))</f>
        <v/>
      </c>
      <c r="F15" t="str">
        <f>IF(PBH_RR!A15="","",IF(OR(PBH_RR!E15="FH Matrix",PBH_RR!E15="FC Matrix"),PBH_RR!I15,IF(INDEX(SF_Data!F:F,MATCH(PBH_RR!D15,SF_Data!B:B,0))="Greater(FH/FC)",IF(INDEX(SF_Data!M:M,MATCH(PBH_RR!D15,SF_Data!B:B,0))="FH",INDEX(SF_Data!S:S,MATCH(PBH_RR!D15,SF_Data!B:B,0)),""),IF(PBH_RR!E15="Both(FH+FC)",IF(PBH_RR!L15="FH",PBH_RR!I15,""),INDEX(SF_Data!S:S,MATCH(PBH_RR!D15,SF_Data!B:B,0))))))</f>
        <v/>
      </c>
      <c r="G15" t="str">
        <f>IF(PBH_RR!A15="","",IF(OR(PBH_RR!E15="FH Matrix",PBH_RR!E15="FC Matrix"),PBH_RR!J15,IF(INDEX(SF_Data!F:F,MATCH(PBH_RR!D15,SF_Data!B:B,0))="Greater(FH/FC)",IF(INDEX(SF_Data!M:M,MATCH(PBH_RR!D15,SF_Data!B:B,0))="FC",INDEX(SF_Data!T:T,MATCH(PBH_RR!D15,SF_Data!B:B,0)),""),IF(PBH_RR!E15="Both(FH+FC)",IF(PBH_RR!L15="FC",PBH_RR!J15,""),INDEX(SF_Data!T:T,MATCH(PBH_RR!D15,SF_Data!B:B,0))))))</f>
        <v/>
      </c>
      <c r="H15" t="str">
        <f>IF(PBH_RR!A15="","",IF(PBH_RR!E15="Both(FH+FC)",PBH_RR!P15,IF(OR(PBH_RR!E15="FH Matrix",PBH_RR!E15="FC Matrix"),INDEX(PBH_Lines!O:O,MATCH(PBH_RR!A15,PBH_Lines!M:M,0)),INDEX(SF_Data!U:U,MATCH(PBH_RR!D15,SF_Data!B:B,0)))))</f>
        <v/>
      </c>
      <c r="J15" t="str">
        <f t="shared" si="1"/>
        <v/>
      </c>
      <c r="K15" t="str">
        <f t="shared" si="2"/>
        <v/>
      </c>
      <c r="L15" t="str">
        <f t="shared" si="3"/>
        <v/>
      </c>
      <c r="M15" t="str">
        <f t="shared" si="4"/>
        <v/>
      </c>
      <c r="N15" t="str">
        <f t="shared" si="5"/>
        <v/>
      </c>
      <c r="O15" t="str">
        <f t="shared" si="6"/>
        <v/>
      </c>
      <c r="P15" t="str">
        <f t="shared" si="7"/>
        <v/>
      </c>
      <c r="Q15" t="str">
        <f t="shared" si="8"/>
        <v/>
      </c>
    </row>
    <row r="16" spans="1:17" x14ac:dyDescent="0.35">
      <c r="A16" t="str">
        <f>IF(PBH_RR!A16="","",IF(OR(PBH_RR!E16="FH Matrix", PBH_RR!E16="FC Matrix"),PBH_RR!C16,INDEX(SF_Data!D:D, MATCH(PBH_RR!D16, SF_Data!B:B, 0))))</f>
        <v/>
      </c>
      <c r="B16" t="str">
        <f>IF(PBH_RR!A16="","",IF(OR(PBH_RR!E16="FH Matrix",PBH_RR!E16="FC Matrix"),PBH_RR!G16,IF(INDEX(SF_Data!F:F,MATCH(PBH_RR!D16,SF_Data!B:B,0))="Greater(FH/FC)",IF(INDEX(SF_Data!M:M,MATCH(PBH_RR!D16,SF_Data!B:B,0))="FH",INDEX(SF_Data!Q:Q,MATCH(PBH_RR!D16,SF_Data!B:B,0)),""),IF(PBH_RR!E16="Both(FH+FC)",IF(PBH_RR!L16="FH",PBH_RR!G16,""),INDEX(SF_Data!Q:Q,MATCH(PBH_RR!D16,SF_Data!B:B,0))))))</f>
        <v/>
      </c>
      <c r="C16" t="str">
        <f>IF(PBH_RR!A16="","",IF(OR(PBH_RR!E16="FH Matrix",PBH_RR!E16="FC Matrix"),PBH_RR!H16,IF(INDEX(SF_Data!F:F,MATCH(PBH_RR!D16,SF_Data!B:B,0))="Greater(FH/FC)",IF(INDEX(SF_Data!M:M,MATCH(PBH_RR!D16,SF_Data!B:B,0))="FC",INDEX(SF_Data!R:R,MATCH(PBH_RR!D16,SF_Data!B:B,0)),""),IF(PBH_RR!E16="Both(FH+FC)",IF(PBH_RR!L16="FC",PBH_RR!H16,""),INDEX(SF_Data!R:R,MATCH(PBH_RR!D16,SF_Data!B:B,0))))))</f>
        <v/>
      </c>
      <c r="D16" t="str">
        <f>IF(PBH_RR!A16="","",IF(OR(PBH_RR!E16="Hourly",PBH_RR!E16="Cycle"),IF(INDEX(SF_Data!M:M,MATCH(PBH_RR!D16,SF_Data!B:B,0))="FH",INDEX(SF_Data!G:G,MATCH(PBH_RR!D16,SF_Data!B:B,0)),""),IF(PBH_RR!E16="Both(FH+FC)",IF(PBH_RR!L16="FH",PBH_RR!M16-PBH_RR!G16,""),IF(PBH_RR!E16="Greater(FH/FC)",IF(INDEX(SF_Data!M:M,MATCH(PBH_RR!D16,SF_Data!B:B,0))="FH",INDEX(SF_Data!G:G,MATCH(PBH_RR!D16,SF_Data!B:B,0))-INDEX(SF_Data!Q:Q,MATCH(PBH_RR!D16,SF_Data!B:B,0)),""),IF(INDEX(SF_Data!M:M,MATCH(PBH_RR!D16,SF_Data!B:B,0))="FH",INDEX(PBH_Lines!K:K,MATCH(PBH_RR!A16,PBH_Lines!M:M,0)),"")))))</f>
        <v/>
      </c>
      <c r="E16" t="str">
        <f>IF(PBH_RR!A16="","",IF(OR(PBH_RR!E16="Hourly",PBH_RR!E16="Cycle"),IF(INDEX(SF_Data!M:M,MATCH(PBH_RR!D16,SF_Data!B:B,0))="FC",INDEX(SF_Data!G:G,MATCH(PBH_RR!D16,SF_Data!B:B,0)),""),IF(PBH_RR!E16="Both(FH+FC)",IF(PBH_RR!L16="FC",PBH_RR!M16-PBH_RR!H16,""),IF(PBH_RR!E16="Greater(FH/FC)",IF(INDEX(SF_Data!M:M,MATCH(PBH_RR!D16,SF_Data!B:B,0))="FC",INDEX(SF_Data!G:G,MATCH(PBH_RR!D16,SF_Data!B:B,0))-INDEX(SF_Data!R:R,MATCH(PBH_RR!D16,SF_Data!B:B,0)),""),IF(INDEX(SF_Data!M:M,MATCH(PBH_RR!D16,SF_Data!B:B,0))="FC",INDEX(PBH_Lines!K:K,MATCH(PBH_RR!A16,PBH_Lines!M:M,0)),"")))))</f>
        <v/>
      </c>
      <c r="F16" t="str">
        <f>IF(PBH_RR!A16="","",IF(OR(PBH_RR!E16="FH Matrix",PBH_RR!E16="FC Matrix"),PBH_RR!I16,IF(INDEX(SF_Data!F:F,MATCH(PBH_RR!D16,SF_Data!B:B,0))="Greater(FH/FC)",IF(INDEX(SF_Data!M:M,MATCH(PBH_RR!D16,SF_Data!B:B,0))="FH",INDEX(SF_Data!S:S,MATCH(PBH_RR!D16,SF_Data!B:B,0)),""),IF(PBH_RR!E16="Both(FH+FC)",IF(PBH_RR!L16="FH",PBH_RR!I16,""),INDEX(SF_Data!S:S,MATCH(PBH_RR!D16,SF_Data!B:B,0))))))</f>
        <v/>
      </c>
      <c r="G16" t="str">
        <f>IF(PBH_RR!A16="","",IF(OR(PBH_RR!E16="FH Matrix",PBH_RR!E16="FC Matrix"),PBH_RR!J16,IF(INDEX(SF_Data!F:F,MATCH(PBH_RR!D16,SF_Data!B:B,0))="Greater(FH/FC)",IF(INDEX(SF_Data!M:M,MATCH(PBH_RR!D16,SF_Data!B:B,0))="FC",INDEX(SF_Data!T:T,MATCH(PBH_RR!D16,SF_Data!B:B,0)),""),IF(PBH_RR!E16="Both(FH+FC)",IF(PBH_RR!L16="FC",PBH_RR!J16,""),INDEX(SF_Data!T:T,MATCH(PBH_RR!D16,SF_Data!B:B,0))))))</f>
        <v/>
      </c>
      <c r="H16" t="str">
        <f>IF(PBH_RR!A16="","",IF(PBH_RR!E16="Both(FH+FC)",PBH_RR!P16,IF(OR(PBH_RR!E16="FH Matrix",PBH_RR!E16="FC Matrix"),INDEX(PBH_Lines!O:O,MATCH(PBH_RR!A16,PBH_Lines!M:M,0)),INDEX(SF_Data!U:U,MATCH(PBH_RR!D16,SF_Data!B:B,0)))))</f>
        <v/>
      </c>
      <c r="J16" t="str">
        <f t="shared" si="1"/>
        <v/>
      </c>
      <c r="K16" t="str">
        <f t="shared" si="2"/>
        <v/>
      </c>
      <c r="L16" t="str">
        <f t="shared" si="3"/>
        <v/>
      </c>
      <c r="M16" t="str">
        <f t="shared" si="4"/>
        <v/>
      </c>
      <c r="N16" t="str">
        <f t="shared" si="5"/>
        <v/>
      </c>
      <c r="O16" t="str">
        <f t="shared" si="6"/>
        <v/>
      </c>
      <c r="P16" t="str">
        <f t="shared" si="7"/>
        <v/>
      </c>
      <c r="Q16" t="str">
        <f t="shared" si="8"/>
        <v/>
      </c>
    </row>
    <row r="17" spans="1:17" x14ac:dyDescent="0.35">
      <c r="A17" t="str">
        <f>IF(PBH_RR!A17="","",IF(OR(PBH_RR!E17="FH Matrix", PBH_RR!E17="FC Matrix"),PBH_RR!C17,INDEX(SF_Data!D:D, MATCH(PBH_RR!D17, SF_Data!B:B, 0))))</f>
        <v/>
      </c>
      <c r="B17" t="str">
        <f>IF(PBH_RR!A17="","",IF(OR(PBH_RR!E17="FH Matrix",PBH_RR!E17="FC Matrix"),PBH_RR!G17,IF(INDEX(SF_Data!F:F,MATCH(PBH_RR!D17,SF_Data!B:B,0))="Greater(FH/FC)",IF(INDEX(SF_Data!M:M,MATCH(PBH_RR!D17,SF_Data!B:B,0))="FH",INDEX(SF_Data!Q:Q,MATCH(PBH_RR!D17,SF_Data!B:B,0)),""),IF(PBH_RR!E17="Both(FH+FC)",IF(PBH_RR!L17="FH",PBH_RR!G17,""),INDEX(SF_Data!Q:Q,MATCH(PBH_RR!D17,SF_Data!B:B,0))))))</f>
        <v/>
      </c>
      <c r="C17" t="str">
        <f>IF(PBH_RR!A17="","",IF(OR(PBH_RR!E17="FH Matrix",PBH_RR!E17="FC Matrix"),PBH_RR!H17,IF(INDEX(SF_Data!F:F,MATCH(PBH_RR!D17,SF_Data!B:B,0))="Greater(FH/FC)",IF(INDEX(SF_Data!M:M,MATCH(PBH_RR!D17,SF_Data!B:B,0))="FC",INDEX(SF_Data!R:R,MATCH(PBH_RR!D17,SF_Data!B:B,0)),""),IF(PBH_RR!E17="Both(FH+FC)",IF(PBH_RR!L17="FC",PBH_RR!H17,""),INDEX(SF_Data!R:R,MATCH(PBH_RR!D17,SF_Data!B:B,0))))))</f>
        <v/>
      </c>
      <c r="D17" t="str">
        <f>IF(PBH_RR!A17="","",IF(OR(PBH_RR!E17="Hourly",PBH_RR!E17="Cycle"),IF(INDEX(SF_Data!M:M,MATCH(PBH_RR!D17,SF_Data!B:B,0))="FH",INDEX(SF_Data!G:G,MATCH(PBH_RR!D17,SF_Data!B:B,0)),""),IF(PBH_RR!E17="Both(FH+FC)",IF(PBH_RR!L17="FH",PBH_RR!M17-PBH_RR!G17,""),IF(PBH_RR!E17="Greater(FH/FC)",IF(INDEX(SF_Data!M:M,MATCH(PBH_RR!D17,SF_Data!B:B,0))="FH",INDEX(SF_Data!G:G,MATCH(PBH_RR!D17,SF_Data!B:B,0))-INDEX(SF_Data!Q:Q,MATCH(PBH_RR!D17,SF_Data!B:B,0)),""),IF(INDEX(SF_Data!M:M,MATCH(PBH_RR!D17,SF_Data!B:B,0))="FH",INDEX(PBH_Lines!K:K,MATCH(PBH_RR!A17,PBH_Lines!M:M,0)),"")))))</f>
        <v/>
      </c>
      <c r="E17" t="str">
        <f>IF(PBH_RR!A17="","",IF(OR(PBH_RR!E17="Hourly",PBH_RR!E17="Cycle"),IF(INDEX(SF_Data!M:M,MATCH(PBH_RR!D17,SF_Data!B:B,0))="FC",INDEX(SF_Data!G:G,MATCH(PBH_RR!D17,SF_Data!B:B,0)),""),IF(PBH_RR!E17="Both(FH+FC)",IF(PBH_RR!L17="FC",PBH_RR!M17-PBH_RR!H17,""),IF(PBH_RR!E17="Greater(FH/FC)",IF(INDEX(SF_Data!M:M,MATCH(PBH_RR!D17,SF_Data!B:B,0))="FC",INDEX(SF_Data!G:G,MATCH(PBH_RR!D17,SF_Data!B:B,0))-INDEX(SF_Data!R:R,MATCH(PBH_RR!D17,SF_Data!B:B,0)),""),IF(INDEX(SF_Data!M:M,MATCH(PBH_RR!D17,SF_Data!B:B,0))="FC",INDEX(PBH_Lines!K:K,MATCH(PBH_RR!A17,PBH_Lines!M:M,0)),"")))))</f>
        <v/>
      </c>
      <c r="F17" t="str">
        <f>IF(PBH_RR!A17="","",IF(OR(PBH_RR!E17="FH Matrix",PBH_RR!E17="FC Matrix"),PBH_RR!I17,IF(INDEX(SF_Data!F:F,MATCH(PBH_RR!D17,SF_Data!B:B,0))="Greater(FH/FC)",IF(INDEX(SF_Data!M:M,MATCH(PBH_RR!D17,SF_Data!B:B,0))="FH",INDEX(SF_Data!S:S,MATCH(PBH_RR!D17,SF_Data!B:B,0)),""),IF(PBH_RR!E17="Both(FH+FC)",IF(PBH_RR!L17="FH",PBH_RR!I17,""),INDEX(SF_Data!S:S,MATCH(PBH_RR!D17,SF_Data!B:B,0))))))</f>
        <v/>
      </c>
      <c r="G17" t="str">
        <f>IF(PBH_RR!A17="","",IF(OR(PBH_RR!E17="FH Matrix",PBH_RR!E17="FC Matrix"),PBH_RR!J17,IF(INDEX(SF_Data!F:F,MATCH(PBH_RR!D17,SF_Data!B:B,0))="Greater(FH/FC)",IF(INDEX(SF_Data!M:M,MATCH(PBH_RR!D17,SF_Data!B:B,0))="FC",INDEX(SF_Data!T:T,MATCH(PBH_RR!D17,SF_Data!B:B,0)),""),IF(PBH_RR!E17="Both(FH+FC)",IF(PBH_RR!L17="FC",PBH_RR!J17,""),INDEX(SF_Data!T:T,MATCH(PBH_RR!D17,SF_Data!B:B,0))))))</f>
        <v/>
      </c>
      <c r="H17" t="str">
        <f>IF(PBH_RR!A17="","",IF(PBH_RR!E17="Both(FH+FC)",PBH_RR!P17,IF(OR(PBH_RR!E17="FH Matrix",PBH_RR!E17="FC Matrix"),INDEX(PBH_Lines!O:O,MATCH(PBH_RR!A17,PBH_Lines!M:M,0)),INDEX(SF_Data!U:U,MATCH(PBH_RR!D17,SF_Data!B:B,0)))))</f>
        <v/>
      </c>
      <c r="J17" t="str">
        <f t="shared" si="1"/>
        <v/>
      </c>
      <c r="K17" t="str">
        <f t="shared" si="2"/>
        <v/>
      </c>
      <c r="L17" t="str">
        <f t="shared" si="3"/>
        <v/>
      </c>
      <c r="M17" t="str">
        <f t="shared" si="4"/>
        <v/>
      </c>
      <c r="N17" t="str">
        <f t="shared" si="5"/>
        <v/>
      </c>
      <c r="O17" t="str">
        <f t="shared" si="6"/>
        <v/>
      </c>
      <c r="P17" t="str">
        <f t="shared" si="7"/>
        <v/>
      </c>
      <c r="Q17" t="str">
        <f t="shared" si="8"/>
        <v/>
      </c>
    </row>
    <row r="18" spans="1:17" x14ac:dyDescent="0.35">
      <c r="A18" t="str">
        <f>IF(PBH_RR!A18="","",IF(OR(PBH_RR!E18="FH Matrix", PBH_RR!E18="FC Matrix"),PBH_RR!C18,INDEX(SF_Data!D:D, MATCH(PBH_RR!D18, SF_Data!B:B, 0))))</f>
        <v/>
      </c>
      <c r="B18" t="str">
        <f>IF(PBH_RR!A18="","",IF(OR(PBH_RR!E18="FH Matrix",PBH_RR!E18="FC Matrix"),PBH_RR!G18,IF(INDEX(SF_Data!F:F,MATCH(PBH_RR!D18,SF_Data!B:B,0))="Greater(FH/FC)",IF(INDEX(SF_Data!M:M,MATCH(PBH_RR!D18,SF_Data!B:B,0))="FH",INDEX(SF_Data!Q:Q,MATCH(PBH_RR!D18,SF_Data!B:B,0)),""),IF(PBH_RR!E18="Both(FH+FC)",IF(PBH_RR!L18="FH",PBH_RR!G18,""),INDEX(SF_Data!Q:Q,MATCH(PBH_RR!D18,SF_Data!B:B,0))))))</f>
        <v/>
      </c>
      <c r="C18" t="str">
        <f>IF(PBH_RR!A18="","",IF(OR(PBH_RR!E18="FH Matrix",PBH_RR!E18="FC Matrix"),PBH_RR!H18,IF(INDEX(SF_Data!F:F,MATCH(PBH_RR!D18,SF_Data!B:B,0))="Greater(FH/FC)",IF(INDEX(SF_Data!M:M,MATCH(PBH_RR!D18,SF_Data!B:B,0))="FC",INDEX(SF_Data!R:R,MATCH(PBH_RR!D18,SF_Data!B:B,0)),""),IF(PBH_RR!E18="Both(FH+FC)",IF(PBH_RR!L18="FC",PBH_RR!H18,""),INDEX(SF_Data!R:R,MATCH(PBH_RR!D18,SF_Data!B:B,0))))))</f>
        <v/>
      </c>
      <c r="D18" t="str">
        <f>IF(PBH_RR!A18="","",IF(OR(PBH_RR!E18="Hourly",PBH_RR!E18="Cycle"),IF(INDEX(SF_Data!M:M,MATCH(PBH_RR!D18,SF_Data!B:B,0))="FH",INDEX(SF_Data!G:G,MATCH(PBH_RR!D18,SF_Data!B:B,0)),""),IF(PBH_RR!E18="Both(FH+FC)",IF(PBH_RR!L18="FH",PBH_RR!M18-PBH_RR!G18,""),IF(PBH_RR!E18="Greater(FH/FC)",IF(INDEX(SF_Data!M:M,MATCH(PBH_RR!D18,SF_Data!B:B,0))="FH",INDEX(SF_Data!G:G,MATCH(PBH_RR!D18,SF_Data!B:B,0))-INDEX(SF_Data!Q:Q,MATCH(PBH_RR!D18,SF_Data!B:B,0)),""),IF(INDEX(SF_Data!M:M,MATCH(PBH_RR!D18,SF_Data!B:B,0))="FH",INDEX(PBH_Lines!K:K,MATCH(PBH_RR!A18,PBH_Lines!M:M,0)),"")))))</f>
        <v/>
      </c>
      <c r="E18" t="str">
        <f>IF(PBH_RR!A18="","",IF(OR(PBH_RR!E18="Hourly",PBH_RR!E18="Cycle"),IF(INDEX(SF_Data!M:M,MATCH(PBH_RR!D18,SF_Data!B:B,0))="FC",INDEX(SF_Data!G:G,MATCH(PBH_RR!D18,SF_Data!B:B,0)),""),IF(PBH_RR!E18="Both(FH+FC)",IF(PBH_RR!L18="FC",PBH_RR!M18-PBH_RR!H18,""),IF(PBH_RR!E18="Greater(FH/FC)",IF(INDEX(SF_Data!M:M,MATCH(PBH_RR!D18,SF_Data!B:B,0))="FC",INDEX(SF_Data!G:G,MATCH(PBH_RR!D18,SF_Data!B:B,0))-INDEX(SF_Data!R:R,MATCH(PBH_RR!D18,SF_Data!B:B,0)),""),IF(INDEX(SF_Data!M:M,MATCH(PBH_RR!D18,SF_Data!B:B,0))="FC",INDEX(PBH_Lines!K:K,MATCH(PBH_RR!A18,PBH_Lines!M:M,0)),"")))))</f>
        <v/>
      </c>
      <c r="F18" t="str">
        <f>IF(PBH_RR!A18="","",IF(OR(PBH_RR!E18="FH Matrix",PBH_RR!E18="FC Matrix"),PBH_RR!I18,IF(INDEX(SF_Data!F:F,MATCH(PBH_RR!D18,SF_Data!B:B,0))="Greater(FH/FC)",IF(INDEX(SF_Data!M:M,MATCH(PBH_RR!D18,SF_Data!B:B,0))="FH",INDEX(SF_Data!S:S,MATCH(PBH_RR!D18,SF_Data!B:B,0)),""),IF(PBH_RR!E18="Both(FH+FC)",IF(PBH_RR!L18="FH",PBH_RR!I18,""),INDEX(SF_Data!S:S,MATCH(PBH_RR!D18,SF_Data!B:B,0))))))</f>
        <v/>
      </c>
      <c r="G18" t="str">
        <f>IF(PBH_RR!A18="","",IF(OR(PBH_RR!E18="FH Matrix",PBH_RR!E18="FC Matrix"),PBH_RR!J18,IF(INDEX(SF_Data!F:F,MATCH(PBH_RR!D18,SF_Data!B:B,0))="Greater(FH/FC)",IF(INDEX(SF_Data!M:M,MATCH(PBH_RR!D18,SF_Data!B:B,0))="FC",INDEX(SF_Data!T:T,MATCH(PBH_RR!D18,SF_Data!B:B,0)),""),IF(PBH_RR!E18="Both(FH+FC)",IF(PBH_RR!L18="FC",PBH_RR!J18,""),INDEX(SF_Data!T:T,MATCH(PBH_RR!D18,SF_Data!B:B,0))))))</f>
        <v/>
      </c>
      <c r="H18" t="str">
        <f>IF(PBH_RR!A18="","",IF(PBH_RR!E18="Both(FH+FC)",PBH_RR!P18,IF(OR(PBH_RR!E18="FH Matrix",PBH_RR!E18="FC Matrix"),INDEX(PBH_Lines!O:O,MATCH(PBH_RR!A18,PBH_Lines!M:M,0)),INDEX(SF_Data!U:U,MATCH(PBH_RR!D18,SF_Data!B:B,0)))))</f>
        <v/>
      </c>
      <c r="J18" t="str">
        <f t="shared" si="1"/>
        <v/>
      </c>
      <c r="K18" t="str">
        <f t="shared" si="2"/>
        <v/>
      </c>
      <c r="L18" t="str">
        <f t="shared" si="3"/>
        <v/>
      </c>
      <c r="M18" t="str">
        <f t="shared" si="4"/>
        <v/>
      </c>
      <c r="N18" t="str">
        <f t="shared" si="5"/>
        <v/>
      </c>
      <c r="O18" t="str">
        <f t="shared" si="6"/>
        <v/>
      </c>
      <c r="P18" t="str">
        <f t="shared" si="7"/>
        <v/>
      </c>
      <c r="Q18" t="str">
        <f t="shared" si="8"/>
        <v/>
      </c>
    </row>
    <row r="19" spans="1:17" x14ac:dyDescent="0.35">
      <c r="A19" t="str">
        <f>IF(PBH_RR!A19="","",IF(OR(PBH_RR!E19="FH Matrix", PBH_RR!E19="FC Matrix"),PBH_RR!C19,INDEX(SF_Data!D:D, MATCH(PBH_RR!D19, SF_Data!B:B, 0))))</f>
        <v/>
      </c>
      <c r="B19" t="str">
        <f>IF(PBH_RR!A19="","",IF(OR(PBH_RR!E19="FH Matrix",PBH_RR!E19="FC Matrix"),PBH_RR!G19,IF(INDEX(SF_Data!F:F,MATCH(PBH_RR!D19,SF_Data!B:B,0))="Greater(FH/FC)",IF(INDEX(SF_Data!M:M,MATCH(PBH_RR!D19,SF_Data!B:B,0))="FH",INDEX(SF_Data!Q:Q,MATCH(PBH_RR!D19,SF_Data!B:B,0)),""),IF(PBH_RR!E19="Both(FH+FC)",IF(PBH_RR!L19="FH",PBH_RR!G19,""),INDEX(SF_Data!Q:Q,MATCH(PBH_RR!D19,SF_Data!B:B,0))))))</f>
        <v/>
      </c>
      <c r="C19" t="str">
        <f>IF(PBH_RR!A19="","",IF(OR(PBH_RR!E19="FH Matrix",PBH_RR!E19="FC Matrix"),PBH_RR!H19,IF(INDEX(SF_Data!F:F,MATCH(PBH_RR!D19,SF_Data!B:B,0))="Greater(FH/FC)",IF(INDEX(SF_Data!M:M,MATCH(PBH_RR!D19,SF_Data!B:B,0))="FC",INDEX(SF_Data!R:R,MATCH(PBH_RR!D19,SF_Data!B:B,0)),""),IF(PBH_RR!E19="Both(FH+FC)",IF(PBH_RR!L19="FC",PBH_RR!H19,""),INDEX(SF_Data!R:R,MATCH(PBH_RR!D19,SF_Data!B:B,0))))))</f>
        <v/>
      </c>
      <c r="D19" t="str">
        <f>IF(PBH_RR!A19="","",IF(OR(PBH_RR!E19="Hourly",PBH_RR!E19="Cycle"),IF(INDEX(SF_Data!M:M,MATCH(PBH_RR!D19,SF_Data!B:B,0))="FH",INDEX(SF_Data!G:G,MATCH(PBH_RR!D19,SF_Data!B:B,0)),""),IF(PBH_RR!E19="Both(FH+FC)",IF(PBH_RR!L19="FH",PBH_RR!M19-PBH_RR!G19,""),IF(PBH_RR!E19="Greater(FH/FC)",IF(INDEX(SF_Data!M:M,MATCH(PBH_RR!D19,SF_Data!B:B,0))="FH",INDEX(SF_Data!G:G,MATCH(PBH_RR!D19,SF_Data!B:B,0))-INDEX(SF_Data!Q:Q,MATCH(PBH_RR!D19,SF_Data!B:B,0)),""),IF(INDEX(SF_Data!M:M,MATCH(PBH_RR!D19,SF_Data!B:B,0))="FH",INDEX(PBH_Lines!K:K,MATCH(PBH_RR!A19,PBH_Lines!M:M,0)),"")))))</f>
        <v/>
      </c>
      <c r="E19" t="str">
        <f>IF(PBH_RR!A19="","",IF(OR(PBH_RR!E19="Hourly",PBH_RR!E19="Cycle"),IF(INDEX(SF_Data!M:M,MATCH(PBH_RR!D19,SF_Data!B:B,0))="FC",INDEX(SF_Data!G:G,MATCH(PBH_RR!D19,SF_Data!B:B,0)),""),IF(PBH_RR!E19="Both(FH+FC)",IF(PBH_RR!L19="FC",PBH_RR!M19-PBH_RR!H19,""),IF(PBH_RR!E19="Greater(FH/FC)",IF(INDEX(SF_Data!M:M,MATCH(PBH_RR!D19,SF_Data!B:B,0))="FC",INDEX(SF_Data!G:G,MATCH(PBH_RR!D19,SF_Data!B:B,0))-INDEX(SF_Data!R:R,MATCH(PBH_RR!D19,SF_Data!B:B,0)),""),IF(INDEX(SF_Data!M:M,MATCH(PBH_RR!D19,SF_Data!B:B,0))="FC",INDEX(PBH_Lines!K:K,MATCH(PBH_RR!A19,PBH_Lines!M:M,0)),"")))))</f>
        <v/>
      </c>
      <c r="F19" t="str">
        <f>IF(PBH_RR!A19="","",IF(OR(PBH_RR!E19="FH Matrix",PBH_RR!E19="FC Matrix"),PBH_RR!I19,IF(INDEX(SF_Data!F:F,MATCH(PBH_RR!D19,SF_Data!B:B,0))="Greater(FH/FC)",IF(INDEX(SF_Data!M:M,MATCH(PBH_RR!D19,SF_Data!B:B,0))="FH",INDEX(SF_Data!S:S,MATCH(PBH_RR!D19,SF_Data!B:B,0)),""),IF(PBH_RR!E19="Both(FH+FC)",IF(PBH_RR!L19="FH",PBH_RR!I19,""),INDEX(SF_Data!S:S,MATCH(PBH_RR!D19,SF_Data!B:B,0))))))</f>
        <v/>
      </c>
      <c r="G19" t="str">
        <f>IF(PBH_RR!A19="","",IF(OR(PBH_RR!E19="FH Matrix",PBH_RR!E19="FC Matrix"),PBH_RR!J19,IF(INDEX(SF_Data!F:F,MATCH(PBH_RR!D19,SF_Data!B:B,0))="Greater(FH/FC)",IF(INDEX(SF_Data!M:M,MATCH(PBH_RR!D19,SF_Data!B:B,0))="FC",INDEX(SF_Data!T:T,MATCH(PBH_RR!D19,SF_Data!B:B,0)),""),IF(PBH_RR!E19="Both(FH+FC)",IF(PBH_RR!L19="FC",PBH_RR!J19,""),INDEX(SF_Data!T:T,MATCH(PBH_RR!D19,SF_Data!B:B,0))))))</f>
        <v/>
      </c>
      <c r="H19" t="str">
        <f>IF(PBH_RR!A19="","",IF(PBH_RR!E19="Both(FH+FC)",PBH_RR!P19,IF(OR(PBH_RR!E19="FH Matrix",PBH_RR!E19="FC Matrix"),INDEX(PBH_Lines!O:O,MATCH(PBH_RR!A19,PBH_Lines!M:M,0)),INDEX(SF_Data!U:U,MATCH(PBH_RR!D19,SF_Data!B:B,0)))))</f>
        <v/>
      </c>
      <c r="J19" t="str">
        <f t="shared" si="1"/>
        <v/>
      </c>
      <c r="K19" t="str">
        <f t="shared" si="2"/>
        <v/>
      </c>
      <c r="L19" t="str">
        <f t="shared" si="3"/>
        <v/>
      </c>
      <c r="M19" t="str">
        <f t="shared" si="4"/>
        <v/>
      </c>
      <c r="N19" t="str">
        <f t="shared" si="5"/>
        <v/>
      </c>
      <c r="O19" t="str">
        <f t="shared" si="6"/>
        <v/>
      </c>
      <c r="P19" t="str">
        <f t="shared" si="7"/>
        <v/>
      </c>
      <c r="Q19" t="str">
        <f t="shared" si="8"/>
        <v/>
      </c>
    </row>
    <row r="20" spans="1:17" x14ac:dyDescent="0.35">
      <c r="A20" t="str">
        <f>IF(PBH_RR!A20="","",IF(OR(PBH_RR!E20="FH Matrix", PBH_RR!E20="FC Matrix"),PBH_RR!C20,INDEX(SF_Data!D:D, MATCH(PBH_RR!D20, SF_Data!B:B, 0))))</f>
        <v/>
      </c>
      <c r="B20" t="str">
        <f>IF(PBH_RR!A20="","",IF(OR(PBH_RR!E20="FH Matrix",PBH_RR!E20="FC Matrix"),PBH_RR!G20,IF(INDEX(SF_Data!F:F,MATCH(PBH_RR!D20,SF_Data!B:B,0))="Greater(FH/FC)",IF(INDEX(SF_Data!M:M,MATCH(PBH_RR!D20,SF_Data!B:B,0))="FH",INDEX(SF_Data!Q:Q,MATCH(PBH_RR!D20,SF_Data!B:B,0)),""),IF(PBH_RR!E20="Both(FH+FC)",IF(PBH_RR!L20="FH",PBH_RR!G20,""),INDEX(SF_Data!Q:Q,MATCH(PBH_RR!D20,SF_Data!B:B,0))))))</f>
        <v/>
      </c>
      <c r="C20" t="str">
        <f>IF(PBH_RR!A20="","",IF(OR(PBH_RR!E20="FH Matrix",PBH_RR!E20="FC Matrix"),PBH_RR!H20,IF(INDEX(SF_Data!F:F,MATCH(PBH_RR!D20,SF_Data!B:B,0))="Greater(FH/FC)",IF(INDEX(SF_Data!M:M,MATCH(PBH_RR!D20,SF_Data!B:B,0))="FC",INDEX(SF_Data!R:R,MATCH(PBH_RR!D20,SF_Data!B:B,0)),""),IF(PBH_RR!E20="Both(FH+FC)",IF(PBH_RR!L20="FC",PBH_RR!H20,""),INDEX(SF_Data!R:R,MATCH(PBH_RR!D20,SF_Data!B:B,0))))))</f>
        <v/>
      </c>
      <c r="D20" t="str">
        <f>IF(PBH_RR!A20="","",IF(OR(PBH_RR!E20="Hourly",PBH_RR!E20="Cycle"),IF(INDEX(SF_Data!M:M,MATCH(PBH_RR!D20,SF_Data!B:B,0))="FH",INDEX(SF_Data!G:G,MATCH(PBH_RR!D20,SF_Data!B:B,0)),""),IF(PBH_RR!E20="Both(FH+FC)",IF(PBH_RR!L20="FH",PBH_RR!M20-PBH_RR!G20,""),IF(PBH_RR!E20="Greater(FH/FC)",IF(INDEX(SF_Data!M:M,MATCH(PBH_RR!D20,SF_Data!B:B,0))="FH",INDEX(SF_Data!G:G,MATCH(PBH_RR!D20,SF_Data!B:B,0))-INDEX(SF_Data!Q:Q,MATCH(PBH_RR!D20,SF_Data!B:B,0)),""),IF(INDEX(SF_Data!M:M,MATCH(PBH_RR!D20,SF_Data!B:B,0))="FH",INDEX(PBH_Lines!K:K,MATCH(PBH_RR!A20,PBH_Lines!M:M,0)),"")))))</f>
        <v/>
      </c>
      <c r="E20" t="str">
        <f>IF(PBH_RR!A20="","",IF(OR(PBH_RR!E20="Hourly",PBH_RR!E20="Cycle"),IF(INDEX(SF_Data!M:M,MATCH(PBH_RR!D20,SF_Data!B:B,0))="FC",INDEX(SF_Data!G:G,MATCH(PBH_RR!D20,SF_Data!B:B,0)),""),IF(PBH_RR!E20="Both(FH+FC)",IF(PBH_RR!L20="FC",PBH_RR!M20-PBH_RR!H20,""),IF(PBH_RR!E20="Greater(FH/FC)",IF(INDEX(SF_Data!M:M,MATCH(PBH_RR!D20,SF_Data!B:B,0))="FC",INDEX(SF_Data!G:G,MATCH(PBH_RR!D20,SF_Data!B:B,0))-INDEX(SF_Data!R:R,MATCH(PBH_RR!D20,SF_Data!B:B,0)),""),IF(INDEX(SF_Data!M:M,MATCH(PBH_RR!D20,SF_Data!B:B,0))="FC",INDEX(PBH_Lines!K:K,MATCH(PBH_RR!A20,PBH_Lines!M:M,0)),"")))))</f>
        <v/>
      </c>
      <c r="F20" t="str">
        <f>IF(PBH_RR!A20="","",IF(OR(PBH_RR!E20="FH Matrix",PBH_RR!E20="FC Matrix"),PBH_RR!I20,IF(INDEX(SF_Data!F:F,MATCH(PBH_RR!D20,SF_Data!B:B,0))="Greater(FH/FC)",IF(INDEX(SF_Data!M:M,MATCH(PBH_RR!D20,SF_Data!B:B,0))="FH",INDEX(SF_Data!S:S,MATCH(PBH_RR!D20,SF_Data!B:B,0)),""),IF(PBH_RR!E20="Both(FH+FC)",IF(PBH_RR!L20="FH",PBH_RR!I20,""),INDEX(SF_Data!S:S,MATCH(PBH_RR!D20,SF_Data!B:B,0))))))</f>
        <v/>
      </c>
      <c r="G20" t="str">
        <f>IF(PBH_RR!A20="","",IF(OR(PBH_RR!E20="FH Matrix",PBH_RR!E20="FC Matrix"),PBH_RR!J20,IF(INDEX(SF_Data!F:F,MATCH(PBH_RR!D20,SF_Data!B:B,0))="Greater(FH/FC)",IF(INDEX(SF_Data!M:M,MATCH(PBH_RR!D20,SF_Data!B:B,0))="FC",INDEX(SF_Data!T:T,MATCH(PBH_RR!D20,SF_Data!B:B,0)),""),IF(PBH_RR!E20="Both(FH+FC)",IF(PBH_RR!L20="FC",PBH_RR!J20,""),INDEX(SF_Data!T:T,MATCH(PBH_RR!D20,SF_Data!B:B,0))))))</f>
        <v/>
      </c>
      <c r="H20" t="str">
        <f>IF(PBH_RR!A20="","",IF(PBH_RR!E20="Both(FH+FC)",PBH_RR!P20,IF(OR(PBH_RR!E20="FH Matrix",PBH_RR!E20="FC Matrix"),INDEX(PBH_Lines!O:O,MATCH(PBH_RR!A20,PBH_Lines!M:M,0)),INDEX(SF_Data!U:U,MATCH(PBH_RR!D20,SF_Data!B:B,0)))))</f>
        <v/>
      </c>
      <c r="J20" t="str">
        <f t="shared" si="1"/>
        <v/>
      </c>
      <c r="K20" t="str">
        <f t="shared" si="2"/>
        <v/>
      </c>
      <c r="L20" t="str">
        <f t="shared" si="3"/>
        <v/>
      </c>
      <c r="M20" t="str">
        <f t="shared" si="4"/>
        <v/>
      </c>
      <c r="N20" t="str">
        <f t="shared" si="5"/>
        <v/>
      </c>
      <c r="O20" t="str">
        <f t="shared" si="6"/>
        <v/>
      </c>
      <c r="P20" t="str">
        <f t="shared" si="7"/>
        <v/>
      </c>
      <c r="Q20" t="str">
        <f t="shared" si="8"/>
        <v/>
      </c>
    </row>
    <row r="21" spans="1:17" x14ac:dyDescent="0.35">
      <c r="A21" t="str">
        <f>IF(PBH_RR!A21="","",IF(OR(PBH_RR!E21="FH Matrix", PBH_RR!E21="FC Matrix"),PBH_RR!C21,INDEX(SF_Data!D:D, MATCH(PBH_RR!D21, SF_Data!B:B, 0))))</f>
        <v/>
      </c>
      <c r="B21" t="str">
        <f>IF(PBH_RR!A21="","",IF(OR(PBH_RR!E21="FH Matrix",PBH_RR!E21="FC Matrix"),PBH_RR!G21,IF(INDEX(SF_Data!F:F,MATCH(PBH_RR!D21,SF_Data!B:B,0))="Greater(FH/FC)",IF(INDEX(SF_Data!M:M,MATCH(PBH_RR!D21,SF_Data!B:B,0))="FH",INDEX(SF_Data!Q:Q,MATCH(PBH_RR!D21,SF_Data!B:B,0)),""),IF(PBH_RR!E21="Both(FH+FC)",IF(PBH_RR!L21="FH",PBH_RR!G21,""),INDEX(SF_Data!Q:Q,MATCH(PBH_RR!D21,SF_Data!B:B,0))))))</f>
        <v/>
      </c>
      <c r="C21" t="str">
        <f>IF(PBH_RR!A21="","",IF(OR(PBH_RR!E21="FH Matrix",PBH_RR!E21="FC Matrix"),PBH_RR!H21,IF(INDEX(SF_Data!F:F,MATCH(PBH_RR!D21,SF_Data!B:B,0))="Greater(FH/FC)",IF(INDEX(SF_Data!M:M,MATCH(PBH_RR!D21,SF_Data!B:B,0))="FC",INDEX(SF_Data!R:R,MATCH(PBH_RR!D21,SF_Data!B:B,0)),""),IF(PBH_RR!E21="Both(FH+FC)",IF(PBH_RR!L21="FC",PBH_RR!H21,""),INDEX(SF_Data!R:R,MATCH(PBH_RR!D21,SF_Data!B:B,0))))))</f>
        <v/>
      </c>
      <c r="D21" t="str">
        <f>IF(PBH_RR!A21="","",IF(OR(PBH_RR!E21="Hourly",PBH_RR!E21="Cycle"),IF(INDEX(SF_Data!M:M,MATCH(PBH_RR!D21,SF_Data!B:B,0))="FH",INDEX(SF_Data!G:G,MATCH(PBH_RR!D21,SF_Data!B:B,0)),""),IF(PBH_RR!E21="Both(FH+FC)",IF(PBH_RR!L21="FH",PBH_RR!M21-PBH_RR!G21,""),IF(PBH_RR!E21="Greater(FH/FC)",IF(INDEX(SF_Data!M:M,MATCH(PBH_RR!D21,SF_Data!B:B,0))="FH",INDEX(SF_Data!G:G,MATCH(PBH_RR!D21,SF_Data!B:B,0))-INDEX(SF_Data!Q:Q,MATCH(PBH_RR!D21,SF_Data!B:B,0)),""),IF(INDEX(SF_Data!M:M,MATCH(PBH_RR!D21,SF_Data!B:B,0))="FH",INDEX(PBH_Lines!K:K,MATCH(PBH_RR!A21,PBH_Lines!M:M,0)),"")))))</f>
        <v/>
      </c>
      <c r="E21" t="str">
        <f>IF(PBH_RR!A21="","",IF(OR(PBH_RR!E21="Hourly",PBH_RR!E21="Cycle"),IF(INDEX(SF_Data!M:M,MATCH(PBH_RR!D21,SF_Data!B:B,0))="FC",INDEX(SF_Data!G:G,MATCH(PBH_RR!D21,SF_Data!B:B,0)),""),IF(PBH_RR!E21="Both(FH+FC)",IF(PBH_RR!L21="FC",PBH_RR!M21-PBH_RR!H21,""),IF(PBH_RR!E21="Greater(FH/FC)",IF(INDEX(SF_Data!M:M,MATCH(PBH_RR!D21,SF_Data!B:B,0))="FC",INDEX(SF_Data!G:G,MATCH(PBH_RR!D21,SF_Data!B:B,0))-INDEX(SF_Data!R:R,MATCH(PBH_RR!D21,SF_Data!B:B,0)),""),IF(INDEX(SF_Data!M:M,MATCH(PBH_RR!D21,SF_Data!B:B,0))="FC",INDEX(PBH_Lines!K:K,MATCH(PBH_RR!A21,PBH_Lines!M:M,0)),"")))))</f>
        <v/>
      </c>
      <c r="F21" t="str">
        <f>IF(PBH_RR!A21="","",IF(OR(PBH_RR!E21="FH Matrix",PBH_RR!E21="FC Matrix"),PBH_RR!I21,IF(INDEX(SF_Data!F:F,MATCH(PBH_RR!D21,SF_Data!B:B,0))="Greater(FH/FC)",IF(INDEX(SF_Data!M:M,MATCH(PBH_RR!D21,SF_Data!B:B,0))="FH",INDEX(SF_Data!S:S,MATCH(PBH_RR!D21,SF_Data!B:B,0)),""),IF(PBH_RR!E21="Both(FH+FC)",IF(PBH_RR!L21="FH",PBH_RR!I21,""),INDEX(SF_Data!S:S,MATCH(PBH_RR!D21,SF_Data!B:B,0))))))</f>
        <v/>
      </c>
      <c r="G21" t="str">
        <f>IF(PBH_RR!A21="","",IF(OR(PBH_RR!E21="FH Matrix",PBH_RR!E21="FC Matrix"),PBH_RR!J21,IF(INDEX(SF_Data!F:F,MATCH(PBH_RR!D21,SF_Data!B:B,0))="Greater(FH/FC)",IF(INDEX(SF_Data!M:M,MATCH(PBH_RR!D21,SF_Data!B:B,0))="FC",INDEX(SF_Data!T:T,MATCH(PBH_RR!D21,SF_Data!B:B,0)),""),IF(PBH_RR!E21="Both(FH+FC)",IF(PBH_RR!L21="FC",PBH_RR!J21,""),INDEX(SF_Data!T:T,MATCH(PBH_RR!D21,SF_Data!B:B,0))))))</f>
        <v/>
      </c>
      <c r="H21" t="str">
        <f>IF(PBH_RR!A21="","",IF(PBH_RR!E21="Both(FH+FC)",PBH_RR!P21,IF(OR(PBH_RR!E21="FH Matrix",PBH_RR!E21="FC Matrix"),INDEX(PBH_Lines!O:O,MATCH(PBH_RR!A21,PBH_Lines!M:M,0)),INDEX(SF_Data!U:U,MATCH(PBH_RR!D21,SF_Data!B:B,0)))))</f>
        <v/>
      </c>
      <c r="J21" t="str">
        <f t="shared" si="1"/>
        <v/>
      </c>
      <c r="K21" t="str">
        <f t="shared" si="2"/>
        <v/>
      </c>
      <c r="L21" t="str">
        <f t="shared" si="3"/>
        <v/>
      </c>
      <c r="M21" t="str">
        <f t="shared" si="4"/>
        <v/>
      </c>
      <c r="N21" t="str">
        <f t="shared" si="5"/>
        <v/>
      </c>
      <c r="O21" t="str">
        <f t="shared" si="6"/>
        <v/>
      </c>
      <c r="P21" t="str">
        <f t="shared" si="7"/>
        <v/>
      </c>
      <c r="Q21" t="str">
        <f t="shared" si="8"/>
        <v/>
      </c>
    </row>
    <row r="22" spans="1:17" x14ac:dyDescent="0.35">
      <c r="A22" t="str">
        <f>IF(PBH_RR!A22="","",IF(OR(PBH_RR!E22="FH Matrix", PBH_RR!E22="FC Matrix"),PBH_RR!C22,INDEX(SF_Data!D:D, MATCH(PBH_RR!D22, SF_Data!B:B, 0))))</f>
        <v/>
      </c>
      <c r="B22" t="str">
        <f>IF(PBH_RR!A22="","",IF(OR(PBH_RR!E22="FH Matrix",PBH_RR!E22="FC Matrix"),PBH_RR!G22,IF(INDEX(SF_Data!F:F,MATCH(PBH_RR!D22,SF_Data!B:B,0))="Greater(FH/FC)",IF(INDEX(SF_Data!M:M,MATCH(PBH_RR!D22,SF_Data!B:B,0))="FH",INDEX(SF_Data!Q:Q,MATCH(PBH_RR!D22,SF_Data!B:B,0)),""),IF(PBH_RR!E22="Both(FH+FC)",IF(PBH_RR!L22="FH",PBH_RR!G22,""),INDEX(SF_Data!Q:Q,MATCH(PBH_RR!D22,SF_Data!B:B,0))))))</f>
        <v/>
      </c>
      <c r="C22" t="str">
        <f>IF(PBH_RR!A22="","",IF(OR(PBH_RR!E22="FH Matrix",PBH_RR!E22="FC Matrix"),PBH_RR!H22,IF(INDEX(SF_Data!F:F,MATCH(PBH_RR!D22,SF_Data!B:B,0))="Greater(FH/FC)",IF(INDEX(SF_Data!M:M,MATCH(PBH_RR!D22,SF_Data!B:B,0))="FC",INDEX(SF_Data!R:R,MATCH(PBH_RR!D22,SF_Data!B:B,0)),""),IF(PBH_RR!E22="Both(FH+FC)",IF(PBH_RR!L22="FC",PBH_RR!H22,""),INDEX(SF_Data!R:R,MATCH(PBH_RR!D22,SF_Data!B:B,0))))))</f>
        <v/>
      </c>
      <c r="D22" t="str">
        <f>IF(PBH_RR!A22="","",IF(OR(PBH_RR!E22="Hourly",PBH_RR!E22="Cycle"),IF(INDEX(SF_Data!M:M,MATCH(PBH_RR!D22,SF_Data!B:B,0))="FH",INDEX(SF_Data!G:G,MATCH(PBH_RR!D22,SF_Data!B:B,0)),""),IF(PBH_RR!E22="Both(FH+FC)",IF(PBH_RR!L22="FH",PBH_RR!M22-PBH_RR!G22,""),IF(PBH_RR!E22="Greater(FH/FC)",IF(INDEX(SF_Data!M:M,MATCH(PBH_RR!D22,SF_Data!B:B,0))="FH",INDEX(SF_Data!G:G,MATCH(PBH_RR!D22,SF_Data!B:B,0))-INDEX(SF_Data!Q:Q,MATCH(PBH_RR!D22,SF_Data!B:B,0)),""),IF(INDEX(SF_Data!M:M,MATCH(PBH_RR!D22,SF_Data!B:B,0))="FH",INDEX(PBH_Lines!K:K,MATCH(PBH_RR!A22,PBH_Lines!M:M,0)),"")))))</f>
        <v/>
      </c>
      <c r="E22" t="str">
        <f>IF(PBH_RR!A22="","",IF(OR(PBH_RR!E22="Hourly",PBH_RR!E22="Cycle"),IF(INDEX(SF_Data!M:M,MATCH(PBH_RR!D22,SF_Data!B:B,0))="FC",INDEX(SF_Data!G:G,MATCH(PBH_RR!D22,SF_Data!B:B,0)),""),IF(PBH_RR!E22="Both(FH+FC)",IF(PBH_RR!L22="FC",PBH_RR!M22-PBH_RR!H22,""),IF(PBH_RR!E22="Greater(FH/FC)",IF(INDEX(SF_Data!M:M,MATCH(PBH_RR!D22,SF_Data!B:B,0))="FC",INDEX(SF_Data!G:G,MATCH(PBH_RR!D22,SF_Data!B:B,0))-INDEX(SF_Data!R:R,MATCH(PBH_RR!D22,SF_Data!B:B,0)),""),IF(INDEX(SF_Data!M:M,MATCH(PBH_RR!D22,SF_Data!B:B,0))="FC",INDEX(PBH_Lines!K:K,MATCH(PBH_RR!A22,PBH_Lines!M:M,0)),"")))))</f>
        <v/>
      </c>
      <c r="F22" t="str">
        <f>IF(PBH_RR!A22="","",IF(OR(PBH_RR!E22="FH Matrix",PBH_RR!E22="FC Matrix"),PBH_RR!I22,IF(INDEX(SF_Data!F:F,MATCH(PBH_RR!D22,SF_Data!B:B,0))="Greater(FH/FC)",IF(INDEX(SF_Data!M:M,MATCH(PBH_RR!D22,SF_Data!B:B,0))="FH",INDEX(SF_Data!S:S,MATCH(PBH_RR!D22,SF_Data!B:B,0)),""),IF(PBH_RR!E22="Both(FH+FC)",IF(PBH_RR!L22="FH",PBH_RR!I22,""),INDEX(SF_Data!S:S,MATCH(PBH_RR!D22,SF_Data!B:B,0))))))</f>
        <v/>
      </c>
      <c r="G22" t="str">
        <f>IF(PBH_RR!A22="","",IF(OR(PBH_RR!E22="FH Matrix",PBH_RR!E22="FC Matrix"),PBH_RR!J22,IF(INDEX(SF_Data!F:F,MATCH(PBH_RR!D22,SF_Data!B:B,0))="Greater(FH/FC)",IF(INDEX(SF_Data!M:M,MATCH(PBH_RR!D22,SF_Data!B:B,0))="FC",INDEX(SF_Data!T:T,MATCH(PBH_RR!D22,SF_Data!B:B,0)),""),IF(PBH_RR!E22="Both(FH+FC)",IF(PBH_RR!L22="FC",PBH_RR!J22,""),INDEX(SF_Data!T:T,MATCH(PBH_RR!D22,SF_Data!B:B,0))))))</f>
        <v/>
      </c>
      <c r="H22" t="str">
        <f>IF(PBH_RR!A22="","",IF(PBH_RR!E22="Both(FH+FC)",PBH_RR!P22,IF(OR(PBH_RR!E22="FH Matrix",PBH_RR!E22="FC Matrix"),INDEX(PBH_Lines!O:O,MATCH(PBH_RR!A22,PBH_Lines!M:M,0)),INDEX(SF_Data!U:U,MATCH(PBH_RR!D22,SF_Data!B:B,0)))))</f>
        <v/>
      </c>
      <c r="J22" t="str">
        <f t="shared" si="1"/>
        <v/>
      </c>
      <c r="K22" t="str">
        <f t="shared" si="2"/>
        <v/>
      </c>
      <c r="L22" t="str">
        <f t="shared" si="3"/>
        <v/>
      </c>
      <c r="M22" t="str">
        <f t="shared" si="4"/>
        <v/>
      </c>
      <c r="N22" t="str">
        <f t="shared" si="5"/>
        <v/>
      </c>
      <c r="O22" t="str">
        <f t="shared" si="6"/>
        <v/>
      </c>
      <c r="P22" t="str">
        <f t="shared" si="7"/>
        <v/>
      </c>
      <c r="Q22" t="str">
        <f t="shared" si="8"/>
        <v/>
      </c>
    </row>
    <row r="23" spans="1:17" x14ac:dyDescent="0.35">
      <c r="A23" t="str">
        <f>IF(PBH_RR!A23="","",IF(OR(PBH_RR!E23="FH Matrix", PBH_RR!E23="FC Matrix"),PBH_RR!C23,INDEX(SF_Data!D:D, MATCH(PBH_RR!D23, SF_Data!B:B, 0))))</f>
        <v/>
      </c>
      <c r="B23" t="str">
        <f>IF(PBH_RR!A23="","",IF(OR(PBH_RR!E23="FH Matrix",PBH_RR!E23="FC Matrix"),PBH_RR!G23,IF(INDEX(SF_Data!F:F,MATCH(PBH_RR!D23,SF_Data!B:B,0))="Greater(FH/FC)",IF(INDEX(SF_Data!M:M,MATCH(PBH_RR!D23,SF_Data!B:B,0))="FH",INDEX(SF_Data!Q:Q,MATCH(PBH_RR!D23,SF_Data!B:B,0)),""),IF(PBH_RR!E23="Both(FH+FC)",IF(PBH_RR!L23="FH",PBH_RR!G23,""),INDEX(SF_Data!Q:Q,MATCH(PBH_RR!D23,SF_Data!B:B,0))))))</f>
        <v/>
      </c>
      <c r="C23" t="str">
        <f>IF(PBH_RR!A23="","",IF(OR(PBH_RR!E23="FH Matrix",PBH_RR!E23="FC Matrix"),PBH_RR!H23,IF(INDEX(SF_Data!F:F,MATCH(PBH_RR!D23,SF_Data!B:B,0))="Greater(FH/FC)",IF(INDEX(SF_Data!M:M,MATCH(PBH_RR!D23,SF_Data!B:B,0))="FC",INDEX(SF_Data!R:R,MATCH(PBH_RR!D23,SF_Data!B:B,0)),""),IF(PBH_RR!E23="Both(FH+FC)",IF(PBH_RR!L23="FC",PBH_RR!H23,""),INDEX(SF_Data!R:R,MATCH(PBH_RR!D23,SF_Data!B:B,0))))))</f>
        <v/>
      </c>
      <c r="D23" t="str">
        <f>IF(PBH_RR!A23="","",IF(OR(PBH_RR!E23="Hourly",PBH_RR!E23="Cycle"),IF(INDEX(SF_Data!M:M,MATCH(PBH_RR!D23,SF_Data!B:B,0))="FH",INDEX(SF_Data!G:G,MATCH(PBH_RR!D23,SF_Data!B:B,0)),""),IF(PBH_RR!E23="Both(FH+FC)",IF(PBH_RR!L23="FH",PBH_RR!M23-PBH_RR!G23,""),IF(PBH_RR!E23="Greater(FH/FC)",IF(INDEX(SF_Data!M:M,MATCH(PBH_RR!D23,SF_Data!B:B,0))="FH",INDEX(SF_Data!G:G,MATCH(PBH_RR!D23,SF_Data!B:B,0))-INDEX(SF_Data!Q:Q,MATCH(PBH_RR!D23,SF_Data!B:B,0)),""),IF(INDEX(SF_Data!M:M,MATCH(PBH_RR!D23,SF_Data!B:B,0))="FH",INDEX(PBH_Lines!K:K,MATCH(PBH_RR!A23,PBH_Lines!M:M,0)),"")))))</f>
        <v/>
      </c>
      <c r="E23" t="str">
        <f>IF(PBH_RR!A23="","",IF(OR(PBH_RR!E23="Hourly",PBH_RR!E23="Cycle"),IF(INDEX(SF_Data!M:M,MATCH(PBH_RR!D23,SF_Data!B:B,0))="FC",INDEX(SF_Data!G:G,MATCH(PBH_RR!D23,SF_Data!B:B,0)),""),IF(PBH_RR!E23="Both(FH+FC)",IF(PBH_RR!L23="FC",PBH_RR!M23-PBH_RR!H23,""),IF(PBH_RR!E23="Greater(FH/FC)",IF(INDEX(SF_Data!M:M,MATCH(PBH_RR!D23,SF_Data!B:B,0))="FC",INDEX(SF_Data!G:G,MATCH(PBH_RR!D23,SF_Data!B:B,0))-INDEX(SF_Data!R:R,MATCH(PBH_RR!D23,SF_Data!B:B,0)),""),IF(INDEX(SF_Data!M:M,MATCH(PBH_RR!D23,SF_Data!B:B,0))="FC",INDEX(PBH_Lines!K:K,MATCH(PBH_RR!A23,PBH_Lines!M:M,0)),"")))))</f>
        <v/>
      </c>
      <c r="F23" t="str">
        <f>IF(PBH_RR!A23="","",IF(OR(PBH_RR!E23="FH Matrix",PBH_RR!E23="FC Matrix"),PBH_RR!I23,IF(INDEX(SF_Data!F:F,MATCH(PBH_RR!D23,SF_Data!B:B,0))="Greater(FH/FC)",IF(INDEX(SF_Data!M:M,MATCH(PBH_RR!D23,SF_Data!B:B,0))="FH",INDEX(SF_Data!S:S,MATCH(PBH_RR!D23,SF_Data!B:B,0)),""),IF(PBH_RR!E23="Both(FH+FC)",IF(PBH_RR!L23="FH",PBH_RR!I23,""),INDEX(SF_Data!S:S,MATCH(PBH_RR!D23,SF_Data!B:B,0))))))</f>
        <v/>
      </c>
      <c r="G23" t="str">
        <f>IF(PBH_RR!A23="","",IF(OR(PBH_RR!E23="FH Matrix",PBH_RR!E23="FC Matrix"),PBH_RR!J23,IF(INDEX(SF_Data!F:F,MATCH(PBH_RR!D23,SF_Data!B:B,0))="Greater(FH/FC)",IF(INDEX(SF_Data!M:M,MATCH(PBH_RR!D23,SF_Data!B:B,0))="FC",INDEX(SF_Data!T:T,MATCH(PBH_RR!D23,SF_Data!B:B,0)),""),IF(PBH_RR!E23="Both(FH+FC)",IF(PBH_RR!L23="FC",PBH_RR!J23,""),INDEX(SF_Data!T:T,MATCH(PBH_RR!D23,SF_Data!B:B,0))))))</f>
        <v/>
      </c>
      <c r="H23" t="str">
        <f>IF(PBH_RR!A23="","",IF(PBH_RR!E23="Both(FH+FC)",PBH_RR!P23,IF(OR(PBH_RR!E23="FH Matrix",PBH_RR!E23="FC Matrix"),INDEX(PBH_Lines!O:O,MATCH(PBH_RR!A23,PBH_Lines!M:M,0)),INDEX(SF_Data!U:U,MATCH(PBH_RR!D23,SF_Data!B:B,0)))))</f>
        <v/>
      </c>
      <c r="J23" t="str">
        <f t="shared" si="1"/>
        <v/>
      </c>
      <c r="K23" t="str">
        <f t="shared" si="2"/>
        <v/>
      </c>
      <c r="L23" t="str">
        <f t="shared" si="3"/>
        <v/>
      </c>
      <c r="M23" t="str">
        <f t="shared" si="4"/>
        <v/>
      </c>
      <c r="N23" t="str">
        <f t="shared" si="5"/>
        <v/>
      </c>
      <c r="O23" t="str">
        <f t="shared" si="6"/>
        <v/>
      </c>
      <c r="P23" t="str">
        <f t="shared" si="7"/>
        <v/>
      </c>
      <c r="Q23" t="str">
        <f t="shared" si="8"/>
        <v/>
      </c>
    </row>
    <row r="24" spans="1:17" x14ac:dyDescent="0.35">
      <c r="A24" t="str">
        <f>IF(PBH_RR!A24="","",IF(OR(PBH_RR!E24="FH Matrix", PBH_RR!E24="FC Matrix"),PBH_RR!C24,INDEX(SF_Data!D:D, MATCH(PBH_RR!D24, SF_Data!B:B, 0))))</f>
        <v/>
      </c>
      <c r="B24" t="str">
        <f>IF(PBH_RR!A24="","",IF(OR(PBH_RR!E24="FH Matrix",PBH_RR!E24="FC Matrix"),PBH_RR!G24,IF(INDEX(SF_Data!F:F,MATCH(PBH_RR!D24,SF_Data!B:B,0))="Greater(FH/FC)",IF(INDEX(SF_Data!M:M,MATCH(PBH_RR!D24,SF_Data!B:B,0))="FH",INDEX(SF_Data!Q:Q,MATCH(PBH_RR!D24,SF_Data!B:B,0)),""),IF(PBH_RR!E24="Both(FH+FC)",IF(PBH_RR!L24="FH",PBH_RR!G24,""),INDEX(SF_Data!Q:Q,MATCH(PBH_RR!D24,SF_Data!B:B,0))))))</f>
        <v/>
      </c>
      <c r="C24" t="str">
        <f>IF(PBH_RR!A24="","",IF(OR(PBH_RR!E24="FH Matrix",PBH_RR!E24="FC Matrix"),PBH_RR!H24,IF(INDEX(SF_Data!F:F,MATCH(PBH_RR!D24,SF_Data!B:B,0))="Greater(FH/FC)",IF(INDEX(SF_Data!M:M,MATCH(PBH_RR!D24,SF_Data!B:B,0))="FC",INDEX(SF_Data!R:R,MATCH(PBH_RR!D24,SF_Data!B:B,0)),""),IF(PBH_RR!E24="Both(FH+FC)",IF(PBH_RR!L24="FC",PBH_RR!H24,""),INDEX(SF_Data!R:R,MATCH(PBH_RR!D24,SF_Data!B:B,0))))))</f>
        <v/>
      </c>
      <c r="D24" t="str">
        <f>IF(PBH_RR!A24="","",IF(OR(PBH_RR!E24="Hourly",PBH_RR!E24="Cycle"),IF(INDEX(SF_Data!M:M,MATCH(PBH_RR!D24,SF_Data!B:B,0))="FH",INDEX(SF_Data!G:G,MATCH(PBH_RR!D24,SF_Data!B:B,0)),""),IF(PBH_RR!E24="Both(FH+FC)",IF(PBH_RR!L24="FH",PBH_RR!M24-PBH_RR!G24,""),IF(PBH_RR!E24="Greater(FH/FC)",IF(INDEX(SF_Data!M:M,MATCH(PBH_RR!D24,SF_Data!B:B,0))="FH",INDEX(SF_Data!G:G,MATCH(PBH_RR!D24,SF_Data!B:B,0))-INDEX(SF_Data!Q:Q,MATCH(PBH_RR!D24,SF_Data!B:B,0)),""),IF(INDEX(SF_Data!M:M,MATCH(PBH_RR!D24,SF_Data!B:B,0))="FH",INDEX(PBH_Lines!K:K,MATCH(PBH_RR!A24,PBH_Lines!M:M,0)),"")))))</f>
        <v/>
      </c>
      <c r="E24" t="str">
        <f>IF(PBH_RR!A24="","",IF(OR(PBH_RR!E24="Hourly",PBH_RR!E24="Cycle"),IF(INDEX(SF_Data!M:M,MATCH(PBH_RR!D24,SF_Data!B:B,0))="FC",INDEX(SF_Data!G:G,MATCH(PBH_RR!D24,SF_Data!B:B,0)),""),IF(PBH_RR!E24="Both(FH+FC)",IF(PBH_RR!L24="FC",PBH_RR!M24-PBH_RR!H24,""),IF(PBH_RR!E24="Greater(FH/FC)",IF(INDEX(SF_Data!M:M,MATCH(PBH_RR!D24,SF_Data!B:B,0))="FC",INDEX(SF_Data!G:G,MATCH(PBH_RR!D24,SF_Data!B:B,0))-INDEX(SF_Data!R:R,MATCH(PBH_RR!D24,SF_Data!B:B,0)),""),IF(INDEX(SF_Data!M:M,MATCH(PBH_RR!D24,SF_Data!B:B,0))="FC",INDEX(PBH_Lines!K:K,MATCH(PBH_RR!A24,PBH_Lines!M:M,0)),"")))))</f>
        <v/>
      </c>
      <c r="F24" t="str">
        <f>IF(PBH_RR!A24="","",IF(OR(PBH_RR!E24="FH Matrix",PBH_RR!E24="FC Matrix"),PBH_RR!I24,IF(INDEX(SF_Data!F:F,MATCH(PBH_RR!D24,SF_Data!B:B,0))="Greater(FH/FC)",IF(INDEX(SF_Data!M:M,MATCH(PBH_RR!D24,SF_Data!B:B,0))="FH",INDEX(SF_Data!S:S,MATCH(PBH_RR!D24,SF_Data!B:B,0)),""),IF(PBH_RR!E24="Both(FH+FC)",IF(PBH_RR!L24="FH",PBH_RR!I24,""),INDEX(SF_Data!S:S,MATCH(PBH_RR!D24,SF_Data!B:B,0))))))</f>
        <v/>
      </c>
      <c r="G24" t="str">
        <f>IF(PBH_RR!A24="","",IF(OR(PBH_RR!E24="FH Matrix",PBH_RR!E24="FC Matrix"),PBH_RR!J24,IF(INDEX(SF_Data!F:F,MATCH(PBH_RR!D24,SF_Data!B:B,0))="Greater(FH/FC)",IF(INDEX(SF_Data!M:M,MATCH(PBH_RR!D24,SF_Data!B:B,0))="FC",INDEX(SF_Data!T:T,MATCH(PBH_RR!D24,SF_Data!B:B,0)),""),IF(PBH_RR!E24="Both(FH+FC)",IF(PBH_RR!L24="FC",PBH_RR!J24,""),INDEX(SF_Data!T:T,MATCH(PBH_RR!D24,SF_Data!B:B,0))))))</f>
        <v/>
      </c>
      <c r="H24" t="str">
        <f>IF(PBH_RR!A24="","",IF(PBH_RR!E24="Both(FH+FC)",PBH_RR!P24,IF(OR(PBH_RR!E24="FH Matrix",PBH_RR!E24="FC Matrix"),INDEX(PBH_Lines!O:O,MATCH(PBH_RR!A24,PBH_Lines!M:M,0)),INDEX(SF_Data!U:U,MATCH(PBH_RR!D24,SF_Data!B:B,0)))))</f>
        <v/>
      </c>
      <c r="J24" t="str">
        <f t="shared" si="1"/>
        <v/>
      </c>
      <c r="K24" t="str">
        <f t="shared" si="2"/>
        <v/>
      </c>
      <c r="L24" t="str">
        <f t="shared" si="3"/>
        <v/>
      </c>
      <c r="M24" t="str">
        <f t="shared" si="4"/>
        <v/>
      </c>
      <c r="N24" t="str">
        <f t="shared" si="5"/>
        <v/>
      </c>
      <c r="O24" t="str">
        <f t="shared" si="6"/>
        <v/>
      </c>
      <c r="P24" t="str">
        <f t="shared" si="7"/>
        <v/>
      </c>
      <c r="Q24" t="str">
        <f t="shared" si="8"/>
        <v/>
      </c>
    </row>
    <row r="25" spans="1:17" x14ac:dyDescent="0.35">
      <c r="A25" t="str">
        <f>IF(PBH_RR!A25="","",IF(OR(PBH_RR!E25="FH Matrix", PBH_RR!E25="FC Matrix"),PBH_RR!C25,INDEX(SF_Data!D:D, MATCH(PBH_RR!D25, SF_Data!B:B, 0))))</f>
        <v/>
      </c>
      <c r="B25" t="str">
        <f>IF(PBH_RR!A25="","",IF(OR(PBH_RR!E25="FH Matrix",PBH_RR!E25="FC Matrix"),PBH_RR!G25,IF(INDEX(SF_Data!F:F,MATCH(PBH_RR!D25,SF_Data!B:B,0))="Greater(FH/FC)",IF(INDEX(SF_Data!M:M,MATCH(PBH_RR!D25,SF_Data!B:B,0))="FH",INDEX(SF_Data!Q:Q,MATCH(PBH_RR!D25,SF_Data!B:B,0)),""),IF(PBH_RR!E25="Both(FH+FC)",IF(PBH_RR!L25="FH",PBH_RR!G25,""),INDEX(SF_Data!Q:Q,MATCH(PBH_RR!D25,SF_Data!B:B,0))))))</f>
        <v/>
      </c>
      <c r="C25" t="str">
        <f>IF(PBH_RR!A25="","",IF(OR(PBH_RR!E25="FH Matrix",PBH_RR!E25="FC Matrix"),PBH_RR!H25,IF(INDEX(SF_Data!F:F,MATCH(PBH_RR!D25,SF_Data!B:B,0))="Greater(FH/FC)",IF(INDEX(SF_Data!M:M,MATCH(PBH_RR!D25,SF_Data!B:B,0))="FC",INDEX(SF_Data!R:R,MATCH(PBH_RR!D25,SF_Data!B:B,0)),""),IF(PBH_RR!E25="Both(FH+FC)",IF(PBH_RR!L25="FC",PBH_RR!H25,""),INDEX(SF_Data!R:R,MATCH(PBH_RR!D25,SF_Data!B:B,0))))))</f>
        <v/>
      </c>
      <c r="D25" t="str">
        <f>IF(PBH_RR!A25="","",IF(OR(PBH_RR!E25="Hourly",PBH_RR!E25="Cycle"),IF(INDEX(SF_Data!M:M,MATCH(PBH_RR!D25,SF_Data!B:B,0))="FH",INDEX(SF_Data!G:G,MATCH(PBH_RR!D25,SF_Data!B:B,0)),""),IF(PBH_RR!E25="Both(FH+FC)",IF(PBH_RR!L25="FH",PBH_RR!M25-PBH_RR!G25,""),IF(PBH_RR!E25="Greater(FH/FC)",IF(INDEX(SF_Data!M:M,MATCH(PBH_RR!D25,SF_Data!B:B,0))="FH",INDEX(SF_Data!G:G,MATCH(PBH_RR!D25,SF_Data!B:B,0))-INDEX(SF_Data!Q:Q,MATCH(PBH_RR!D25,SF_Data!B:B,0)),""),IF(INDEX(SF_Data!M:M,MATCH(PBH_RR!D25,SF_Data!B:B,0))="FH",INDEX(PBH_Lines!K:K,MATCH(PBH_RR!A25,PBH_Lines!M:M,0)),"")))))</f>
        <v/>
      </c>
      <c r="E25" t="str">
        <f>IF(PBH_RR!A25="","",IF(OR(PBH_RR!E25="Hourly",PBH_RR!E25="Cycle"),IF(INDEX(SF_Data!M:M,MATCH(PBH_RR!D25,SF_Data!B:B,0))="FC",INDEX(SF_Data!G:G,MATCH(PBH_RR!D25,SF_Data!B:B,0)),""),IF(PBH_RR!E25="Both(FH+FC)",IF(PBH_RR!L25="FC",PBH_RR!M25-PBH_RR!H25,""),IF(PBH_RR!E25="Greater(FH/FC)",IF(INDEX(SF_Data!M:M,MATCH(PBH_RR!D25,SF_Data!B:B,0))="FC",INDEX(SF_Data!G:G,MATCH(PBH_RR!D25,SF_Data!B:B,0))-INDEX(SF_Data!R:R,MATCH(PBH_RR!D25,SF_Data!B:B,0)),""),IF(INDEX(SF_Data!M:M,MATCH(PBH_RR!D25,SF_Data!B:B,0))="FC",INDEX(PBH_Lines!K:K,MATCH(PBH_RR!A25,PBH_Lines!M:M,0)),"")))))</f>
        <v/>
      </c>
      <c r="F25" t="str">
        <f>IF(PBH_RR!A25="","",IF(OR(PBH_RR!E25="FH Matrix",PBH_RR!E25="FC Matrix"),PBH_RR!I25,IF(INDEX(SF_Data!F:F,MATCH(PBH_RR!D25,SF_Data!B:B,0))="Greater(FH/FC)",IF(INDEX(SF_Data!M:M,MATCH(PBH_RR!D25,SF_Data!B:B,0))="FH",INDEX(SF_Data!S:S,MATCH(PBH_RR!D25,SF_Data!B:B,0)),""),IF(PBH_RR!E25="Both(FH+FC)",IF(PBH_RR!L25="FH",PBH_RR!I25,""),INDEX(SF_Data!S:S,MATCH(PBH_RR!D25,SF_Data!B:B,0))))))</f>
        <v/>
      </c>
      <c r="G25" t="str">
        <f>IF(PBH_RR!A25="","",IF(OR(PBH_RR!E25="FH Matrix",PBH_RR!E25="FC Matrix"),PBH_RR!J25,IF(INDEX(SF_Data!F:F,MATCH(PBH_RR!D25,SF_Data!B:B,0))="Greater(FH/FC)",IF(INDEX(SF_Data!M:M,MATCH(PBH_RR!D25,SF_Data!B:B,0))="FC",INDEX(SF_Data!T:T,MATCH(PBH_RR!D25,SF_Data!B:B,0)),""),IF(PBH_RR!E25="Both(FH+FC)",IF(PBH_RR!L25="FC",PBH_RR!J25,""),INDEX(SF_Data!T:T,MATCH(PBH_RR!D25,SF_Data!B:B,0))))))</f>
        <v/>
      </c>
      <c r="H25" t="str">
        <f>IF(PBH_RR!A25="","",IF(PBH_RR!E25="Both(FH+FC)",PBH_RR!P25,IF(OR(PBH_RR!E25="FH Matrix",PBH_RR!E25="FC Matrix"),INDEX(PBH_Lines!O:O,MATCH(PBH_RR!A25,PBH_Lines!M:M,0)),INDEX(SF_Data!U:U,MATCH(PBH_RR!D25,SF_Data!B:B,0)))))</f>
        <v/>
      </c>
      <c r="J25" t="str">
        <f t="shared" si="1"/>
        <v/>
      </c>
      <c r="K25" t="str">
        <f t="shared" si="2"/>
        <v/>
      </c>
      <c r="L25" t="str">
        <f t="shared" si="3"/>
        <v/>
      </c>
      <c r="M25" t="str">
        <f t="shared" si="4"/>
        <v/>
      </c>
      <c r="N25" t="str">
        <f t="shared" si="5"/>
        <v/>
      </c>
      <c r="O25" t="str">
        <f t="shared" si="6"/>
        <v/>
      </c>
      <c r="P25" t="str">
        <f t="shared" si="7"/>
        <v/>
      </c>
      <c r="Q25" t="str">
        <f t="shared" si="8"/>
        <v/>
      </c>
    </row>
    <row r="26" spans="1:17" x14ac:dyDescent="0.35">
      <c r="A26" t="str">
        <f>IF(PBH_RR!A26="","",IF(OR(PBH_RR!E26="FH Matrix", PBH_RR!E26="FC Matrix"),PBH_RR!C26,INDEX(SF_Data!D:D, MATCH(PBH_RR!D26, SF_Data!B:B, 0))))</f>
        <v/>
      </c>
      <c r="B26" t="str">
        <f>IF(PBH_RR!A26="","",IF(OR(PBH_RR!E26="FH Matrix",PBH_RR!E26="FC Matrix"),PBH_RR!G26,IF(INDEX(SF_Data!F:F,MATCH(PBH_RR!D26,SF_Data!B:B,0))="Greater(FH/FC)",IF(INDEX(SF_Data!M:M,MATCH(PBH_RR!D26,SF_Data!B:B,0))="FH",INDEX(SF_Data!Q:Q,MATCH(PBH_RR!D26,SF_Data!B:B,0)),""),IF(PBH_RR!E26="Both(FH+FC)",IF(PBH_RR!L26="FH",PBH_RR!G26,""),INDEX(SF_Data!Q:Q,MATCH(PBH_RR!D26,SF_Data!B:B,0))))))</f>
        <v/>
      </c>
      <c r="C26" t="str">
        <f>IF(PBH_RR!A26="","",IF(OR(PBH_RR!E26="FH Matrix",PBH_RR!E26="FC Matrix"),PBH_RR!H26,IF(INDEX(SF_Data!F:F,MATCH(PBH_RR!D26,SF_Data!B:B,0))="Greater(FH/FC)",IF(INDEX(SF_Data!M:M,MATCH(PBH_RR!D26,SF_Data!B:B,0))="FC",INDEX(SF_Data!R:R,MATCH(PBH_RR!D26,SF_Data!B:B,0)),""),IF(PBH_RR!E26="Both(FH+FC)",IF(PBH_RR!L26="FC",PBH_RR!H26,""),INDEX(SF_Data!R:R,MATCH(PBH_RR!D26,SF_Data!B:B,0))))))</f>
        <v/>
      </c>
      <c r="D26" t="str">
        <f>IF(PBH_RR!A26="","",IF(OR(PBH_RR!E26="Hourly",PBH_RR!E26="Cycle"),IF(INDEX(SF_Data!M:M,MATCH(PBH_RR!D26,SF_Data!B:B,0))="FH",INDEX(SF_Data!G:G,MATCH(PBH_RR!D26,SF_Data!B:B,0)),""),IF(PBH_RR!E26="Both(FH+FC)",IF(PBH_RR!L26="FH",PBH_RR!M26-PBH_RR!G26,""),IF(PBH_RR!E26="Greater(FH/FC)",IF(INDEX(SF_Data!M:M,MATCH(PBH_RR!D26,SF_Data!B:B,0))="FH",INDEX(SF_Data!G:G,MATCH(PBH_RR!D26,SF_Data!B:B,0))-INDEX(SF_Data!Q:Q,MATCH(PBH_RR!D26,SF_Data!B:B,0)),""),IF(INDEX(SF_Data!M:M,MATCH(PBH_RR!D26,SF_Data!B:B,0))="FH",INDEX(PBH_Lines!K:K,MATCH(PBH_RR!A26,PBH_Lines!M:M,0)),"")))))</f>
        <v/>
      </c>
      <c r="E26" t="str">
        <f>IF(PBH_RR!A26="","",IF(OR(PBH_RR!E26="Hourly",PBH_RR!E26="Cycle"),IF(INDEX(SF_Data!M:M,MATCH(PBH_RR!D26,SF_Data!B:B,0))="FC",INDEX(SF_Data!G:G,MATCH(PBH_RR!D26,SF_Data!B:B,0)),""),IF(PBH_RR!E26="Both(FH+FC)",IF(PBH_RR!L26="FC",PBH_RR!M26-PBH_RR!H26,""),IF(PBH_RR!E26="Greater(FH/FC)",IF(INDEX(SF_Data!M:M,MATCH(PBH_RR!D26,SF_Data!B:B,0))="FC",INDEX(SF_Data!G:G,MATCH(PBH_RR!D26,SF_Data!B:B,0))-INDEX(SF_Data!R:R,MATCH(PBH_RR!D26,SF_Data!B:B,0)),""),IF(INDEX(SF_Data!M:M,MATCH(PBH_RR!D26,SF_Data!B:B,0))="FC",INDEX(PBH_Lines!K:K,MATCH(PBH_RR!A26,PBH_Lines!M:M,0)),"")))))</f>
        <v/>
      </c>
      <c r="F26" t="str">
        <f>IF(PBH_RR!A26="","",IF(OR(PBH_RR!E26="FH Matrix",PBH_RR!E26="FC Matrix"),PBH_RR!I26,IF(INDEX(SF_Data!F:F,MATCH(PBH_RR!D26,SF_Data!B:B,0))="Greater(FH/FC)",IF(INDEX(SF_Data!M:M,MATCH(PBH_RR!D26,SF_Data!B:B,0))="FH",INDEX(SF_Data!S:S,MATCH(PBH_RR!D26,SF_Data!B:B,0)),""),IF(PBH_RR!E26="Both(FH+FC)",IF(PBH_RR!L26="FH",PBH_RR!I26,""),INDEX(SF_Data!S:S,MATCH(PBH_RR!D26,SF_Data!B:B,0))))))</f>
        <v/>
      </c>
      <c r="G26" t="str">
        <f>IF(PBH_RR!A26="","",IF(OR(PBH_RR!E26="FH Matrix",PBH_RR!E26="FC Matrix"),PBH_RR!J26,IF(INDEX(SF_Data!F:F,MATCH(PBH_RR!D26,SF_Data!B:B,0))="Greater(FH/FC)",IF(INDEX(SF_Data!M:M,MATCH(PBH_RR!D26,SF_Data!B:B,0))="FC",INDEX(SF_Data!T:T,MATCH(PBH_RR!D26,SF_Data!B:B,0)),""),IF(PBH_RR!E26="Both(FH+FC)",IF(PBH_RR!L26="FC",PBH_RR!J26,""),INDEX(SF_Data!T:T,MATCH(PBH_RR!D26,SF_Data!B:B,0))))))</f>
        <v/>
      </c>
      <c r="H26" t="str">
        <f>IF(PBH_RR!A26="","",IF(PBH_RR!E26="Both(FH+FC)",PBH_RR!P26,IF(OR(PBH_RR!E26="FH Matrix",PBH_RR!E26="FC Matrix"),INDEX(PBH_Lines!O:O,MATCH(PBH_RR!A26,PBH_Lines!M:M,0)),INDEX(SF_Data!U:U,MATCH(PBH_RR!D26,SF_Data!B:B,0)))))</f>
        <v/>
      </c>
      <c r="J26" t="str">
        <f t="shared" si="1"/>
        <v/>
      </c>
      <c r="K26" t="str">
        <f t="shared" si="2"/>
        <v/>
      </c>
      <c r="L26" t="str">
        <f t="shared" si="3"/>
        <v/>
      </c>
      <c r="M26" t="str">
        <f t="shared" si="4"/>
        <v/>
      </c>
      <c r="N26" t="str">
        <f t="shared" si="5"/>
        <v/>
      </c>
      <c r="O26" t="str">
        <f t="shared" si="6"/>
        <v/>
      </c>
      <c r="P26" t="str">
        <f t="shared" si="7"/>
        <v/>
      </c>
      <c r="Q26" t="str">
        <f t="shared" si="8"/>
        <v/>
      </c>
    </row>
    <row r="27" spans="1:17" x14ac:dyDescent="0.35">
      <c r="A27" t="str">
        <f>IF(PBH_RR!A27="","",IF(OR(PBH_RR!E27="FH Matrix", PBH_RR!E27="FC Matrix"),PBH_RR!C27,INDEX(SF_Data!D:D, MATCH(PBH_RR!D27, SF_Data!B:B, 0))))</f>
        <v/>
      </c>
      <c r="B27" t="str">
        <f>IF(PBH_RR!A27="","",IF(OR(PBH_RR!E27="FH Matrix",PBH_RR!E27="FC Matrix"),PBH_RR!G27,IF(INDEX(SF_Data!F:F,MATCH(PBH_RR!D27,SF_Data!B:B,0))="Greater(FH/FC)",IF(INDEX(SF_Data!M:M,MATCH(PBH_RR!D27,SF_Data!B:B,0))="FH",INDEX(SF_Data!Q:Q,MATCH(PBH_RR!D27,SF_Data!B:B,0)),""),IF(PBH_RR!E27="Both(FH+FC)",IF(PBH_RR!L27="FH",PBH_RR!G27,""),INDEX(SF_Data!Q:Q,MATCH(PBH_RR!D27,SF_Data!B:B,0))))))</f>
        <v/>
      </c>
      <c r="C27" t="str">
        <f>IF(PBH_RR!A27="","",IF(OR(PBH_RR!E27="FH Matrix",PBH_RR!E27="FC Matrix"),PBH_RR!H27,IF(INDEX(SF_Data!F:F,MATCH(PBH_RR!D27,SF_Data!B:B,0))="Greater(FH/FC)",IF(INDEX(SF_Data!M:M,MATCH(PBH_RR!D27,SF_Data!B:B,0))="FC",INDEX(SF_Data!R:R,MATCH(PBH_RR!D27,SF_Data!B:B,0)),""),IF(PBH_RR!E27="Both(FH+FC)",IF(PBH_RR!L27="FC",PBH_RR!H27,""),INDEX(SF_Data!R:R,MATCH(PBH_RR!D27,SF_Data!B:B,0))))))</f>
        <v/>
      </c>
      <c r="D27" t="str">
        <f>IF(PBH_RR!A27="","",IF(OR(PBH_RR!E27="Hourly",PBH_RR!E27="Cycle"),IF(INDEX(SF_Data!M:M,MATCH(PBH_RR!D27,SF_Data!B:B,0))="FH",INDEX(SF_Data!G:G,MATCH(PBH_RR!D27,SF_Data!B:B,0)),""),IF(PBH_RR!E27="Both(FH+FC)",IF(PBH_RR!L27="FH",PBH_RR!M27-PBH_RR!G27,""),IF(PBH_RR!E27="Greater(FH/FC)",IF(INDEX(SF_Data!M:M,MATCH(PBH_RR!D27,SF_Data!B:B,0))="FH",INDEX(SF_Data!G:G,MATCH(PBH_RR!D27,SF_Data!B:B,0))-INDEX(SF_Data!Q:Q,MATCH(PBH_RR!D27,SF_Data!B:B,0)),""),IF(INDEX(SF_Data!M:M,MATCH(PBH_RR!D27,SF_Data!B:B,0))="FH",INDEX(PBH_Lines!K:K,MATCH(PBH_RR!A27,PBH_Lines!M:M,0)),"")))))</f>
        <v/>
      </c>
      <c r="E27" t="str">
        <f>IF(PBH_RR!A27="","",IF(OR(PBH_RR!E27="Hourly",PBH_RR!E27="Cycle"),IF(INDEX(SF_Data!M:M,MATCH(PBH_RR!D27,SF_Data!B:B,0))="FC",INDEX(SF_Data!G:G,MATCH(PBH_RR!D27,SF_Data!B:B,0)),""),IF(PBH_RR!E27="Both(FH+FC)",IF(PBH_RR!L27="FC",PBH_RR!M27-PBH_RR!H27,""),IF(PBH_RR!E27="Greater(FH/FC)",IF(INDEX(SF_Data!M:M,MATCH(PBH_RR!D27,SF_Data!B:B,0))="FC",INDEX(SF_Data!G:G,MATCH(PBH_RR!D27,SF_Data!B:B,0))-INDEX(SF_Data!R:R,MATCH(PBH_RR!D27,SF_Data!B:B,0)),""),IF(INDEX(SF_Data!M:M,MATCH(PBH_RR!D27,SF_Data!B:B,0))="FC",INDEX(PBH_Lines!K:K,MATCH(PBH_RR!A27,PBH_Lines!M:M,0)),"")))))</f>
        <v/>
      </c>
      <c r="F27" t="str">
        <f>IF(PBH_RR!A27="","",IF(OR(PBH_RR!E27="FH Matrix",PBH_RR!E27="FC Matrix"),PBH_RR!I27,IF(INDEX(SF_Data!F:F,MATCH(PBH_RR!D27,SF_Data!B:B,0))="Greater(FH/FC)",IF(INDEX(SF_Data!M:M,MATCH(PBH_RR!D27,SF_Data!B:B,0))="FH",INDEX(SF_Data!S:S,MATCH(PBH_RR!D27,SF_Data!B:B,0)),""),IF(PBH_RR!E27="Both(FH+FC)",IF(PBH_RR!L27="FH",PBH_RR!I27,""),INDEX(SF_Data!S:S,MATCH(PBH_RR!D27,SF_Data!B:B,0))))))</f>
        <v/>
      </c>
      <c r="G27" t="str">
        <f>IF(PBH_RR!A27="","",IF(OR(PBH_RR!E27="FH Matrix",PBH_RR!E27="FC Matrix"),PBH_RR!J27,IF(INDEX(SF_Data!F:F,MATCH(PBH_RR!D27,SF_Data!B:B,0))="Greater(FH/FC)",IF(INDEX(SF_Data!M:M,MATCH(PBH_RR!D27,SF_Data!B:B,0))="FC",INDEX(SF_Data!T:T,MATCH(PBH_RR!D27,SF_Data!B:B,0)),""),IF(PBH_RR!E27="Both(FH+FC)",IF(PBH_RR!L27="FC",PBH_RR!J27,""),INDEX(SF_Data!T:T,MATCH(PBH_RR!D27,SF_Data!B:B,0))))))</f>
        <v/>
      </c>
      <c r="H27" t="str">
        <f>IF(PBH_RR!A27="","",IF(PBH_RR!E27="Both(FH+FC)",PBH_RR!P27,IF(OR(PBH_RR!E27="FH Matrix",PBH_RR!E27="FC Matrix"),INDEX(PBH_Lines!O:O,MATCH(PBH_RR!A27,PBH_Lines!M:M,0)),INDEX(SF_Data!U:U,MATCH(PBH_RR!D27,SF_Data!B:B,0)))))</f>
        <v/>
      </c>
      <c r="J27" t="str">
        <f t="shared" si="1"/>
        <v/>
      </c>
      <c r="K27" t="str">
        <f t="shared" si="2"/>
        <v/>
      </c>
      <c r="L27" t="str">
        <f t="shared" si="3"/>
        <v/>
      </c>
      <c r="M27" t="str">
        <f t="shared" si="4"/>
        <v/>
      </c>
      <c r="N27" t="str">
        <f t="shared" si="5"/>
        <v/>
      </c>
      <c r="O27" t="str">
        <f t="shared" si="6"/>
        <v/>
      </c>
      <c r="P27" t="str">
        <f t="shared" si="7"/>
        <v/>
      </c>
      <c r="Q27" t="str">
        <f t="shared" si="8"/>
        <v/>
      </c>
    </row>
    <row r="28" spans="1:17" x14ac:dyDescent="0.35">
      <c r="A28" t="str">
        <f>IF(PBH_RR!A28="","",IF(OR(PBH_RR!E28="FH Matrix", PBH_RR!E28="FC Matrix"),PBH_RR!C28,INDEX(SF_Data!D:D, MATCH(PBH_RR!D28, SF_Data!B:B, 0))))</f>
        <v/>
      </c>
      <c r="B28" t="str">
        <f>IF(PBH_RR!A28="","",IF(OR(PBH_RR!E28="FH Matrix",PBH_RR!E28="FC Matrix"),PBH_RR!G28,IF(INDEX(SF_Data!F:F,MATCH(PBH_RR!D28,SF_Data!B:B,0))="Greater(FH/FC)",IF(INDEX(SF_Data!M:M,MATCH(PBH_RR!D28,SF_Data!B:B,0))="FH",INDEX(SF_Data!Q:Q,MATCH(PBH_RR!D28,SF_Data!B:B,0)),""),IF(PBH_RR!E28="Both(FH+FC)",IF(PBH_RR!L28="FH",PBH_RR!G28,""),INDEX(SF_Data!Q:Q,MATCH(PBH_RR!D28,SF_Data!B:B,0))))))</f>
        <v/>
      </c>
      <c r="C28" t="str">
        <f>IF(PBH_RR!A28="","",IF(OR(PBH_RR!E28="FH Matrix",PBH_RR!E28="FC Matrix"),PBH_RR!H28,IF(INDEX(SF_Data!F:F,MATCH(PBH_RR!D28,SF_Data!B:B,0))="Greater(FH/FC)",IF(INDEX(SF_Data!M:M,MATCH(PBH_RR!D28,SF_Data!B:B,0))="FC",INDEX(SF_Data!R:R,MATCH(PBH_RR!D28,SF_Data!B:B,0)),""),IF(PBH_RR!E28="Both(FH+FC)",IF(PBH_RR!L28="FC",PBH_RR!H28,""),INDEX(SF_Data!R:R,MATCH(PBH_RR!D28,SF_Data!B:B,0))))))</f>
        <v/>
      </c>
      <c r="D28" t="str">
        <f>IF(PBH_RR!A28="","",IF(OR(PBH_RR!E28="Hourly",PBH_RR!E28="Cycle"),IF(INDEX(SF_Data!M:M,MATCH(PBH_RR!D28,SF_Data!B:B,0))="FH",INDEX(SF_Data!G:G,MATCH(PBH_RR!D28,SF_Data!B:B,0)),""),IF(PBH_RR!E28="Both(FH+FC)",IF(PBH_RR!L28="FH",PBH_RR!M28-PBH_RR!G28,""),IF(PBH_RR!E28="Greater(FH/FC)",IF(INDEX(SF_Data!M:M,MATCH(PBH_RR!D28,SF_Data!B:B,0))="FH",INDEX(SF_Data!G:G,MATCH(PBH_RR!D28,SF_Data!B:B,0))-INDEX(SF_Data!Q:Q,MATCH(PBH_RR!D28,SF_Data!B:B,0)),""),IF(INDEX(SF_Data!M:M,MATCH(PBH_RR!D28,SF_Data!B:B,0))="FH",INDEX(PBH_Lines!K:K,MATCH(PBH_RR!A28,PBH_Lines!M:M,0)),"")))))</f>
        <v/>
      </c>
      <c r="E28" t="str">
        <f>IF(PBH_RR!A28="","",IF(OR(PBH_RR!E28="Hourly",PBH_RR!E28="Cycle"),IF(INDEX(SF_Data!M:M,MATCH(PBH_RR!D28,SF_Data!B:B,0))="FC",INDEX(SF_Data!G:G,MATCH(PBH_RR!D28,SF_Data!B:B,0)),""),IF(PBH_RR!E28="Both(FH+FC)",IF(PBH_RR!L28="FC",PBH_RR!M28-PBH_RR!H28,""),IF(PBH_RR!E28="Greater(FH/FC)",IF(INDEX(SF_Data!M:M,MATCH(PBH_RR!D28,SF_Data!B:B,0))="FC",INDEX(SF_Data!G:G,MATCH(PBH_RR!D28,SF_Data!B:B,0))-INDEX(SF_Data!R:R,MATCH(PBH_RR!D28,SF_Data!B:B,0)),""),IF(INDEX(SF_Data!M:M,MATCH(PBH_RR!D28,SF_Data!B:B,0))="FC",INDEX(PBH_Lines!K:K,MATCH(PBH_RR!A28,PBH_Lines!M:M,0)),"")))))</f>
        <v/>
      </c>
      <c r="F28" t="str">
        <f>IF(PBH_RR!A28="","",IF(OR(PBH_RR!E28="FH Matrix",PBH_RR!E28="FC Matrix"),PBH_RR!I28,IF(INDEX(SF_Data!F:F,MATCH(PBH_RR!D28,SF_Data!B:B,0))="Greater(FH/FC)",IF(INDEX(SF_Data!M:M,MATCH(PBH_RR!D28,SF_Data!B:B,0))="FH",INDEX(SF_Data!S:S,MATCH(PBH_RR!D28,SF_Data!B:B,0)),""),IF(PBH_RR!E28="Both(FH+FC)",IF(PBH_RR!L28="FH",PBH_RR!I28,""),INDEX(SF_Data!S:S,MATCH(PBH_RR!D28,SF_Data!B:B,0))))))</f>
        <v/>
      </c>
      <c r="G28" t="str">
        <f>IF(PBH_RR!A28="","",IF(OR(PBH_RR!E28="FH Matrix",PBH_RR!E28="FC Matrix"),PBH_RR!J28,IF(INDEX(SF_Data!F:F,MATCH(PBH_RR!D28,SF_Data!B:B,0))="Greater(FH/FC)",IF(INDEX(SF_Data!M:M,MATCH(PBH_RR!D28,SF_Data!B:B,0))="FC",INDEX(SF_Data!T:T,MATCH(PBH_RR!D28,SF_Data!B:B,0)),""),IF(PBH_RR!E28="Both(FH+FC)",IF(PBH_RR!L28="FC",PBH_RR!J28,""),INDEX(SF_Data!T:T,MATCH(PBH_RR!D28,SF_Data!B:B,0))))))</f>
        <v/>
      </c>
      <c r="H28" t="str">
        <f>IF(PBH_RR!A28="","",IF(PBH_RR!E28="Both(FH+FC)",PBH_RR!P28,IF(OR(PBH_RR!E28="FH Matrix",PBH_RR!E28="FC Matrix"),INDEX(PBH_Lines!O:O,MATCH(PBH_RR!A28,PBH_Lines!M:M,0)),INDEX(SF_Data!U:U,MATCH(PBH_RR!D28,SF_Data!B:B,0)))))</f>
        <v/>
      </c>
      <c r="J28" t="str">
        <f t="shared" si="1"/>
        <v/>
      </c>
      <c r="K28" t="str">
        <f t="shared" si="2"/>
        <v/>
      </c>
      <c r="L28" t="str">
        <f t="shared" si="3"/>
        <v/>
      </c>
      <c r="M28" t="str">
        <f t="shared" si="4"/>
        <v/>
      </c>
      <c r="N28" t="str">
        <f t="shared" si="5"/>
        <v/>
      </c>
      <c r="O28" t="str">
        <f t="shared" si="6"/>
        <v/>
      </c>
      <c r="P28" t="str">
        <f t="shared" si="7"/>
        <v/>
      </c>
      <c r="Q28" t="str">
        <f t="shared" si="8"/>
        <v/>
      </c>
    </row>
    <row r="29" spans="1:17" x14ac:dyDescent="0.35">
      <c r="A29" t="str">
        <f>IF(PBH_RR!A29="","",IF(OR(PBH_RR!E29="FH Matrix", PBH_RR!E29="FC Matrix"),PBH_RR!C29,INDEX(SF_Data!D:D, MATCH(PBH_RR!D29, SF_Data!B:B, 0))))</f>
        <v/>
      </c>
      <c r="B29" t="str">
        <f>IF(PBH_RR!A29="","",IF(OR(PBH_RR!E29="FH Matrix",PBH_RR!E29="FC Matrix"),PBH_RR!G29,IF(INDEX(SF_Data!F:F,MATCH(PBH_RR!D29,SF_Data!B:B,0))="Greater(FH/FC)",IF(INDEX(SF_Data!M:M,MATCH(PBH_RR!D29,SF_Data!B:B,0))="FH",INDEX(SF_Data!Q:Q,MATCH(PBH_RR!D29,SF_Data!B:B,0)),""),IF(PBH_RR!E29="Both(FH+FC)",IF(PBH_RR!L29="FH",PBH_RR!G29,""),INDEX(SF_Data!Q:Q,MATCH(PBH_RR!D29,SF_Data!B:B,0))))))</f>
        <v/>
      </c>
      <c r="C29" t="str">
        <f>IF(PBH_RR!A29="","",IF(OR(PBH_RR!E29="FH Matrix",PBH_RR!E29="FC Matrix"),PBH_RR!H29,IF(INDEX(SF_Data!F:F,MATCH(PBH_RR!D29,SF_Data!B:B,0))="Greater(FH/FC)",IF(INDEX(SF_Data!M:M,MATCH(PBH_RR!D29,SF_Data!B:B,0))="FC",INDEX(SF_Data!R:R,MATCH(PBH_RR!D29,SF_Data!B:B,0)),""),IF(PBH_RR!E29="Both(FH+FC)",IF(PBH_RR!L29="FC",PBH_RR!H29,""),INDEX(SF_Data!R:R,MATCH(PBH_RR!D29,SF_Data!B:B,0))))))</f>
        <v/>
      </c>
      <c r="D29" t="str">
        <f>IF(PBH_RR!A29="","",IF(OR(PBH_RR!E29="Hourly",PBH_RR!E29="Cycle"),IF(INDEX(SF_Data!M:M,MATCH(PBH_RR!D29,SF_Data!B:B,0))="FH",INDEX(SF_Data!G:G,MATCH(PBH_RR!D29,SF_Data!B:B,0)),""),IF(PBH_RR!E29="Both(FH+FC)",IF(PBH_RR!L29="FH",PBH_RR!M29-PBH_RR!G29,""),IF(PBH_RR!E29="Greater(FH/FC)",IF(INDEX(SF_Data!M:M,MATCH(PBH_RR!D29,SF_Data!B:B,0))="FH",INDEX(SF_Data!G:G,MATCH(PBH_RR!D29,SF_Data!B:B,0))-INDEX(SF_Data!Q:Q,MATCH(PBH_RR!D29,SF_Data!B:B,0)),""),IF(INDEX(SF_Data!M:M,MATCH(PBH_RR!D29,SF_Data!B:B,0))="FH",INDEX(PBH_Lines!K:K,MATCH(PBH_RR!A29,PBH_Lines!M:M,0)),"")))))</f>
        <v/>
      </c>
      <c r="E29" t="str">
        <f>IF(PBH_RR!A29="","",IF(OR(PBH_RR!E29="Hourly",PBH_RR!E29="Cycle"),IF(INDEX(SF_Data!M:M,MATCH(PBH_RR!D29,SF_Data!B:B,0))="FC",INDEX(SF_Data!G:G,MATCH(PBH_RR!D29,SF_Data!B:B,0)),""),IF(PBH_RR!E29="Both(FH+FC)",IF(PBH_RR!L29="FC",PBH_RR!M29-PBH_RR!H29,""),IF(PBH_RR!E29="Greater(FH/FC)",IF(INDEX(SF_Data!M:M,MATCH(PBH_RR!D29,SF_Data!B:B,0))="FC",INDEX(SF_Data!G:G,MATCH(PBH_RR!D29,SF_Data!B:B,0))-INDEX(SF_Data!R:R,MATCH(PBH_RR!D29,SF_Data!B:B,0)),""),IF(INDEX(SF_Data!M:M,MATCH(PBH_RR!D29,SF_Data!B:B,0))="FC",INDEX(PBH_Lines!K:K,MATCH(PBH_RR!A29,PBH_Lines!M:M,0)),"")))))</f>
        <v/>
      </c>
      <c r="F29" t="str">
        <f>IF(PBH_RR!A29="","",IF(OR(PBH_RR!E29="FH Matrix",PBH_RR!E29="FC Matrix"),PBH_RR!I29,IF(INDEX(SF_Data!F:F,MATCH(PBH_RR!D29,SF_Data!B:B,0))="Greater(FH/FC)",IF(INDEX(SF_Data!M:M,MATCH(PBH_RR!D29,SF_Data!B:B,0))="FH",INDEX(SF_Data!S:S,MATCH(PBH_RR!D29,SF_Data!B:B,0)),""),IF(PBH_RR!E29="Both(FH+FC)",IF(PBH_RR!L29="FH",PBH_RR!I29,""),INDEX(SF_Data!S:S,MATCH(PBH_RR!D29,SF_Data!B:B,0))))))</f>
        <v/>
      </c>
      <c r="G29" t="str">
        <f>IF(PBH_RR!A29="","",IF(OR(PBH_RR!E29="FH Matrix",PBH_RR!E29="FC Matrix"),PBH_RR!J29,IF(INDEX(SF_Data!F:F,MATCH(PBH_RR!D29,SF_Data!B:B,0))="Greater(FH/FC)",IF(INDEX(SF_Data!M:M,MATCH(PBH_RR!D29,SF_Data!B:B,0))="FC",INDEX(SF_Data!T:T,MATCH(PBH_RR!D29,SF_Data!B:B,0)),""),IF(PBH_RR!E29="Both(FH+FC)",IF(PBH_RR!L29="FC",PBH_RR!J29,""),INDEX(SF_Data!T:T,MATCH(PBH_RR!D29,SF_Data!B:B,0))))))</f>
        <v/>
      </c>
      <c r="H29" t="str">
        <f>IF(PBH_RR!A29="","",IF(PBH_RR!E29="Both(FH+FC)",PBH_RR!P29,IF(OR(PBH_RR!E29="FH Matrix",PBH_RR!E29="FC Matrix"),INDEX(PBH_Lines!O:O,MATCH(PBH_RR!A29,PBH_Lines!M:M,0)),INDEX(SF_Data!U:U,MATCH(PBH_RR!D29,SF_Data!B:B,0)))))</f>
        <v/>
      </c>
      <c r="J29" t="str">
        <f t="shared" si="1"/>
        <v/>
      </c>
      <c r="K29" t="str">
        <f t="shared" si="2"/>
        <v/>
      </c>
      <c r="L29" t="str">
        <f t="shared" si="3"/>
        <v/>
      </c>
      <c r="M29" t="str">
        <f t="shared" si="4"/>
        <v/>
      </c>
      <c r="N29" t="str">
        <f t="shared" si="5"/>
        <v/>
      </c>
      <c r="O29" t="str">
        <f t="shared" si="6"/>
        <v/>
      </c>
      <c r="P29" t="str">
        <f t="shared" si="7"/>
        <v/>
      </c>
      <c r="Q29" t="str">
        <f t="shared" si="8"/>
        <v/>
      </c>
    </row>
    <row r="30" spans="1:17" x14ac:dyDescent="0.35">
      <c r="A30" t="str">
        <f>IF(PBH_RR!A30="","",IF(OR(PBH_RR!E30="FH Matrix", PBH_RR!E30="FC Matrix"),PBH_RR!C30,INDEX(SF_Data!D:D, MATCH(PBH_RR!D30, SF_Data!B:B, 0))))</f>
        <v/>
      </c>
      <c r="B30" t="str">
        <f>IF(PBH_RR!A30="","",IF(OR(PBH_RR!E30="FH Matrix",PBH_RR!E30="FC Matrix"),PBH_RR!G30,IF(INDEX(SF_Data!F:F,MATCH(PBH_RR!D30,SF_Data!B:B,0))="Greater(FH/FC)",IF(INDEX(SF_Data!M:M,MATCH(PBH_RR!D30,SF_Data!B:B,0))="FH",INDEX(SF_Data!Q:Q,MATCH(PBH_RR!D30,SF_Data!B:B,0)),""),IF(PBH_RR!E30="Both(FH+FC)",IF(PBH_RR!L30="FH",PBH_RR!G30,""),INDEX(SF_Data!Q:Q,MATCH(PBH_RR!D30,SF_Data!B:B,0))))))</f>
        <v/>
      </c>
      <c r="C30" t="str">
        <f>IF(PBH_RR!A30="","",IF(OR(PBH_RR!E30="FH Matrix",PBH_RR!E30="FC Matrix"),PBH_RR!H30,IF(INDEX(SF_Data!F:F,MATCH(PBH_RR!D30,SF_Data!B:B,0))="Greater(FH/FC)",IF(INDEX(SF_Data!M:M,MATCH(PBH_RR!D30,SF_Data!B:B,0))="FC",INDEX(SF_Data!R:R,MATCH(PBH_RR!D30,SF_Data!B:B,0)),""),IF(PBH_RR!E30="Both(FH+FC)",IF(PBH_RR!L30="FC",PBH_RR!H30,""),INDEX(SF_Data!R:R,MATCH(PBH_RR!D30,SF_Data!B:B,0))))))</f>
        <v/>
      </c>
      <c r="D30" t="str">
        <f>IF(PBH_RR!A30="","",IF(OR(PBH_RR!E30="Hourly",PBH_RR!E30="Cycle"),IF(INDEX(SF_Data!M:M,MATCH(PBH_RR!D30,SF_Data!B:B,0))="FH",INDEX(SF_Data!G:G,MATCH(PBH_RR!D30,SF_Data!B:B,0)),""),IF(PBH_RR!E30="Both(FH+FC)",IF(PBH_RR!L30="FH",PBH_RR!M30-PBH_RR!G30,""),IF(PBH_RR!E30="Greater(FH/FC)",IF(INDEX(SF_Data!M:M,MATCH(PBH_RR!D30,SF_Data!B:B,0))="FH",INDEX(SF_Data!G:G,MATCH(PBH_RR!D30,SF_Data!B:B,0))-INDEX(SF_Data!Q:Q,MATCH(PBH_RR!D30,SF_Data!B:B,0)),""),IF(INDEX(SF_Data!M:M,MATCH(PBH_RR!D30,SF_Data!B:B,0))="FH",INDEX(PBH_Lines!K:K,MATCH(PBH_RR!A30,PBH_Lines!M:M,0)),"")))))</f>
        <v/>
      </c>
      <c r="E30" t="str">
        <f>IF(PBH_RR!A30="","",IF(OR(PBH_RR!E30="Hourly",PBH_RR!E30="Cycle"),IF(INDEX(SF_Data!M:M,MATCH(PBH_RR!D30,SF_Data!B:B,0))="FC",INDEX(SF_Data!G:G,MATCH(PBH_RR!D30,SF_Data!B:B,0)),""),IF(PBH_RR!E30="Both(FH+FC)",IF(PBH_RR!L30="FC",PBH_RR!M30-PBH_RR!H30,""),IF(PBH_RR!E30="Greater(FH/FC)",IF(INDEX(SF_Data!M:M,MATCH(PBH_RR!D30,SF_Data!B:B,0))="FC",INDEX(SF_Data!G:G,MATCH(PBH_RR!D30,SF_Data!B:B,0))-INDEX(SF_Data!R:R,MATCH(PBH_RR!D30,SF_Data!B:B,0)),""),IF(INDEX(SF_Data!M:M,MATCH(PBH_RR!D30,SF_Data!B:B,0))="FC",INDEX(PBH_Lines!K:K,MATCH(PBH_RR!A30,PBH_Lines!M:M,0)),"")))))</f>
        <v/>
      </c>
      <c r="F30" t="str">
        <f>IF(PBH_RR!A30="","",IF(OR(PBH_RR!E30="FH Matrix",PBH_RR!E30="FC Matrix"),PBH_RR!I30,IF(INDEX(SF_Data!F:F,MATCH(PBH_RR!D30,SF_Data!B:B,0))="Greater(FH/FC)",IF(INDEX(SF_Data!M:M,MATCH(PBH_RR!D30,SF_Data!B:B,0))="FH",INDEX(SF_Data!S:S,MATCH(PBH_RR!D30,SF_Data!B:B,0)),""),IF(PBH_RR!E30="Both(FH+FC)",IF(PBH_RR!L30="FH",PBH_RR!I30,""),INDEX(SF_Data!S:S,MATCH(PBH_RR!D30,SF_Data!B:B,0))))))</f>
        <v/>
      </c>
      <c r="G30" t="str">
        <f>IF(PBH_RR!A30="","",IF(OR(PBH_RR!E30="FH Matrix",PBH_RR!E30="FC Matrix"),PBH_RR!J30,IF(INDEX(SF_Data!F:F,MATCH(PBH_RR!D30,SF_Data!B:B,0))="Greater(FH/FC)",IF(INDEX(SF_Data!M:M,MATCH(PBH_RR!D30,SF_Data!B:B,0))="FC",INDEX(SF_Data!T:T,MATCH(PBH_RR!D30,SF_Data!B:B,0)),""),IF(PBH_RR!E30="Both(FH+FC)",IF(PBH_RR!L30="FC",PBH_RR!J30,""),INDEX(SF_Data!T:T,MATCH(PBH_RR!D30,SF_Data!B:B,0))))))</f>
        <v/>
      </c>
      <c r="H30" t="str">
        <f>IF(PBH_RR!A30="","",IF(PBH_RR!E30="Both(FH+FC)",PBH_RR!P30,IF(OR(PBH_RR!E30="FH Matrix",PBH_RR!E30="FC Matrix"),INDEX(PBH_Lines!O:O,MATCH(PBH_RR!A30,PBH_Lines!M:M,0)),INDEX(SF_Data!U:U,MATCH(PBH_RR!D30,SF_Data!B:B,0)))))</f>
        <v/>
      </c>
      <c r="J30" t="str">
        <f t="shared" si="1"/>
        <v/>
      </c>
      <c r="K30" t="str">
        <f t="shared" si="2"/>
        <v/>
      </c>
      <c r="L30" t="str">
        <f t="shared" si="3"/>
        <v/>
      </c>
      <c r="M30" t="str">
        <f t="shared" si="4"/>
        <v/>
      </c>
      <c r="N30" t="str">
        <f t="shared" si="5"/>
        <v/>
      </c>
      <c r="O30" t="str">
        <f t="shared" si="6"/>
        <v/>
      </c>
      <c r="P30" t="str">
        <f t="shared" si="7"/>
        <v/>
      </c>
      <c r="Q30" t="str">
        <f t="shared" si="8"/>
        <v/>
      </c>
    </row>
    <row r="31" spans="1:17" x14ac:dyDescent="0.35">
      <c r="A31" t="str">
        <f>IF(PBH_RR!A31="","",IF(OR(PBH_RR!E31="FH Matrix", PBH_RR!E31="FC Matrix"),PBH_RR!C31,INDEX(SF_Data!D:D, MATCH(PBH_RR!D31, SF_Data!B:B, 0))))</f>
        <v/>
      </c>
      <c r="B31" t="str">
        <f>IF(PBH_RR!A31="","",IF(OR(PBH_RR!E31="FH Matrix",PBH_RR!E31="FC Matrix"),PBH_RR!G31,IF(INDEX(SF_Data!F:F,MATCH(PBH_RR!D31,SF_Data!B:B,0))="Greater(FH/FC)",IF(INDEX(SF_Data!M:M,MATCH(PBH_RR!D31,SF_Data!B:B,0))="FH",INDEX(SF_Data!Q:Q,MATCH(PBH_RR!D31,SF_Data!B:B,0)),""),IF(PBH_RR!E31="Both(FH+FC)",IF(PBH_RR!L31="FH",PBH_RR!G31,""),INDEX(SF_Data!Q:Q,MATCH(PBH_RR!D31,SF_Data!B:B,0))))))</f>
        <v/>
      </c>
      <c r="C31" t="str">
        <f>IF(PBH_RR!A31="","",IF(OR(PBH_RR!E31="FH Matrix",PBH_RR!E31="FC Matrix"),PBH_RR!H31,IF(INDEX(SF_Data!F:F,MATCH(PBH_RR!D31,SF_Data!B:B,0))="Greater(FH/FC)",IF(INDEX(SF_Data!M:M,MATCH(PBH_RR!D31,SF_Data!B:B,0))="FC",INDEX(SF_Data!R:R,MATCH(PBH_RR!D31,SF_Data!B:B,0)),""),IF(PBH_RR!E31="Both(FH+FC)",IF(PBH_RR!L31="FC",PBH_RR!H31,""),INDEX(SF_Data!R:R,MATCH(PBH_RR!D31,SF_Data!B:B,0))))))</f>
        <v/>
      </c>
      <c r="D31" t="str">
        <f>IF(PBH_RR!A31="","",IF(OR(PBH_RR!E31="Hourly",PBH_RR!E31="Cycle"),IF(INDEX(SF_Data!M:M,MATCH(PBH_RR!D31,SF_Data!B:B,0))="FH",INDEX(SF_Data!G:G,MATCH(PBH_RR!D31,SF_Data!B:B,0)),""),IF(PBH_RR!E31="Both(FH+FC)",IF(PBH_RR!L31="FH",PBH_RR!M31-PBH_RR!G31,""),IF(PBH_RR!E31="Greater(FH/FC)",IF(INDEX(SF_Data!M:M,MATCH(PBH_RR!D31,SF_Data!B:B,0))="FH",INDEX(SF_Data!G:G,MATCH(PBH_RR!D31,SF_Data!B:B,0))-INDEX(SF_Data!Q:Q,MATCH(PBH_RR!D31,SF_Data!B:B,0)),""),IF(INDEX(SF_Data!M:M,MATCH(PBH_RR!D31,SF_Data!B:B,0))="FH",INDEX(PBH_Lines!K:K,MATCH(PBH_RR!A31,PBH_Lines!M:M,0)),"")))))</f>
        <v/>
      </c>
      <c r="E31" t="str">
        <f>IF(PBH_RR!A31="","",IF(OR(PBH_RR!E31="Hourly",PBH_RR!E31="Cycle"),IF(INDEX(SF_Data!M:M,MATCH(PBH_RR!D31,SF_Data!B:B,0))="FC",INDEX(SF_Data!G:G,MATCH(PBH_RR!D31,SF_Data!B:B,0)),""),IF(PBH_RR!E31="Both(FH+FC)",IF(PBH_RR!L31="FC",PBH_RR!M31-PBH_RR!H31,""),IF(PBH_RR!E31="Greater(FH/FC)",IF(INDEX(SF_Data!M:M,MATCH(PBH_RR!D31,SF_Data!B:B,0))="FC",INDEX(SF_Data!G:G,MATCH(PBH_RR!D31,SF_Data!B:B,0))-INDEX(SF_Data!R:R,MATCH(PBH_RR!D31,SF_Data!B:B,0)),""),IF(INDEX(SF_Data!M:M,MATCH(PBH_RR!D31,SF_Data!B:B,0))="FC",INDEX(PBH_Lines!K:K,MATCH(PBH_RR!A31,PBH_Lines!M:M,0)),"")))))</f>
        <v/>
      </c>
      <c r="F31" t="str">
        <f>IF(PBH_RR!A31="","",IF(OR(PBH_RR!E31="FH Matrix",PBH_RR!E31="FC Matrix"),PBH_RR!I31,IF(INDEX(SF_Data!F:F,MATCH(PBH_RR!D31,SF_Data!B:B,0))="Greater(FH/FC)",IF(INDEX(SF_Data!M:M,MATCH(PBH_RR!D31,SF_Data!B:B,0))="FH",INDEX(SF_Data!S:S,MATCH(PBH_RR!D31,SF_Data!B:B,0)),""),IF(PBH_RR!E31="Both(FH+FC)",IF(PBH_RR!L31="FH",PBH_RR!I31,""),INDEX(SF_Data!S:S,MATCH(PBH_RR!D31,SF_Data!B:B,0))))))</f>
        <v/>
      </c>
      <c r="G31" t="str">
        <f>IF(PBH_RR!A31="","",IF(OR(PBH_RR!E31="FH Matrix",PBH_RR!E31="FC Matrix"),PBH_RR!J31,IF(INDEX(SF_Data!F:F,MATCH(PBH_RR!D31,SF_Data!B:B,0))="Greater(FH/FC)",IF(INDEX(SF_Data!M:M,MATCH(PBH_RR!D31,SF_Data!B:B,0))="FC",INDEX(SF_Data!T:T,MATCH(PBH_RR!D31,SF_Data!B:B,0)),""),IF(PBH_RR!E31="Both(FH+FC)",IF(PBH_RR!L31="FC",PBH_RR!J31,""),INDEX(SF_Data!T:T,MATCH(PBH_RR!D31,SF_Data!B:B,0))))))</f>
        <v/>
      </c>
      <c r="H31" t="str">
        <f>IF(PBH_RR!A31="","",IF(PBH_RR!E31="Both(FH+FC)",PBH_RR!P31,IF(OR(PBH_RR!E31="FH Matrix",PBH_RR!E31="FC Matrix"),INDEX(PBH_Lines!O:O,MATCH(PBH_RR!A31,PBH_Lines!M:M,0)),INDEX(SF_Data!U:U,MATCH(PBH_RR!D31,SF_Data!B:B,0)))))</f>
        <v/>
      </c>
      <c r="J31" t="str">
        <f t="shared" si="1"/>
        <v/>
      </c>
      <c r="K31" t="str">
        <f t="shared" si="2"/>
        <v/>
      </c>
      <c r="L31" t="str">
        <f t="shared" si="3"/>
        <v/>
      </c>
      <c r="M31" t="str">
        <f t="shared" si="4"/>
        <v/>
      </c>
      <c r="N31" t="str">
        <f t="shared" si="5"/>
        <v/>
      </c>
      <c r="O31" t="str">
        <f t="shared" si="6"/>
        <v/>
      </c>
      <c r="P31" t="str">
        <f t="shared" si="7"/>
        <v/>
      </c>
      <c r="Q31" t="str">
        <f t="shared" si="8"/>
        <v/>
      </c>
    </row>
    <row r="32" spans="1:17" x14ac:dyDescent="0.35">
      <c r="A32" t="str">
        <f>IF(PBH_RR!A32="","",IF(OR(PBH_RR!E32="FH Matrix", PBH_RR!E32="FC Matrix"),PBH_RR!C32,INDEX(SF_Data!D:D, MATCH(PBH_RR!D32, SF_Data!B:B, 0))))</f>
        <v/>
      </c>
      <c r="B32" t="str">
        <f>IF(PBH_RR!A32="","",IF(OR(PBH_RR!E32="FH Matrix",PBH_RR!E32="FC Matrix"),PBH_RR!G32,IF(INDEX(SF_Data!F:F,MATCH(PBH_RR!D32,SF_Data!B:B,0))="Greater(FH/FC)",IF(INDEX(SF_Data!M:M,MATCH(PBH_RR!D32,SF_Data!B:B,0))="FH",INDEX(SF_Data!Q:Q,MATCH(PBH_RR!D32,SF_Data!B:B,0)),""),IF(PBH_RR!E32="Both(FH+FC)",IF(PBH_RR!L32="FH",PBH_RR!G32,""),INDEX(SF_Data!Q:Q,MATCH(PBH_RR!D32,SF_Data!B:B,0))))))</f>
        <v/>
      </c>
      <c r="C32" t="str">
        <f>IF(PBH_RR!A32="","",IF(OR(PBH_RR!E32="FH Matrix",PBH_RR!E32="FC Matrix"),PBH_RR!H32,IF(INDEX(SF_Data!F:F,MATCH(PBH_RR!D32,SF_Data!B:B,0))="Greater(FH/FC)",IF(INDEX(SF_Data!M:M,MATCH(PBH_RR!D32,SF_Data!B:B,0))="FC",INDEX(SF_Data!R:R,MATCH(PBH_RR!D32,SF_Data!B:B,0)),""),IF(PBH_RR!E32="Both(FH+FC)",IF(PBH_RR!L32="FC",PBH_RR!H32,""),INDEX(SF_Data!R:R,MATCH(PBH_RR!D32,SF_Data!B:B,0))))))</f>
        <v/>
      </c>
      <c r="D32" t="str">
        <f>IF(PBH_RR!A32="","",IF(OR(PBH_RR!E32="Hourly",PBH_RR!E32="Cycle"),IF(INDEX(SF_Data!M:M,MATCH(PBH_RR!D32,SF_Data!B:B,0))="FH",INDEX(SF_Data!G:G,MATCH(PBH_RR!D32,SF_Data!B:B,0)),""),IF(PBH_RR!E32="Both(FH+FC)",IF(PBH_RR!L32="FH",PBH_RR!M32-PBH_RR!G32,""),IF(PBH_RR!E32="Greater(FH/FC)",IF(INDEX(SF_Data!M:M,MATCH(PBH_RR!D32,SF_Data!B:B,0))="FH",INDEX(SF_Data!G:G,MATCH(PBH_RR!D32,SF_Data!B:B,0))-INDEX(SF_Data!Q:Q,MATCH(PBH_RR!D32,SF_Data!B:B,0)),""),IF(INDEX(SF_Data!M:M,MATCH(PBH_RR!D32,SF_Data!B:B,0))="FH",INDEX(PBH_Lines!K:K,MATCH(PBH_RR!A32,PBH_Lines!M:M,0)),"")))))</f>
        <v/>
      </c>
      <c r="E32" t="str">
        <f>IF(PBH_RR!A32="","",IF(OR(PBH_RR!E32="Hourly",PBH_RR!E32="Cycle"),IF(INDEX(SF_Data!M:M,MATCH(PBH_RR!D32,SF_Data!B:B,0))="FC",INDEX(SF_Data!G:G,MATCH(PBH_RR!D32,SF_Data!B:B,0)),""),IF(PBH_RR!E32="Both(FH+FC)",IF(PBH_RR!L32="FC",PBH_RR!M32-PBH_RR!H32,""),IF(PBH_RR!E32="Greater(FH/FC)",IF(INDEX(SF_Data!M:M,MATCH(PBH_RR!D32,SF_Data!B:B,0))="FC",INDEX(SF_Data!G:G,MATCH(PBH_RR!D32,SF_Data!B:B,0))-INDEX(SF_Data!R:R,MATCH(PBH_RR!D32,SF_Data!B:B,0)),""),IF(INDEX(SF_Data!M:M,MATCH(PBH_RR!D32,SF_Data!B:B,0))="FC",INDEX(PBH_Lines!K:K,MATCH(PBH_RR!A32,PBH_Lines!M:M,0)),"")))))</f>
        <v/>
      </c>
      <c r="F32" t="str">
        <f>IF(PBH_RR!A32="","",IF(OR(PBH_RR!E32="FH Matrix",PBH_RR!E32="FC Matrix"),PBH_RR!I32,IF(INDEX(SF_Data!F:F,MATCH(PBH_RR!D32,SF_Data!B:B,0))="Greater(FH/FC)",IF(INDEX(SF_Data!M:M,MATCH(PBH_RR!D32,SF_Data!B:B,0))="FH",INDEX(SF_Data!S:S,MATCH(PBH_RR!D32,SF_Data!B:B,0)),""),IF(PBH_RR!E32="Both(FH+FC)",IF(PBH_RR!L32="FH",PBH_RR!I32,""),INDEX(SF_Data!S:S,MATCH(PBH_RR!D32,SF_Data!B:B,0))))))</f>
        <v/>
      </c>
      <c r="G32" t="str">
        <f>IF(PBH_RR!A32="","",IF(OR(PBH_RR!E32="FH Matrix",PBH_RR!E32="FC Matrix"),PBH_RR!J32,IF(INDEX(SF_Data!F:F,MATCH(PBH_RR!D32,SF_Data!B:B,0))="Greater(FH/FC)",IF(INDEX(SF_Data!M:M,MATCH(PBH_RR!D32,SF_Data!B:B,0))="FC",INDEX(SF_Data!T:T,MATCH(PBH_RR!D32,SF_Data!B:B,0)),""),IF(PBH_RR!E32="Both(FH+FC)",IF(PBH_RR!L32="FC",PBH_RR!J32,""),INDEX(SF_Data!T:T,MATCH(PBH_RR!D32,SF_Data!B:B,0))))))</f>
        <v/>
      </c>
      <c r="H32" t="str">
        <f>IF(PBH_RR!A32="","",IF(PBH_RR!E32="Both(FH+FC)",PBH_RR!P32,IF(OR(PBH_RR!E32="FH Matrix",PBH_RR!E32="FC Matrix"),INDEX(PBH_Lines!O:O,MATCH(PBH_RR!A32,PBH_Lines!M:M,0)),INDEX(SF_Data!U:U,MATCH(PBH_RR!D32,SF_Data!B:B,0)))))</f>
        <v/>
      </c>
      <c r="J32" t="str">
        <f t="shared" si="1"/>
        <v/>
      </c>
      <c r="K32" t="str">
        <f t="shared" si="2"/>
        <v/>
      </c>
      <c r="L32" t="str">
        <f t="shared" si="3"/>
        <v/>
      </c>
      <c r="M32" t="str">
        <f t="shared" si="4"/>
        <v/>
      </c>
      <c r="N32" t="str">
        <f t="shared" si="5"/>
        <v/>
      </c>
      <c r="O32" t="str">
        <f t="shared" si="6"/>
        <v/>
      </c>
      <c r="P32" t="str">
        <f t="shared" si="7"/>
        <v/>
      </c>
      <c r="Q32" t="str">
        <f t="shared" si="8"/>
        <v/>
      </c>
    </row>
    <row r="33" spans="1:17" x14ac:dyDescent="0.35">
      <c r="A33" t="str">
        <f>IF(PBH_RR!A33="","",IF(OR(PBH_RR!E33="FH Matrix", PBH_RR!E33="FC Matrix"),PBH_RR!C33,INDEX(SF_Data!D:D, MATCH(PBH_RR!D33, SF_Data!B:B, 0))))</f>
        <v/>
      </c>
      <c r="B33" t="str">
        <f>IF(PBH_RR!A33="","",IF(OR(PBH_RR!E33="FH Matrix",PBH_RR!E33="FC Matrix"),PBH_RR!G33,IF(INDEX(SF_Data!F:F,MATCH(PBH_RR!D33,SF_Data!B:B,0))="Greater(FH/FC)",IF(INDEX(SF_Data!M:M,MATCH(PBH_RR!D33,SF_Data!B:B,0))="FH",INDEX(SF_Data!Q:Q,MATCH(PBH_RR!D33,SF_Data!B:B,0)),""),IF(PBH_RR!E33="Both(FH+FC)",IF(PBH_RR!L33="FH",PBH_RR!G33,""),INDEX(SF_Data!Q:Q,MATCH(PBH_RR!D33,SF_Data!B:B,0))))))</f>
        <v/>
      </c>
      <c r="C33" t="str">
        <f>IF(PBH_RR!A33="","",IF(OR(PBH_RR!E33="FH Matrix",PBH_RR!E33="FC Matrix"),PBH_RR!H33,IF(INDEX(SF_Data!F:F,MATCH(PBH_RR!D33,SF_Data!B:B,0))="Greater(FH/FC)",IF(INDEX(SF_Data!M:M,MATCH(PBH_RR!D33,SF_Data!B:B,0))="FC",INDEX(SF_Data!R:R,MATCH(PBH_RR!D33,SF_Data!B:B,0)),""),IF(PBH_RR!E33="Both(FH+FC)",IF(PBH_RR!L33="FC",PBH_RR!H33,""),INDEX(SF_Data!R:R,MATCH(PBH_RR!D33,SF_Data!B:B,0))))))</f>
        <v/>
      </c>
      <c r="D33" t="str">
        <f>IF(PBH_RR!A33="","",IF(OR(PBH_RR!E33="Hourly",PBH_RR!E33="Cycle"),IF(INDEX(SF_Data!M:M,MATCH(PBH_RR!D33,SF_Data!B:B,0))="FH",INDEX(SF_Data!G:G,MATCH(PBH_RR!D33,SF_Data!B:B,0)),""),IF(PBH_RR!E33="Both(FH+FC)",IF(PBH_RR!L33="FH",PBH_RR!M33-PBH_RR!G33,""),IF(PBH_RR!E33="Greater(FH/FC)",IF(INDEX(SF_Data!M:M,MATCH(PBH_RR!D33,SF_Data!B:B,0))="FH",INDEX(SF_Data!G:G,MATCH(PBH_RR!D33,SF_Data!B:B,0))-INDEX(SF_Data!Q:Q,MATCH(PBH_RR!D33,SF_Data!B:B,0)),""),IF(INDEX(SF_Data!M:M,MATCH(PBH_RR!D33,SF_Data!B:B,0))="FH",INDEX(PBH_Lines!K:K,MATCH(PBH_RR!A33,PBH_Lines!M:M,0)),"")))))</f>
        <v/>
      </c>
      <c r="E33" t="str">
        <f>IF(PBH_RR!A33="","",IF(OR(PBH_RR!E33="Hourly",PBH_RR!E33="Cycle"),IF(INDEX(SF_Data!M:M,MATCH(PBH_RR!D33,SF_Data!B:B,0))="FC",INDEX(SF_Data!G:G,MATCH(PBH_RR!D33,SF_Data!B:B,0)),""),IF(PBH_RR!E33="Both(FH+FC)",IF(PBH_RR!L33="FC",PBH_RR!M33-PBH_RR!H33,""),IF(PBH_RR!E33="Greater(FH/FC)",IF(INDEX(SF_Data!M:M,MATCH(PBH_RR!D33,SF_Data!B:B,0))="FC",INDEX(SF_Data!G:G,MATCH(PBH_RR!D33,SF_Data!B:B,0))-INDEX(SF_Data!R:R,MATCH(PBH_RR!D33,SF_Data!B:B,0)),""),IF(INDEX(SF_Data!M:M,MATCH(PBH_RR!D33,SF_Data!B:B,0))="FC",INDEX(PBH_Lines!K:K,MATCH(PBH_RR!A33,PBH_Lines!M:M,0)),"")))))</f>
        <v/>
      </c>
      <c r="F33" t="str">
        <f>IF(PBH_RR!A33="","",IF(OR(PBH_RR!E33="FH Matrix",PBH_RR!E33="FC Matrix"),PBH_RR!I33,IF(INDEX(SF_Data!F:F,MATCH(PBH_RR!D33,SF_Data!B:B,0))="Greater(FH/FC)",IF(INDEX(SF_Data!M:M,MATCH(PBH_RR!D33,SF_Data!B:B,0))="FH",INDEX(SF_Data!S:S,MATCH(PBH_RR!D33,SF_Data!B:B,0)),""),IF(PBH_RR!E33="Both(FH+FC)",IF(PBH_RR!L33="FH",PBH_RR!I33,""),INDEX(SF_Data!S:S,MATCH(PBH_RR!D33,SF_Data!B:B,0))))))</f>
        <v/>
      </c>
      <c r="G33" t="str">
        <f>IF(PBH_RR!A33="","",IF(OR(PBH_RR!E33="FH Matrix",PBH_RR!E33="FC Matrix"),PBH_RR!J33,IF(INDEX(SF_Data!F:F,MATCH(PBH_RR!D33,SF_Data!B:B,0))="Greater(FH/FC)",IF(INDEX(SF_Data!M:M,MATCH(PBH_RR!D33,SF_Data!B:B,0))="FC",INDEX(SF_Data!T:T,MATCH(PBH_RR!D33,SF_Data!B:B,0)),""),IF(PBH_RR!E33="Both(FH+FC)",IF(PBH_RR!L33="FC",PBH_RR!J33,""),INDEX(SF_Data!T:T,MATCH(PBH_RR!D33,SF_Data!B:B,0))))))</f>
        <v/>
      </c>
      <c r="H33" t="str">
        <f>IF(PBH_RR!A33="","",IF(PBH_RR!E33="Both(FH+FC)",PBH_RR!P33,IF(OR(PBH_RR!E33="FH Matrix",PBH_RR!E33="FC Matrix"),INDEX(PBH_Lines!O:O,MATCH(PBH_RR!A33,PBH_Lines!M:M,0)),INDEX(SF_Data!U:U,MATCH(PBH_RR!D33,SF_Data!B:B,0)))))</f>
        <v/>
      </c>
      <c r="J33" t="str">
        <f t="shared" si="1"/>
        <v/>
      </c>
      <c r="K33" t="str">
        <f t="shared" si="2"/>
        <v/>
      </c>
      <c r="L33" t="str">
        <f t="shared" si="3"/>
        <v/>
      </c>
      <c r="M33" t="str">
        <f t="shared" si="4"/>
        <v/>
      </c>
      <c r="N33" t="str">
        <f t="shared" si="5"/>
        <v/>
      </c>
      <c r="O33" t="str">
        <f t="shared" si="6"/>
        <v/>
      </c>
      <c r="P33" t="str">
        <f t="shared" si="7"/>
        <v/>
      </c>
      <c r="Q33" t="str">
        <f t="shared" si="8"/>
        <v/>
      </c>
    </row>
    <row r="34" spans="1:17" x14ac:dyDescent="0.35">
      <c r="A34" t="str">
        <f>IF(PBH_RR!A34="","",IF(OR(PBH_RR!E34="FH Matrix", PBH_RR!E34="FC Matrix"),PBH_RR!C34,INDEX(SF_Data!D:D, MATCH(PBH_RR!D34, SF_Data!B:B, 0))))</f>
        <v/>
      </c>
      <c r="B34" t="str">
        <f>IF(PBH_RR!A34="","",IF(OR(PBH_RR!E34="FH Matrix",PBH_RR!E34="FC Matrix"),PBH_RR!G34,IF(INDEX(SF_Data!F:F,MATCH(PBH_RR!D34,SF_Data!B:B,0))="Greater(FH/FC)",IF(INDEX(SF_Data!M:M,MATCH(PBH_RR!D34,SF_Data!B:B,0))="FH",INDEX(SF_Data!Q:Q,MATCH(PBH_RR!D34,SF_Data!B:B,0)),""),IF(PBH_RR!E34="Both(FH+FC)",IF(PBH_RR!L34="FH",PBH_RR!G34,""),INDEX(SF_Data!Q:Q,MATCH(PBH_RR!D34,SF_Data!B:B,0))))))</f>
        <v/>
      </c>
      <c r="C34" t="str">
        <f>IF(PBH_RR!A34="","",IF(OR(PBH_RR!E34="FH Matrix",PBH_RR!E34="FC Matrix"),PBH_RR!H34,IF(INDEX(SF_Data!F:F,MATCH(PBH_RR!D34,SF_Data!B:B,0))="Greater(FH/FC)",IF(INDEX(SF_Data!M:M,MATCH(PBH_RR!D34,SF_Data!B:B,0))="FC",INDEX(SF_Data!R:R,MATCH(PBH_RR!D34,SF_Data!B:B,0)),""),IF(PBH_RR!E34="Both(FH+FC)",IF(PBH_RR!L34="FC",PBH_RR!H34,""),INDEX(SF_Data!R:R,MATCH(PBH_RR!D34,SF_Data!B:B,0))))))</f>
        <v/>
      </c>
      <c r="D34" t="str">
        <f>IF(PBH_RR!A34="","",IF(OR(PBH_RR!E34="Hourly",PBH_RR!E34="Cycle"),IF(INDEX(SF_Data!M:M,MATCH(PBH_RR!D34,SF_Data!B:B,0))="FH",INDEX(SF_Data!G:G,MATCH(PBH_RR!D34,SF_Data!B:B,0)),""),IF(PBH_RR!E34="Both(FH+FC)",IF(PBH_RR!L34="FH",PBH_RR!M34-PBH_RR!G34,""),IF(PBH_RR!E34="Greater(FH/FC)",IF(INDEX(SF_Data!M:M,MATCH(PBH_RR!D34,SF_Data!B:B,0))="FH",INDEX(SF_Data!G:G,MATCH(PBH_RR!D34,SF_Data!B:B,0))-INDEX(SF_Data!Q:Q,MATCH(PBH_RR!D34,SF_Data!B:B,0)),""),IF(INDEX(SF_Data!M:M,MATCH(PBH_RR!D34,SF_Data!B:B,0))="FH",INDEX(PBH_Lines!K:K,MATCH(PBH_RR!A34,PBH_Lines!M:M,0)),"")))))</f>
        <v/>
      </c>
      <c r="E34" t="str">
        <f>IF(PBH_RR!A34="","",IF(OR(PBH_RR!E34="Hourly",PBH_RR!E34="Cycle"),IF(INDEX(SF_Data!M:M,MATCH(PBH_RR!D34,SF_Data!B:B,0))="FC",INDEX(SF_Data!G:G,MATCH(PBH_RR!D34,SF_Data!B:B,0)),""),IF(PBH_RR!E34="Both(FH+FC)",IF(PBH_RR!L34="FC",PBH_RR!M34-PBH_RR!H34,""),IF(PBH_RR!E34="Greater(FH/FC)",IF(INDEX(SF_Data!M:M,MATCH(PBH_RR!D34,SF_Data!B:B,0))="FC",INDEX(SF_Data!G:G,MATCH(PBH_RR!D34,SF_Data!B:B,0))-INDEX(SF_Data!R:R,MATCH(PBH_RR!D34,SF_Data!B:B,0)),""),IF(INDEX(SF_Data!M:M,MATCH(PBH_RR!D34,SF_Data!B:B,0))="FC",INDEX(PBH_Lines!K:K,MATCH(PBH_RR!A34,PBH_Lines!M:M,0)),"")))))</f>
        <v/>
      </c>
      <c r="F34" t="str">
        <f>IF(PBH_RR!A34="","",IF(OR(PBH_RR!E34="FH Matrix",PBH_RR!E34="FC Matrix"),PBH_RR!I34,IF(INDEX(SF_Data!F:F,MATCH(PBH_RR!D34,SF_Data!B:B,0))="Greater(FH/FC)",IF(INDEX(SF_Data!M:M,MATCH(PBH_RR!D34,SF_Data!B:B,0))="FH",INDEX(SF_Data!S:S,MATCH(PBH_RR!D34,SF_Data!B:B,0)),""),IF(PBH_RR!E34="Both(FH+FC)",IF(PBH_RR!L34="FH",PBH_RR!I34,""),INDEX(SF_Data!S:S,MATCH(PBH_RR!D34,SF_Data!B:B,0))))))</f>
        <v/>
      </c>
      <c r="G34" t="str">
        <f>IF(PBH_RR!A34="","",IF(OR(PBH_RR!E34="FH Matrix",PBH_RR!E34="FC Matrix"),PBH_RR!J34,IF(INDEX(SF_Data!F:F,MATCH(PBH_RR!D34,SF_Data!B:B,0))="Greater(FH/FC)",IF(INDEX(SF_Data!M:M,MATCH(PBH_RR!D34,SF_Data!B:B,0))="FC",INDEX(SF_Data!T:T,MATCH(PBH_RR!D34,SF_Data!B:B,0)),""),IF(PBH_RR!E34="Both(FH+FC)",IF(PBH_RR!L34="FC",PBH_RR!J34,""),INDEX(SF_Data!T:T,MATCH(PBH_RR!D34,SF_Data!B:B,0))))))</f>
        <v/>
      </c>
      <c r="H34" t="str">
        <f>IF(PBH_RR!A34="","",IF(PBH_RR!E34="Both(FH+FC)",PBH_RR!P34,IF(OR(PBH_RR!E34="FH Matrix",PBH_RR!E34="FC Matrix"),INDEX(PBH_Lines!O:O,MATCH(PBH_RR!A34,PBH_Lines!M:M,0)),INDEX(SF_Data!U:U,MATCH(PBH_RR!D34,SF_Data!B:B,0)))))</f>
        <v/>
      </c>
      <c r="J34" t="str">
        <f t="shared" si="1"/>
        <v/>
      </c>
      <c r="K34" t="str">
        <f t="shared" si="2"/>
        <v/>
      </c>
      <c r="L34" t="str">
        <f t="shared" si="3"/>
        <v/>
      </c>
      <c r="M34" t="str">
        <f t="shared" si="4"/>
        <v/>
      </c>
      <c r="N34" t="str">
        <f t="shared" si="5"/>
        <v/>
      </c>
      <c r="O34" t="str">
        <f t="shared" si="6"/>
        <v/>
      </c>
      <c r="P34" t="str">
        <f t="shared" si="7"/>
        <v/>
      </c>
      <c r="Q34" t="str">
        <f t="shared" si="8"/>
        <v/>
      </c>
    </row>
    <row r="35" spans="1:17" x14ac:dyDescent="0.35">
      <c r="A35" t="str">
        <f>IF(PBH_RR!A35="","",IF(OR(PBH_RR!E35="FH Matrix", PBH_RR!E35="FC Matrix"),PBH_RR!C35,INDEX(SF_Data!D:D, MATCH(PBH_RR!D35, SF_Data!B:B, 0))))</f>
        <v/>
      </c>
      <c r="B35" t="str">
        <f>IF(PBH_RR!A35="","",IF(OR(PBH_RR!E35="FH Matrix",PBH_RR!E35="FC Matrix"),PBH_RR!G35,IF(INDEX(SF_Data!F:F,MATCH(PBH_RR!D35,SF_Data!B:B,0))="Greater(FH/FC)",IF(INDEX(SF_Data!M:M,MATCH(PBH_RR!D35,SF_Data!B:B,0))="FH",INDEX(SF_Data!Q:Q,MATCH(PBH_RR!D35,SF_Data!B:B,0)),""),IF(PBH_RR!E35="Both(FH+FC)",IF(PBH_RR!L35="FH",PBH_RR!G35,""),INDEX(SF_Data!Q:Q,MATCH(PBH_RR!D35,SF_Data!B:B,0))))))</f>
        <v/>
      </c>
      <c r="C35" t="str">
        <f>IF(PBH_RR!A35="","",IF(OR(PBH_RR!E35="FH Matrix",PBH_RR!E35="FC Matrix"),PBH_RR!H35,IF(INDEX(SF_Data!F:F,MATCH(PBH_RR!D35,SF_Data!B:B,0))="Greater(FH/FC)",IF(INDEX(SF_Data!M:M,MATCH(PBH_RR!D35,SF_Data!B:B,0))="FC",INDEX(SF_Data!R:R,MATCH(PBH_RR!D35,SF_Data!B:B,0)),""),IF(PBH_RR!E35="Both(FH+FC)",IF(PBH_RR!L35="FC",PBH_RR!H35,""),INDEX(SF_Data!R:R,MATCH(PBH_RR!D35,SF_Data!B:B,0))))))</f>
        <v/>
      </c>
      <c r="D35" t="str">
        <f>IF(PBH_RR!A35="","",IF(OR(PBH_RR!E35="Hourly",PBH_RR!E35="Cycle"),IF(INDEX(SF_Data!M:M,MATCH(PBH_RR!D35,SF_Data!B:B,0))="FH",INDEX(SF_Data!G:G,MATCH(PBH_RR!D35,SF_Data!B:B,0)),""),IF(PBH_RR!E35="Both(FH+FC)",IF(PBH_RR!L35="FH",PBH_RR!M35-PBH_RR!G35,""),IF(PBH_RR!E35="Greater(FH/FC)",IF(INDEX(SF_Data!M:M,MATCH(PBH_RR!D35,SF_Data!B:B,0))="FH",INDEX(SF_Data!G:G,MATCH(PBH_RR!D35,SF_Data!B:B,0))-INDEX(SF_Data!Q:Q,MATCH(PBH_RR!D35,SF_Data!B:B,0)),""),IF(INDEX(SF_Data!M:M,MATCH(PBH_RR!D35,SF_Data!B:B,0))="FH",INDEX(PBH_Lines!K:K,MATCH(PBH_RR!A35,PBH_Lines!M:M,0)),"")))))</f>
        <v/>
      </c>
      <c r="E35" t="str">
        <f>IF(PBH_RR!A35="","",IF(OR(PBH_RR!E35="Hourly",PBH_RR!E35="Cycle"),IF(INDEX(SF_Data!M:M,MATCH(PBH_RR!D35,SF_Data!B:B,0))="FC",INDEX(SF_Data!G:G,MATCH(PBH_RR!D35,SF_Data!B:B,0)),""),IF(PBH_RR!E35="Both(FH+FC)",IF(PBH_RR!L35="FC",PBH_RR!M35-PBH_RR!H35,""),IF(PBH_RR!E35="Greater(FH/FC)",IF(INDEX(SF_Data!M:M,MATCH(PBH_RR!D35,SF_Data!B:B,0))="FC",INDEX(SF_Data!G:G,MATCH(PBH_RR!D35,SF_Data!B:B,0))-INDEX(SF_Data!R:R,MATCH(PBH_RR!D35,SF_Data!B:B,0)),""),IF(INDEX(SF_Data!M:M,MATCH(PBH_RR!D35,SF_Data!B:B,0))="FC",INDEX(PBH_Lines!K:K,MATCH(PBH_RR!A35,PBH_Lines!M:M,0)),"")))))</f>
        <v/>
      </c>
      <c r="F35" t="str">
        <f>IF(PBH_RR!A35="","",IF(OR(PBH_RR!E35="FH Matrix",PBH_RR!E35="FC Matrix"),PBH_RR!I35,IF(INDEX(SF_Data!F:F,MATCH(PBH_RR!D35,SF_Data!B:B,0))="Greater(FH/FC)",IF(INDEX(SF_Data!M:M,MATCH(PBH_RR!D35,SF_Data!B:B,0))="FH",INDEX(SF_Data!S:S,MATCH(PBH_RR!D35,SF_Data!B:B,0)),""),IF(PBH_RR!E35="Both(FH+FC)",IF(PBH_RR!L35="FH",PBH_RR!I35,""),INDEX(SF_Data!S:S,MATCH(PBH_RR!D35,SF_Data!B:B,0))))))</f>
        <v/>
      </c>
      <c r="G35" t="str">
        <f>IF(PBH_RR!A35="","",IF(OR(PBH_RR!E35="FH Matrix",PBH_RR!E35="FC Matrix"),PBH_RR!J35,IF(INDEX(SF_Data!F:F,MATCH(PBH_RR!D35,SF_Data!B:B,0))="Greater(FH/FC)",IF(INDEX(SF_Data!M:M,MATCH(PBH_RR!D35,SF_Data!B:B,0))="FC",INDEX(SF_Data!T:T,MATCH(PBH_RR!D35,SF_Data!B:B,0)),""),IF(PBH_RR!E35="Both(FH+FC)",IF(PBH_RR!L35="FC",PBH_RR!J35,""),INDEX(SF_Data!T:T,MATCH(PBH_RR!D35,SF_Data!B:B,0))))))</f>
        <v/>
      </c>
      <c r="H35" t="str">
        <f>IF(PBH_RR!A35="","",IF(PBH_RR!E35="Both(FH+FC)",PBH_RR!P35,IF(OR(PBH_RR!E35="FH Matrix",PBH_RR!E35="FC Matrix"),INDEX(PBH_Lines!O:O,MATCH(PBH_RR!A35,PBH_Lines!M:M,0)),INDEX(SF_Data!U:U,MATCH(PBH_RR!D35,SF_Data!B:B,0)))))</f>
        <v/>
      </c>
      <c r="J35" t="str">
        <f t="shared" si="1"/>
        <v/>
      </c>
      <c r="K35" t="str">
        <f t="shared" si="2"/>
        <v/>
      </c>
      <c r="L35" t="str">
        <f t="shared" si="3"/>
        <v/>
      </c>
      <c r="M35" t="str">
        <f t="shared" si="4"/>
        <v/>
      </c>
      <c r="N35" t="str">
        <f t="shared" si="5"/>
        <v/>
      </c>
      <c r="O35" t="str">
        <f t="shared" si="6"/>
        <v/>
      </c>
      <c r="P35" t="str">
        <f t="shared" si="7"/>
        <v/>
      </c>
      <c r="Q35" t="str">
        <f t="shared" si="8"/>
        <v/>
      </c>
    </row>
    <row r="36" spans="1:17" x14ac:dyDescent="0.35">
      <c r="A36" t="str">
        <f>IF(PBH_RR!A36="","",IF(OR(PBH_RR!E36="FH Matrix", PBH_RR!E36="FC Matrix"),PBH_RR!C36,INDEX(SF_Data!D:D, MATCH(PBH_RR!D36, SF_Data!B:B, 0))))</f>
        <v/>
      </c>
      <c r="B36" t="str">
        <f>IF(PBH_RR!A36="","",IF(OR(PBH_RR!E36="FH Matrix",PBH_RR!E36="FC Matrix"),PBH_RR!G36,IF(INDEX(SF_Data!F:F,MATCH(PBH_RR!D36,SF_Data!B:B,0))="Greater(FH/FC)",IF(INDEX(SF_Data!M:M,MATCH(PBH_RR!D36,SF_Data!B:B,0))="FH",INDEX(SF_Data!Q:Q,MATCH(PBH_RR!D36,SF_Data!B:B,0)),""),IF(PBH_RR!E36="Both(FH+FC)",IF(PBH_RR!L36="FH",PBH_RR!G36,""),INDEX(SF_Data!Q:Q,MATCH(PBH_RR!D36,SF_Data!B:B,0))))))</f>
        <v/>
      </c>
      <c r="C36" t="str">
        <f>IF(PBH_RR!A36="","",IF(OR(PBH_RR!E36="FH Matrix",PBH_RR!E36="FC Matrix"),PBH_RR!H36,IF(INDEX(SF_Data!F:F,MATCH(PBH_RR!D36,SF_Data!B:B,0))="Greater(FH/FC)",IF(INDEX(SF_Data!M:M,MATCH(PBH_RR!D36,SF_Data!B:B,0))="FC",INDEX(SF_Data!R:R,MATCH(PBH_RR!D36,SF_Data!B:B,0)),""),IF(PBH_RR!E36="Both(FH+FC)",IF(PBH_RR!L36="FC",PBH_RR!H36,""),INDEX(SF_Data!R:R,MATCH(PBH_RR!D36,SF_Data!B:B,0))))))</f>
        <v/>
      </c>
      <c r="D36" t="str">
        <f>IF(PBH_RR!A36="","",IF(OR(PBH_RR!E36="Hourly",PBH_RR!E36="Cycle"),IF(INDEX(SF_Data!M:M,MATCH(PBH_RR!D36,SF_Data!B:B,0))="FH",INDEX(SF_Data!G:G,MATCH(PBH_RR!D36,SF_Data!B:B,0)),""),IF(PBH_RR!E36="Both(FH+FC)",IF(PBH_RR!L36="FH",PBH_RR!M36-PBH_RR!G36,""),IF(PBH_RR!E36="Greater(FH/FC)",IF(INDEX(SF_Data!M:M,MATCH(PBH_RR!D36,SF_Data!B:B,0))="FH",INDEX(SF_Data!G:G,MATCH(PBH_RR!D36,SF_Data!B:B,0))-INDEX(SF_Data!Q:Q,MATCH(PBH_RR!D36,SF_Data!B:B,0)),""),IF(INDEX(SF_Data!M:M,MATCH(PBH_RR!D36,SF_Data!B:B,0))="FH",INDEX(PBH_Lines!K:K,MATCH(PBH_RR!A36,PBH_Lines!M:M,0)),"")))))</f>
        <v/>
      </c>
      <c r="E36" t="str">
        <f>IF(PBH_RR!A36="","",IF(OR(PBH_RR!E36="Hourly",PBH_RR!E36="Cycle"),IF(INDEX(SF_Data!M:M,MATCH(PBH_RR!D36,SF_Data!B:B,0))="FC",INDEX(SF_Data!G:G,MATCH(PBH_RR!D36,SF_Data!B:B,0)),""),IF(PBH_RR!E36="Both(FH+FC)",IF(PBH_RR!L36="FC",PBH_RR!M36-PBH_RR!H36,""),IF(PBH_RR!E36="Greater(FH/FC)",IF(INDEX(SF_Data!M:M,MATCH(PBH_RR!D36,SF_Data!B:B,0))="FC",INDEX(SF_Data!G:G,MATCH(PBH_RR!D36,SF_Data!B:B,0))-INDEX(SF_Data!R:R,MATCH(PBH_RR!D36,SF_Data!B:B,0)),""),IF(INDEX(SF_Data!M:M,MATCH(PBH_RR!D36,SF_Data!B:B,0))="FC",INDEX(PBH_Lines!K:K,MATCH(PBH_RR!A36,PBH_Lines!M:M,0)),"")))))</f>
        <v/>
      </c>
      <c r="F36" t="str">
        <f>IF(PBH_RR!A36="","",IF(OR(PBH_RR!E36="FH Matrix",PBH_RR!E36="FC Matrix"),PBH_RR!I36,IF(INDEX(SF_Data!F:F,MATCH(PBH_RR!D36,SF_Data!B:B,0))="Greater(FH/FC)",IF(INDEX(SF_Data!M:M,MATCH(PBH_RR!D36,SF_Data!B:B,0))="FH",INDEX(SF_Data!S:S,MATCH(PBH_RR!D36,SF_Data!B:B,0)),""),IF(PBH_RR!E36="Both(FH+FC)",IF(PBH_RR!L36="FH",PBH_RR!I36,""),INDEX(SF_Data!S:S,MATCH(PBH_RR!D36,SF_Data!B:B,0))))))</f>
        <v/>
      </c>
      <c r="G36" t="str">
        <f>IF(PBH_RR!A36="","",IF(OR(PBH_RR!E36="FH Matrix",PBH_RR!E36="FC Matrix"),PBH_RR!J36,IF(INDEX(SF_Data!F:F,MATCH(PBH_RR!D36,SF_Data!B:B,0))="Greater(FH/FC)",IF(INDEX(SF_Data!M:M,MATCH(PBH_RR!D36,SF_Data!B:B,0))="FC",INDEX(SF_Data!T:T,MATCH(PBH_RR!D36,SF_Data!B:B,0)),""),IF(PBH_RR!E36="Both(FH+FC)",IF(PBH_RR!L36="FC",PBH_RR!J36,""),INDEX(SF_Data!T:T,MATCH(PBH_RR!D36,SF_Data!B:B,0))))))</f>
        <v/>
      </c>
      <c r="H36" t="str">
        <f>IF(PBH_RR!A36="","",IF(PBH_RR!E36="Both(FH+FC)",PBH_RR!P36,IF(OR(PBH_RR!E36="FH Matrix",PBH_RR!E36="FC Matrix"),INDEX(PBH_Lines!O:O,MATCH(PBH_RR!A36,PBH_Lines!M:M,0)),INDEX(SF_Data!U:U,MATCH(PBH_RR!D36,SF_Data!B:B,0)))))</f>
        <v/>
      </c>
      <c r="J36" t="str">
        <f t="shared" si="1"/>
        <v/>
      </c>
      <c r="K36" t="str">
        <f t="shared" si="2"/>
        <v/>
      </c>
      <c r="L36" t="str">
        <f t="shared" si="3"/>
        <v/>
      </c>
      <c r="M36" t="str">
        <f t="shared" si="4"/>
        <v/>
      </c>
      <c r="N36" t="str">
        <f t="shared" si="5"/>
        <v/>
      </c>
      <c r="O36" t="str">
        <f t="shared" si="6"/>
        <v/>
      </c>
      <c r="P36" t="str">
        <f t="shared" si="7"/>
        <v/>
      </c>
      <c r="Q36" t="str">
        <f t="shared" si="8"/>
        <v/>
      </c>
    </row>
    <row r="37" spans="1:17" x14ac:dyDescent="0.35">
      <c r="A37" t="str">
        <f>IF(PBH_RR!A37="","",IF(OR(PBH_RR!E37="FH Matrix", PBH_RR!E37="FC Matrix"),PBH_RR!C37,INDEX(SF_Data!D:D, MATCH(PBH_RR!D37, SF_Data!B:B, 0))))</f>
        <v/>
      </c>
      <c r="B37" t="str">
        <f>IF(PBH_RR!A37="","",IF(OR(PBH_RR!E37="FH Matrix",PBH_RR!E37="FC Matrix"),PBH_RR!G37,IF(INDEX(SF_Data!F:F,MATCH(PBH_RR!D37,SF_Data!B:B,0))="Greater(FH/FC)",IF(INDEX(SF_Data!M:M,MATCH(PBH_RR!D37,SF_Data!B:B,0))="FH",INDEX(SF_Data!Q:Q,MATCH(PBH_RR!D37,SF_Data!B:B,0)),""),IF(PBH_RR!E37="Both(FH+FC)",IF(PBH_RR!L37="FH",PBH_RR!G37,""),INDEX(SF_Data!Q:Q,MATCH(PBH_RR!D37,SF_Data!B:B,0))))))</f>
        <v/>
      </c>
      <c r="C37" t="str">
        <f>IF(PBH_RR!A37="","",IF(OR(PBH_RR!E37="FH Matrix",PBH_RR!E37="FC Matrix"),PBH_RR!H37,IF(INDEX(SF_Data!F:F,MATCH(PBH_RR!D37,SF_Data!B:B,0))="Greater(FH/FC)",IF(INDEX(SF_Data!M:M,MATCH(PBH_RR!D37,SF_Data!B:B,0))="FC",INDEX(SF_Data!R:R,MATCH(PBH_RR!D37,SF_Data!B:B,0)),""),IF(PBH_RR!E37="Both(FH+FC)",IF(PBH_RR!L37="FC",PBH_RR!H37,""),INDEX(SF_Data!R:R,MATCH(PBH_RR!D37,SF_Data!B:B,0))))))</f>
        <v/>
      </c>
      <c r="D37" t="str">
        <f>IF(PBH_RR!A37="","",IF(OR(PBH_RR!E37="Hourly",PBH_RR!E37="Cycle"),IF(INDEX(SF_Data!M:M,MATCH(PBH_RR!D37,SF_Data!B:B,0))="FH",INDEX(SF_Data!G:G,MATCH(PBH_RR!D37,SF_Data!B:B,0)),""),IF(PBH_RR!E37="Both(FH+FC)",IF(PBH_RR!L37="FH",PBH_RR!M37-PBH_RR!G37,""),IF(PBH_RR!E37="Greater(FH/FC)",IF(INDEX(SF_Data!M:M,MATCH(PBH_RR!D37,SF_Data!B:B,0))="FH",INDEX(SF_Data!G:G,MATCH(PBH_RR!D37,SF_Data!B:B,0))-INDEX(SF_Data!Q:Q,MATCH(PBH_RR!D37,SF_Data!B:B,0)),""),IF(INDEX(SF_Data!M:M,MATCH(PBH_RR!D37,SF_Data!B:B,0))="FH",INDEX(PBH_Lines!K:K,MATCH(PBH_RR!A37,PBH_Lines!M:M,0)),"")))))</f>
        <v/>
      </c>
      <c r="E37" t="str">
        <f>IF(PBH_RR!A37="","",IF(OR(PBH_RR!E37="Hourly",PBH_RR!E37="Cycle"),IF(INDEX(SF_Data!M:M,MATCH(PBH_RR!D37,SF_Data!B:B,0))="FC",INDEX(SF_Data!G:G,MATCH(PBH_RR!D37,SF_Data!B:B,0)),""),IF(PBH_RR!E37="Both(FH+FC)",IF(PBH_RR!L37="FC",PBH_RR!M37-PBH_RR!H37,""),IF(PBH_RR!E37="Greater(FH/FC)",IF(INDEX(SF_Data!M:M,MATCH(PBH_RR!D37,SF_Data!B:B,0))="FC",INDEX(SF_Data!G:G,MATCH(PBH_RR!D37,SF_Data!B:B,0))-INDEX(SF_Data!R:R,MATCH(PBH_RR!D37,SF_Data!B:B,0)),""),IF(INDEX(SF_Data!M:M,MATCH(PBH_RR!D37,SF_Data!B:B,0))="FC",INDEX(PBH_Lines!K:K,MATCH(PBH_RR!A37,PBH_Lines!M:M,0)),"")))))</f>
        <v/>
      </c>
      <c r="F37" t="str">
        <f>IF(PBH_RR!A37="","",IF(OR(PBH_RR!E37="FH Matrix",PBH_RR!E37="FC Matrix"),PBH_RR!I37,IF(INDEX(SF_Data!F:F,MATCH(PBH_RR!D37,SF_Data!B:B,0))="Greater(FH/FC)",IF(INDEX(SF_Data!M:M,MATCH(PBH_RR!D37,SF_Data!B:B,0))="FH",INDEX(SF_Data!S:S,MATCH(PBH_RR!D37,SF_Data!B:B,0)),""),IF(PBH_RR!E37="Both(FH+FC)",IF(PBH_RR!L37="FH",PBH_RR!I37,""),INDEX(SF_Data!S:S,MATCH(PBH_RR!D37,SF_Data!B:B,0))))))</f>
        <v/>
      </c>
      <c r="G37" t="str">
        <f>IF(PBH_RR!A37="","",IF(OR(PBH_RR!E37="FH Matrix",PBH_RR!E37="FC Matrix"),PBH_RR!J37,IF(INDEX(SF_Data!F:F,MATCH(PBH_RR!D37,SF_Data!B:B,0))="Greater(FH/FC)",IF(INDEX(SF_Data!M:M,MATCH(PBH_RR!D37,SF_Data!B:B,0))="FC",INDEX(SF_Data!T:T,MATCH(PBH_RR!D37,SF_Data!B:B,0)),""),IF(PBH_RR!E37="Both(FH+FC)",IF(PBH_RR!L37="FC",PBH_RR!J37,""),INDEX(SF_Data!T:T,MATCH(PBH_RR!D37,SF_Data!B:B,0))))))</f>
        <v/>
      </c>
      <c r="H37" t="str">
        <f>IF(PBH_RR!A37="","",IF(PBH_RR!E37="Both(FH+FC)",PBH_RR!P37,IF(OR(PBH_RR!E37="FH Matrix",PBH_RR!E37="FC Matrix"),INDEX(PBH_Lines!O:O,MATCH(PBH_RR!A37,PBH_Lines!M:M,0)),INDEX(SF_Data!U:U,MATCH(PBH_RR!D37,SF_Data!B:B,0)))))</f>
        <v/>
      </c>
      <c r="J37" t="str">
        <f t="shared" si="1"/>
        <v/>
      </c>
      <c r="K37" t="str">
        <f t="shared" si="2"/>
        <v/>
      </c>
      <c r="L37" t="str">
        <f t="shared" si="3"/>
        <v/>
      </c>
      <c r="M37" t="str">
        <f t="shared" si="4"/>
        <v/>
      </c>
      <c r="N37" t="str">
        <f t="shared" si="5"/>
        <v/>
      </c>
      <c r="O37" t="str">
        <f t="shared" si="6"/>
        <v/>
      </c>
      <c r="P37" t="str">
        <f t="shared" si="7"/>
        <v/>
      </c>
      <c r="Q37" t="str">
        <f t="shared" si="8"/>
        <v/>
      </c>
    </row>
    <row r="38" spans="1:17" x14ac:dyDescent="0.35">
      <c r="A38" t="str">
        <f>IF(PBH_RR!A38="","",IF(OR(PBH_RR!E38="FH Matrix", PBH_RR!E38="FC Matrix"),PBH_RR!C38,INDEX(SF_Data!D:D, MATCH(PBH_RR!D38, SF_Data!B:B, 0))))</f>
        <v/>
      </c>
      <c r="B38" t="str">
        <f>IF(PBH_RR!A38="","",IF(OR(PBH_RR!E38="FH Matrix",PBH_RR!E38="FC Matrix"),PBH_RR!G38,IF(INDEX(SF_Data!F:F,MATCH(PBH_RR!D38,SF_Data!B:B,0))="Greater(FH/FC)",IF(INDEX(SF_Data!M:M,MATCH(PBH_RR!D38,SF_Data!B:B,0))="FH",INDEX(SF_Data!Q:Q,MATCH(PBH_RR!D38,SF_Data!B:B,0)),""),IF(PBH_RR!E38="Both(FH+FC)",IF(PBH_RR!L38="FH",PBH_RR!G38,""),INDEX(SF_Data!Q:Q,MATCH(PBH_RR!D38,SF_Data!B:B,0))))))</f>
        <v/>
      </c>
      <c r="C38" t="str">
        <f>IF(PBH_RR!A38="","",IF(OR(PBH_RR!E38="FH Matrix",PBH_RR!E38="FC Matrix"),PBH_RR!H38,IF(INDEX(SF_Data!F:F,MATCH(PBH_RR!D38,SF_Data!B:B,0))="Greater(FH/FC)",IF(INDEX(SF_Data!M:M,MATCH(PBH_RR!D38,SF_Data!B:B,0))="FC",INDEX(SF_Data!R:R,MATCH(PBH_RR!D38,SF_Data!B:B,0)),""),IF(PBH_RR!E38="Both(FH+FC)",IF(PBH_RR!L38="FC",PBH_RR!H38,""),INDEX(SF_Data!R:R,MATCH(PBH_RR!D38,SF_Data!B:B,0))))))</f>
        <v/>
      </c>
      <c r="D38" t="str">
        <f>IF(PBH_RR!A38="","",IF(OR(PBH_RR!E38="Hourly",PBH_RR!E38="Cycle"),IF(INDEX(SF_Data!M:M,MATCH(PBH_RR!D38,SF_Data!B:B,0))="FH",INDEX(SF_Data!G:G,MATCH(PBH_RR!D38,SF_Data!B:B,0)),""),IF(PBH_RR!E38="Both(FH+FC)",IF(PBH_RR!L38="FH",PBH_RR!M38-PBH_RR!G38,""),IF(PBH_RR!E38="Greater(FH/FC)",IF(INDEX(SF_Data!M:M,MATCH(PBH_RR!D38,SF_Data!B:B,0))="FH",INDEX(SF_Data!G:G,MATCH(PBH_RR!D38,SF_Data!B:B,0))-INDEX(SF_Data!Q:Q,MATCH(PBH_RR!D38,SF_Data!B:B,0)),""),IF(INDEX(SF_Data!M:M,MATCH(PBH_RR!D38,SF_Data!B:B,0))="FH",INDEX(PBH_Lines!K:K,MATCH(PBH_RR!A38,PBH_Lines!M:M,0)),"")))))</f>
        <v/>
      </c>
      <c r="E38" t="str">
        <f>IF(PBH_RR!A38="","",IF(OR(PBH_RR!E38="Hourly",PBH_RR!E38="Cycle"),IF(INDEX(SF_Data!M:M,MATCH(PBH_RR!D38,SF_Data!B:B,0))="FC",INDEX(SF_Data!G:G,MATCH(PBH_RR!D38,SF_Data!B:B,0)),""),IF(PBH_RR!E38="Both(FH+FC)",IF(PBH_RR!L38="FC",PBH_RR!M38-PBH_RR!H38,""),IF(PBH_RR!E38="Greater(FH/FC)",IF(INDEX(SF_Data!M:M,MATCH(PBH_RR!D38,SF_Data!B:B,0))="FC",INDEX(SF_Data!G:G,MATCH(PBH_RR!D38,SF_Data!B:B,0))-INDEX(SF_Data!R:R,MATCH(PBH_RR!D38,SF_Data!B:B,0)),""),IF(INDEX(SF_Data!M:M,MATCH(PBH_RR!D38,SF_Data!B:B,0))="FC",INDEX(PBH_Lines!K:K,MATCH(PBH_RR!A38,PBH_Lines!M:M,0)),"")))))</f>
        <v/>
      </c>
      <c r="F38" t="str">
        <f>IF(PBH_RR!A38="","",IF(OR(PBH_RR!E38="FH Matrix",PBH_RR!E38="FC Matrix"),PBH_RR!I38,IF(INDEX(SF_Data!F:F,MATCH(PBH_RR!D38,SF_Data!B:B,0))="Greater(FH/FC)",IF(INDEX(SF_Data!M:M,MATCH(PBH_RR!D38,SF_Data!B:B,0))="FH",INDEX(SF_Data!S:S,MATCH(PBH_RR!D38,SF_Data!B:B,0)),""),IF(PBH_RR!E38="Both(FH+FC)",IF(PBH_RR!L38="FH",PBH_RR!I38,""),INDEX(SF_Data!S:S,MATCH(PBH_RR!D38,SF_Data!B:B,0))))))</f>
        <v/>
      </c>
      <c r="G38" t="str">
        <f>IF(PBH_RR!A38="","",IF(OR(PBH_RR!E38="FH Matrix",PBH_RR!E38="FC Matrix"),PBH_RR!J38,IF(INDEX(SF_Data!F:F,MATCH(PBH_RR!D38,SF_Data!B:B,0))="Greater(FH/FC)",IF(INDEX(SF_Data!M:M,MATCH(PBH_RR!D38,SF_Data!B:B,0))="FC",INDEX(SF_Data!T:T,MATCH(PBH_RR!D38,SF_Data!B:B,0)),""),IF(PBH_RR!E38="Both(FH+FC)",IF(PBH_RR!L38="FC",PBH_RR!J38,""),INDEX(SF_Data!T:T,MATCH(PBH_RR!D38,SF_Data!B:B,0))))))</f>
        <v/>
      </c>
      <c r="H38" t="str">
        <f>IF(PBH_RR!A38="","",IF(PBH_RR!E38="Both(FH+FC)",PBH_RR!P38,IF(OR(PBH_RR!E38="FH Matrix",PBH_RR!E38="FC Matrix"),INDEX(PBH_Lines!O:O,MATCH(PBH_RR!A38,PBH_Lines!M:M,0)),INDEX(SF_Data!U:U,MATCH(PBH_RR!D38,SF_Data!B:B,0)))))</f>
        <v/>
      </c>
      <c r="J38" t="str">
        <f t="shared" si="1"/>
        <v/>
      </c>
      <c r="K38" t="str">
        <f t="shared" si="2"/>
        <v/>
      </c>
      <c r="L38" t="str">
        <f t="shared" si="3"/>
        <v/>
      </c>
      <c r="M38" t="str">
        <f t="shared" si="4"/>
        <v/>
      </c>
      <c r="N38" t="str">
        <f t="shared" si="5"/>
        <v/>
      </c>
      <c r="O38" t="str">
        <f t="shared" si="6"/>
        <v/>
      </c>
      <c r="P38" t="str">
        <f t="shared" si="7"/>
        <v/>
      </c>
      <c r="Q38" t="str">
        <f t="shared" si="8"/>
        <v/>
      </c>
    </row>
    <row r="39" spans="1:17" x14ac:dyDescent="0.35">
      <c r="A39" t="str">
        <f>IF(PBH_RR!A39="","",IF(OR(PBH_RR!E39="FH Matrix", PBH_RR!E39="FC Matrix"),PBH_RR!C39,INDEX(SF_Data!D:D, MATCH(PBH_RR!D39, SF_Data!B:B, 0))))</f>
        <v/>
      </c>
      <c r="B39" t="str">
        <f>IF(PBH_RR!A39="","",IF(OR(PBH_RR!E39="FH Matrix",PBH_RR!E39="FC Matrix"),PBH_RR!G39,IF(INDEX(SF_Data!F:F,MATCH(PBH_RR!D39,SF_Data!B:B,0))="Greater(FH/FC)",IF(INDEX(SF_Data!M:M,MATCH(PBH_RR!D39,SF_Data!B:B,0))="FH",INDEX(SF_Data!Q:Q,MATCH(PBH_RR!D39,SF_Data!B:B,0)),""),IF(PBH_RR!E39="Both(FH+FC)",IF(PBH_RR!L39="FH",PBH_RR!G39,""),INDEX(SF_Data!Q:Q,MATCH(PBH_RR!D39,SF_Data!B:B,0))))))</f>
        <v/>
      </c>
      <c r="C39" t="str">
        <f>IF(PBH_RR!A39="","",IF(OR(PBH_RR!E39="FH Matrix",PBH_RR!E39="FC Matrix"),PBH_RR!H39,IF(INDEX(SF_Data!F:F,MATCH(PBH_RR!D39,SF_Data!B:B,0))="Greater(FH/FC)",IF(INDEX(SF_Data!M:M,MATCH(PBH_RR!D39,SF_Data!B:B,0))="FC",INDEX(SF_Data!R:R,MATCH(PBH_RR!D39,SF_Data!B:B,0)),""),IF(PBH_RR!E39="Both(FH+FC)",IF(PBH_RR!L39="FC",PBH_RR!H39,""),INDEX(SF_Data!R:R,MATCH(PBH_RR!D39,SF_Data!B:B,0))))))</f>
        <v/>
      </c>
      <c r="D39" t="str">
        <f>IF(PBH_RR!A39="","",IF(OR(PBH_RR!E39="Hourly",PBH_RR!E39="Cycle"),IF(INDEX(SF_Data!M:M,MATCH(PBH_RR!D39,SF_Data!B:B,0))="FH",INDEX(SF_Data!G:G,MATCH(PBH_RR!D39,SF_Data!B:B,0)),""),IF(PBH_RR!E39="Both(FH+FC)",IF(PBH_RR!L39="FH",PBH_RR!M39-PBH_RR!G39,""),IF(PBH_RR!E39="Greater(FH/FC)",IF(INDEX(SF_Data!M:M,MATCH(PBH_RR!D39,SF_Data!B:B,0))="FH",INDEX(SF_Data!G:G,MATCH(PBH_RR!D39,SF_Data!B:B,0))-INDEX(SF_Data!Q:Q,MATCH(PBH_RR!D39,SF_Data!B:B,0)),""),IF(INDEX(SF_Data!M:M,MATCH(PBH_RR!D39,SF_Data!B:B,0))="FH",INDEX(PBH_Lines!K:K,MATCH(PBH_RR!A39,PBH_Lines!M:M,0)),"")))))</f>
        <v/>
      </c>
      <c r="E39" t="str">
        <f>IF(PBH_RR!A39="","",IF(OR(PBH_RR!E39="Hourly",PBH_RR!E39="Cycle"),IF(INDEX(SF_Data!M:M,MATCH(PBH_RR!D39,SF_Data!B:B,0))="FC",INDEX(SF_Data!G:G,MATCH(PBH_RR!D39,SF_Data!B:B,0)),""),IF(PBH_RR!E39="Both(FH+FC)",IF(PBH_RR!L39="FC",PBH_RR!M39-PBH_RR!H39,""),IF(PBH_RR!E39="Greater(FH/FC)",IF(INDEX(SF_Data!M:M,MATCH(PBH_RR!D39,SF_Data!B:B,0))="FC",INDEX(SF_Data!G:G,MATCH(PBH_RR!D39,SF_Data!B:B,0))-INDEX(SF_Data!R:R,MATCH(PBH_RR!D39,SF_Data!B:B,0)),""),IF(INDEX(SF_Data!M:M,MATCH(PBH_RR!D39,SF_Data!B:B,0))="FC",INDEX(PBH_Lines!K:K,MATCH(PBH_RR!A39,PBH_Lines!M:M,0)),"")))))</f>
        <v/>
      </c>
      <c r="F39" t="str">
        <f>IF(PBH_RR!A39="","",IF(OR(PBH_RR!E39="FH Matrix",PBH_RR!E39="FC Matrix"),PBH_RR!I39,IF(INDEX(SF_Data!F:F,MATCH(PBH_RR!D39,SF_Data!B:B,0))="Greater(FH/FC)",IF(INDEX(SF_Data!M:M,MATCH(PBH_RR!D39,SF_Data!B:B,0))="FH",INDEX(SF_Data!S:S,MATCH(PBH_RR!D39,SF_Data!B:B,0)),""),IF(PBH_RR!E39="Both(FH+FC)",IF(PBH_RR!L39="FH",PBH_RR!I39,""),INDEX(SF_Data!S:S,MATCH(PBH_RR!D39,SF_Data!B:B,0))))))</f>
        <v/>
      </c>
      <c r="G39" t="str">
        <f>IF(PBH_RR!A39="","",IF(OR(PBH_RR!E39="FH Matrix",PBH_RR!E39="FC Matrix"),PBH_RR!J39,IF(INDEX(SF_Data!F:F,MATCH(PBH_RR!D39,SF_Data!B:B,0))="Greater(FH/FC)",IF(INDEX(SF_Data!M:M,MATCH(PBH_RR!D39,SF_Data!B:B,0))="FC",INDEX(SF_Data!T:T,MATCH(PBH_RR!D39,SF_Data!B:B,0)),""),IF(PBH_RR!E39="Both(FH+FC)",IF(PBH_RR!L39="FC",PBH_RR!J39,""),INDEX(SF_Data!T:T,MATCH(PBH_RR!D39,SF_Data!B:B,0))))))</f>
        <v/>
      </c>
      <c r="H39" t="str">
        <f>IF(PBH_RR!A39="","",IF(PBH_RR!E39="Both(FH+FC)",PBH_RR!P39,IF(OR(PBH_RR!E39="FH Matrix",PBH_RR!E39="FC Matrix"),INDEX(PBH_Lines!O:O,MATCH(PBH_RR!A39,PBH_Lines!M:M,0)),INDEX(SF_Data!U:U,MATCH(PBH_RR!D39,SF_Data!B:B,0)))))</f>
        <v/>
      </c>
      <c r="J39" t="str">
        <f t="shared" si="1"/>
        <v/>
      </c>
      <c r="K39" t="str">
        <f t="shared" si="2"/>
        <v/>
      </c>
      <c r="L39" t="str">
        <f t="shared" si="3"/>
        <v/>
      </c>
      <c r="M39" t="str">
        <f t="shared" si="4"/>
        <v/>
      </c>
      <c r="N39" t="str">
        <f t="shared" si="5"/>
        <v/>
      </c>
      <c r="O39" t="str">
        <f t="shared" si="6"/>
        <v/>
      </c>
      <c r="P39" t="str">
        <f t="shared" si="7"/>
        <v/>
      </c>
      <c r="Q39" t="str">
        <f t="shared" si="8"/>
        <v/>
      </c>
    </row>
    <row r="40" spans="1:17" x14ac:dyDescent="0.35">
      <c r="A40" t="str">
        <f>IF(PBH_RR!A40="","",IF(OR(PBH_RR!E40="FH Matrix", PBH_RR!E40="FC Matrix"),PBH_RR!C40,INDEX(SF_Data!D:D, MATCH(PBH_RR!D40, SF_Data!B:B, 0))))</f>
        <v/>
      </c>
      <c r="B40" t="str">
        <f>IF(PBH_RR!A40="","",IF(OR(PBH_RR!E40="FH Matrix",PBH_RR!E40="FC Matrix"),PBH_RR!G40,IF(INDEX(SF_Data!F:F,MATCH(PBH_RR!D40,SF_Data!B:B,0))="Greater(FH/FC)",IF(INDEX(SF_Data!M:M,MATCH(PBH_RR!D40,SF_Data!B:B,0))="FH",INDEX(SF_Data!Q:Q,MATCH(PBH_RR!D40,SF_Data!B:B,0)),""),IF(PBH_RR!E40="Both(FH+FC)",IF(PBH_RR!L40="FH",PBH_RR!G40,""),INDEX(SF_Data!Q:Q,MATCH(PBH_RR!D40,SF_Data!B:B,0))))))</f>
        <v/>
      </c>
      <c r="C40" t="str">
        <f>IF(PBH_RR!A40="","",IF(OR(PBH_RR!E40="FH Matrix",PBH_RR!E40="FC Matrix"),PBH_RR!H40,IF(INDEX(SF_Data!F:F,MATCH(PBH_RR!D40,SF_Data!B:B,0))="Greater(FH/FC)",IF(INDEX(SF_Data!M:M,MATCH(PBH_RR!D40,SF_Data!B:B,0))="FC",INDEX(SF_Data!R:R,MATCH(PBH_RR!D40,SF_Data!B:B,0)),""),IF(PBH_RR!E40="Both(FH+FC)",IF(PBH_RR!L40="FC",PBH_RR!H40,""),INDEX(SF_Data!R:R,MATCH(PBH_RR!D40,SF_Data!B:B,0))))))</f>
        <v/>
      </c>
      <c r="D40" t="str">
        <f>IF(PBH_RR!A40="","",IF(OR(PBH_RR!E40="Hourly",PBH_RR!E40="Cycle"),IF(INDEX(SF_Data!M:M,MATCH(PBH_RR!D40,SF_Data!B:B,0))="FH",INDEX(SF_Data!G:G,MATCH(PBH_RR!D40,SF_Data!B:B,0)),""),IF(PBH_RR!E40="Both(FH+FC)",IF(PBH_RR!L40="FH",PBH_RR!M40-PBH_RR!G40,""),IF(PBH_RR!E40="Greater(FH/FC)",IF(INDEX(SF_Data!M:M,MATCH(PBH_RR!D40,SF_Data!B:B,0))="FH",INDEX(SF_Data!G:G,MATCH(PBH_RR!D40,SF_Data!B:B,0))-INDEX(SF_Data!Q:Q,MATCH(PBH_RR!D40,SF_Data!B:B,0)),""),IF(INDEX(SF_Data!M:M,MATCH(PBH_RR!D40,SF_Data!B:B,0))="FH",INDEX(PBH_Lines!K:K,MATCH(PBH_RR!A40,PBH_Lines!M:M,0)),"")))))</f>
        <v/>
      </c>
      <c r="E40" t="str">
        <f>IF(PBH_RR!A40="","",IF(OR(PBH_RR!E40="Hourly",PBH_RR!E40="Cycle"),IF(INDEX(SF_Data!M:M,MATCH(PBH_RR!D40,SF_Data!B:B,0))="FC",INDEX(SF_Data!G:G,MATCH(PBH_RR!D40,SF_Data!B:B,0)),""),IF(PBH_RR!E40="Both(FH+FC)",IF(PBH_RR!L40="FC",PBH_RR!M40-PBH_RR!H40,""),IF(PBH_RR!E40="Greater(FH/FC)",IF(INDEX(SF_Data!M:M,MATCH(PBH_RR!D40,SF_Data!B:B,0))="FC",INDEX(SF_Data!G:G,MATCH(PBH_RR!D40,SF_Data!B:B,0))-INDEX(SF_Data!R:R,MATCH(PBH_RR!D40,SF_Data!B:B,0)),""),IF(INDEX(SF_Data!M:M,MATCH(PBH_RR!D40,SF_Data!B:B,0))="FC",INDEX(PBH_Lines!K:K,MATCH(PBH_RR!A40,PBH_Lines!M:M,0)),"")))))</f>
        <v/>
      </c>
      <c r="F40" t="str">
        <f>IF(PBH_RR!A40="","",IF(OR(PBH_RR!E40="FH Matrix",PBH_RR!E40="FC Matrix"),PBH_RR!I40,IF(INDEX(SF_Data!F:F,MATCH(PBH_RR!D40,SF_Data!B:B,0))="Greater(FH/FC)",IF(INDEX(SF_Data!M:M,MATCH(PBH_RR!D40,SF_Data!B:B,0))="FH",INDEX(SF_Data!S:S,MATCH(PBH_RR!D40,SF_Data!B:B,0)),""),IF(PBH_RR!E40="Both(FH+FC)",IF(PBH_RR!L40="FH",PBH_RR!I40,""),INDEX(SF_Data!S:S,MATCH(PBH_RR!D40,SF_Data!B:B,0))))))</f>
        <v/>
      </c>
      <c r="G40" t="str">
        <f>IF(PBH_RR!A40="","",IF(OR(PBH_RR!E40="FH Matrix",PBH_RR!E40="FC Matrix"),PBH_RR!J40,IF(INDEX(SF_Data!F:F,MATCH(PBH_RR!D40,SF_Data!B:B,0))="Greater(FH/FC)",IF(INDEX(SF_Data!M:M,MATCH(PBH_RR!D40,SF_Data!B:B,0))="FC",INDEX(SF_Data!T:T,MATCH(PBH_RR!D40,SF_Data!B:B,0)),""),IF(PBH_RR!E40="Both(FH+FC)",IF(PBH_RR!L40="FC",PBH_RR!J40,""),INDEX(SF_Data!T:T,MATCH(PBH_RR!D40,SF_Data!B:B,0))))))</f>
        <v/>
      </c>
      <c r="H40" t="str">
        <f>IF(PBH_RR!A40="","",IF(PBH_RR!E40="Both(FH+FC)",PBH_RR!P40,IF(OR(PBH_RR!E40="FH Matrix",PBH_RR!E40="FC Matrix"),INDEX(PBH_Lines!O:O,MATCH(PBH_RR!A40,PBH_Lines!M:M,0)),INDEX(SF_Data!U:U,MATCH(PBH_RR!D40,SF_Data!B:B,0)))))</f>
        <v/>
      </c>
      <c r="J40" t="str">
        <f t="shared" si="1"/>
        <v/>
      </c>
      <c r="K40" t="str">
        <f t="shared" si="2"/>
        <v/>
      </c>
      <c r="L40" t="str">
        <f t="shared" si="3"/>
        <v/>
      </c>
      <c r="M40" t="str">
        <f t="shared" si="4"/>
        <v/>
      </c>
      <c r="N40" t="str">
        <f t="shared" si="5"/>
        <v/>
      </c>
      <c r="O40" t="str">
        <f t="shared" si="6"/>
        <v/>
      </c>
      <c r="P40" t="str">
        <f t="shared" si="7"/>
        <v/>
      </c>
      <c r="Q40" t="str">
        <f t="shared" si="8"/>
        <v/>
      </c>
    </row>
    <row r="41" spans="1:17" x14ac:dyDescent="0.35">
      <c r="A41" t="str">
        <f>IF(PBH_RR!A41="","",IF(OR(PBH_RR!E41="FH Matrix", PBH_RR!E41="FC Matrix"),PBH_RR!C41,INDEX(SF_Data!D:D, MATCH(PBH_RR!D41, SF_Data!B:B, 0))))</f>
        <v/>
      </c>
      <c r="B41" t="str">
        <f>IF(PBH_RR!A41="","",IF(OR(PBH_RR!E41="FH Matrix",PBH_RR!E41="FC Matrix"),PBH_RR!G41,IF(INDEX(SF_Data!F:F,MATCH(PBH_RR!D41,SF_Data!B:B,0))="Greater(FH/FC)",IF(INDEX(SF_Data!M:M,MATCH(PBH_RR!D41,SF_Data!B:B,0))="FH",INDEX(SF_Data!Q:Q,MATCH(PBH_RR!D41,SF_Data!B:B,0)),""),IF(PBH_RR!E41="Both(FH+FC)",IF(PBH_RR!L41="FH",PBH_RR!G41,""),INDEX(SF_Data!Q:Q,MATCH(PBH_RR!D41,SF_Data!B:B,0))))))</f>
        <v/>
      </c>
      <c r="C41" t="str">
        <f>IF(PBH_RR!A41="","",IF(OR(PBH_RR!E41="FH Matrix",PBH_RR!E41="FC Matrix"),PBH_RR!H41,IF(INDEX(SF_Data!F:F,MATCH(PBH_RR!D41,SF_Data!B:B,0))="Greater(FH/FC)",IF(INDEX(SF_Data!M:M,MATCH(PBH_RR!D41,SF_Data!B:B,0))="FC",INDEX(SF_Data!R:R,MATCH(PBH_RR!D41,SF_Data!B:B,0)),""),IF(PBH_RR!E41="Both(FH+FC)",IF(PBH_RR!L41="FC",PBH_RR!H41,""),INDEX(SF_Data!R:R,MATCH(PBH_RR!D41,SF_Data!B:B,0))))))</f>
        <v/>
      </c>
      <c r="D41" t="str">
        <f>IF(PBH_RR!A41="","",IF(OR(PBH_RR!E41="Hourly",PBH_RR!E41="Cycle"),IF(INDEX(SF_Data!M:M,MATCH(PBH_RR!D41,SF_Data!B:B,0))="FH",INDEX(SF_Data!G:G,MATCH(PBH_RR!D41,SF_Data!B:B,0)),""),IF(PBH_RR!E41="Both(FH+FC)",IF(PBH_RR!L41="FH",PBH_RR!M41-PBH_RR!G41,""),IF(PBH_RR!E41="Greater(FH/FC)",IF(INDEX(SF_Data!M:M,MATCH(PBH_RR!D41,SF_Data!B:B,0))="FH",INDEX(SF_Data!G:G,MATCH(PBH_RR!D41,SF_Data!B:B,0))-INDEX(SF_Data!Q:Q,MATCH(PBH_RR!D41,SF_Data!B:B,0)),""),IF(INDEX(SF_Data!M:M,MATCH(PBH_RR!D41,SF_Data!B:B,0))="FH",INDEX(PBH_Lines!K:K,MATCH(PBH_RR!A41,PBH_Lines!M:M,0)),"")))))</f>
        <v/>
      </c>
      <c r="E41" t="str">
        <f>IF(PBH_RR!A41="","",IF(OR(PBH_RR!E41="Hourly",PBH_RR!E41="Cycle"),IF(INDEX(SF_Data!M:M,MATCH(PBH_RR!D41,SF_Data!B:B,0))="FC",INDEX(SF_Data!G:G,MATCH(PBH_RR!D41,SF_Data!B:B,0)),""),IF(PBH_RR!E41="Both(FH+FC)",IF(PBH_RR!L41="FC",PBH_RR!M41-PBH_RR!H41,""),IF(PBH_RR!E41="Greater(FH/FC)",IF(INDEX(SF_Data!M:M,MATCH(PBH_RR!D41,SF_Data!B:B,0))="FC",INDEX(SF_Data!G:G,MATCH(PBH_RR!D41,SF_Data!B:B,0))-INDEX(SF_Data!R:R,MATCH(PBH_RR!D41,SF_Data!B:B,0)),""),IF(INDEX(SF_Data!M:M,MATCH(PBH_RR!D41,SF_Data!B:B,0))="FC",INDEX(PBH_Lines!K:K,MATCH(PBH_RR!A41,PBH_Lines!M:M,0)),"")))))</f>
        <v/>
      </c>
      <c r="F41" t="str">
        <f>IF(PBH_RR!A41="","",IF(OR(PBH_RR!E41="FH Matrix",PBH_RR!E41="FC Matrix"),PBH_RR!I41,IF(INDEX(SF_Data!F:F,MATCH(PBH_RR!D41,SF_Data!B:B,0))="Greater(FH/FC)",IF(INDEX(SF_Data!M:M,MATCH(PBH_RR!D41,SF_Data!B:B,0))="FH",INDEX(SF_Data!S:S,MATCH(PBH_RR!D41,SF_Data!B:B,0)),""),IF(PBH_RR!E41="Both(FH+FC)",IF(PBH_RR!L41="FH",PBH_RR!I41,""),INDEX(SF_Data!S:S,MATCH(PBH_RR!D41,SF_Data!B:B,0))))))</f>
        <v/>
      </c>
      <c r="G41" t="str">
        <f>IF(PBH_RR!A41="","",IF(OR(PBH_RR!E41="FH Matrix",PBH_RR!E41="FC Matrix"),PBH_RR!J41,IF(INDEX(SF_Data!F:F,MATCH(PBH_RR!D41,SF_Data!B:B,0))="Greater(FH/FC)",IF(INDEX(SF_Data!M:M,MATCH(PBH_RR!D41,SF_Data!B:B,0))="FC",INDEX(SF_Data!T:T,MATCH(PBH_RR!D41,SF_Data!B:B,0)),""),IF(PBH_RR!E41="Both(FH+FC)",IF(PBH_RR!L41="FC",PBH_RR!J41,""),INDEX(SF_Data!T:T,MATCH(PBH_RR!D41,SF_Data!B:B,0))))))</f>
        <v/>
      </c>
      <c r="H41" t="str">
        <f>IF(PBH_RR!A41="","",IF(PBH_RR!E41="Both(FH+FC)",PBH_RR!P41,IF(OR(PBH_RR!E41="FH Matrix",PBH_RR!E41="FC Matrix"),INDEX(PBH_Lines!O:O,MATCH(PBH_RR!A41,PBH_Lines!M:M,0)),INDEX(SF_Data!U:U,MATCH(PBH_RR!D41,SF_Data!B:B,0)))))</f>
        <v/>
      </c>
      <c r="J41" t="str">
        <f t="shared" si="1"/>
        <v/>
      </c>
      <c r="K41" t="str">
        <f t="shared" si="2"/>
        <v/>
      </c>
      <c r="L41" t="str">
        <f t="shared" si="3"/>
        <v/>
      </c>
      <c r="M41" t="str">
        <f t="shared" si="4"/>
        <v/>
      </c>
      <c r="N41" t="str">
        <f t="shared" si="5"/>
        <v/>
      </c>
      <c r="O41" t="str">
        <f t="shared" si="6"/>
        <v/>
      </c>
      <c r="P41" t="str">
        <f t="shared" si="7"/>
        <v/>
      </c>
      <c r="Q41" t="str">
        <f t="shared" si="8"/>
        <v/>
      </c>
    </row>
    <row r="42" spans="1:17" x14ac:dyDescent="0.35">
      <c r="A42" t="str">
        <f>IF(PBH_RR!A42="","",IF(OR(PBH_RR!E42="FH Matrix", PBH_RR!E42="FC Matrix"),PBH_RR!C42,INDEX(SF_Data!D:D, MATCH(PBH_RR!D42, SF_Data!B:B, 0))))</f>
        <v/>
      </c>
      <c r="B42" t="str">
        <f>IF(PBH_RR!A42="","",IF(OR(PBH_RR!E42="FH Matrix",PBH_RR!E42="FC Matrix"),PBH_RR!G42,IF(INDEX(SF_Data!F:F,MATCH(PBH_RR!D42,SF_Data!B:B,0))="Greater(FH/FC)",IF(INDEX(SF_Data!M:M,MATCH(PBH_RR!D42,SF_Data!B:B,0))="FH",INDEX(SF_Data!Q:Q,MATCH(PBH_RR!D42,SF_Data!B:B,0)),""),IF(PBH_RR!E42="Both(FH+FC)",IF(PBH_RR!L42="FH",PBH_RR!G42,""),INDEX(SF_Data!Q:Q,MATCH(PBH_RR!D42,SF_Data!B:B,0))))))</f>
        <v/>
      </c>
      <c r="C42" t="str">
        <f>IF(PBH_RR!A42="","",IF(OR(PBH_RR!E42="FH Matrix",PBH_RR!E42="FC Matrix"),PBH_RR!H42,IF(INDEX(SF_Data!F:F,MATCH(PBH_RR!D42,SF_Data!B:B,0))="Greater(FH/FC)",IF(INDEX(SF_Data!M:M,MATCH(PBH_RR!D42,SF_Data!B:B,0))="FC",INDEX(SF_Data!R:R,MATCH(PBH_RR!D42,SF_Data!B:B,0)),""),IF(PBH_RR!E42="Both(FH+FC)",IF(PBH_RR!L42="FC",PBH_RR!H42,""),INDEX(SF_Data!R:R,MATCH(PBH_RR!D42,SF_Data!B:B,0))))))</f>
        <v/>
      </c>
      <c r="D42" t="str">
        <f>IF(PBH_RR!A42="","",IF(OR(PBH_RR!E42="Hourly",PBH_RR!E42="Cycle"),IF(INDEX(SF_Data!M:M,MATCH(PBH_RR!D42,SF_Data!B:B,0))="FH",INDEX(SF_Data!G:G,MATCH(PBH_RR!D42,SF_Data!B:B,0)),""),IF(PBH_RR!E42="Both(FH+FC)",IF(PBH_RR!L42="FH",PBH_RR!M42-PBH_RR!G42,""),IF(PBH_RR!E42="Greater(FH/FC)",IF(INDEX(SF_Data!M:M,MATCH(PBH_RR!D42,SF_Data!B:B,0))="FH",INDEX(SF_Data!G:G,MATCH(PBH_RR!D42,SF_Data!B:B,0))-INDEX(SF_Data!Q:Q,MATCH(PBH_RR!D42,SF_Data!B:B,0)),""),IF(INDEX(SF_Data!M:M,MATCH(PBH_RR!D42,SF_Data!B:B,0))="FH",INDEX(PBH_Lines!K:K,MATCH(PBH_RR!A42,PBH_Lines!M:M,0)),"")))))</f>
        <v/>
      </c>
      <c r="E42" t="str">
        <f>IF(PBH_RR!A42="","",IF(OR(PBH_RR!E42="Hourly",PBH_RR!E42="Cycle"),IF(INDEX(SF_Data!M:M,MATCH(PBH_RR!D42,SF_Data!B:B,0))="FC",INDEX(SF_Data!G:G,MATCH(PBH_RR!D42,SF_Data!B:B,0)),""),IF(PBH_RR!E42="Both(FH+FC)",IF(PBH_RR!L42="FC",PBH_RR!M42-PBH_RR!H42,""),IF(PBH_RR!E42="Greater(FH/FC)",IF(INDEX(SF_Data!M:M,MATCH(PBH_RR!D42,SF_Data!B:B,0))="FC",INDEX(SF_Data!G:G,MATCH(PBH_RR!D42,SF_Data!B:B,0))-INDEX(SF_Data!R:R,MATCH(PBH_RR!D42,SF_Data!B:B,0)),""),IF(INDEX(SF_Data!M:M,MATCH(PBH_RR!D42,SF_Data!B:B,0))="FC",INDEX(PBH_Lines!K:K,MATCH(PBH_RR!A42,PBH_Lines!M:M,0)),"")))))</f>
        <v/>
      </c>
      <c r="F42" t="str">
        <f>IF(PBH_RR!A42="","",IF(OR(PBH_RR!E42="FH Matrix",PBH_RR!E42="FC Matrix"),PBH_RR!I42,IF(INDEX(SF_Data!F:F,MATCH(PBH_RR!D42,SF_Data!B:B,0))="Greater(FH/FC)",IF(INDEX(SF_Data!M:M,MATCH(PBH_RR!D42,SF_Data!B:B,0))="FH",INDEX(SF_Data!S:S,MATCH(PBH_RR!D42,SF_Data!B:B,0)),""),IF(PBH_RR!E42="Both(FH+FC)",IF(PBH_RR!L42="FH",PBH_RR!I42,""),INDEX(SF_Data!S:S,MATCH(PBH_RR!D42,SF_Data!B:B,0))))))</f>
        <v/>
      </c>
      <c r="G42" t="str">
        <f>IF(PBH_RR!A42="","",IF(OR(PBH_RR!E42="FH Matrix",PBH_RR!E42="FC Matrix"),PBH_RR!J42,IF(INDEX(SF_Data!F:F,MATCH(PBH_RR!D42,SF_Data!B:B,0))="Greater(FH/FC)",IF(INDEX(SF_Data!M:M,MATCH(PBH_RR!D42,SF_Data!B:B,0))="FC",INDEX(SF_Data!T:T,MATCH(PBH_RR!D42,SF_Data!B:B,0)),""),IF(PBH_RR!E42="Both(FH+FC)",IF(PBH_RR!L42="FC",PBH_RR!J42,""),INDEX(SF_Data!T:T,MATCH(PBH_RR!D42,SF_Data!B:B,0))))))</f>
        <v/>
      </c>
      <c r="H42" t="str">
        <f>IF(PBH_RR!A42="","",IF(PBH_RR!E42="Both(FH+FC)",PBH_RR!P42,IF(OR(PBH_RR!E42="FH Matrix",PBH_RR!E42="FC Matrix"),INDEX(PBH_Lines!O:O,MATCH(PBH_RR!A42,PBH_Lines!M:M,0)),INDEX(SF_Data!U:U,MATCH(PBH_RR!D42,SF_Data!B:B,0)))))</f>
        <v/>
      </c>
      <c r="J42" t="str">
        <f t="shared" si="1"/>
        <v/>
      </c>
      <c r="K42" t="str">
        <f t="shared" si="2"/>
        <v/>
      </c>
      <c r="L42" t="str">
        <f t="shared" si="3"/>
        <v/>
      </c>
      <c r="M42" t="str">
        <f t="shared" si="4"/>
        <v/>
      </c>
      <c r="N42" t="str">
        <f t="shared" si="5"/>
        <v/>
      </c>
      <c r="O42" t="str">
        <f t="shared" si="6"/>
        <v/>
      </c>
      <c r="P42" t="str">
        <f t="shared" si="7"/>
        <v/>
      </c>
      <c r="Q42" t="str">
        <f t="shared" si="8"/>
        <v/>
      </c>
    </row>
    <row r="43" spans="1:17" x14ac:dyDescent="0.35">
      <c r="A43" t="str">
        <f>IF(PBH_RR!A43="","",IF(OR(PBH_RR!E43="FH Matrix", PBH_RR!E43="FC Matrix"),PBH_RR!C43,INDEX(SF_Data!D:D, MATCH(PBH_RR!D43, SF_Data!B:B, 0))))</f>
        <v/>
      </c>
      <c r="B43" t="str">
        <f>IF(PBH_RR!A43="","",IF(OR(PBH_RR!E43="FH Matrix",PBH_RR!E43="FC Matrix"),PBH_RR!G43,IF(INDEX(SF_Data!F:F,MATCH(PBH_RR!D43,SF_Data!B:B,0))="Greater(FH/FC)",IF(INDEX(SF_Data!M:M,MATCH(PBH_RR!D43,SF_Data!B:B,0))="FH",INDEX(SF_Data!Q:Q,MATCH(PBH_RR!D43,SF_Data!B:B,0)),""),IF(PBH_RR!E43="Both(FH+FC)",IF(PBH_RR!L43="FH",PBH_RR!G43,""),INDEX(SF_Data!Q:Q,MATCH(PBH_RR!D43,SF_Data!B:B,0))))))</f>
        <v/>
      </c>
      <c r="C43" t="str">
        <f>IF(PBH_RR!A43="","",IF(OR(PBH_RR!E43="FH Matrix",PBH_RR!E43="FC Matrix"),PBH_RR!H43,IF(INDEX(SF_Data!F:F,MATCH(PBH_RR!D43,SF_Data!B:B,0))="Greater(FH/FC)",IF(INDEX(SF_Data!M:M,MATCH(PBH_RR!D43,SF_Data!B:B,0))="FC",INDEX(SF_Data!R:R,MATCH(PBH_RR!D43,SF_Data!B:B,0)),""),IF(PBH_RR!E43="Both(FH+FC)",IF(PBH_RR!L43="FC",PBH_RR!H43,""),INDEX(SF_Data!R:R,MATCH(PBH_RR!D43,SF_Data!B:B,0))))))</f>
        <v/>
      </c>
      <c r="D43" t="str">
        <f>IF(PBH_RR!A43="","",IF(OR(PBH_RR!E43="Hourly",PBH_RR!E43="Cycle"),IF(INDEX(SF_Data!M:M,MATCH(PBH_RR!D43,SF_Data!B:B,0))="FH",INDEX(SF_Data!G:G,MATCH(PBH_RR!D43,SF_Data!B:B,0)),""),IF(PBH_RR!E43="Both(FH+FC)",IF(PBH_RR!L43="FH",PBH_RR!M43-PBH_RR!G43,""),IF(PBH_RR!E43="Greater(FH/FC)",IF(INDEX(SF_Data!M:M,MATCH(PBH_RR!D43,SF_Data!B:B,0))="FH",INDEX(SF_Data!G:G,MATCH(PBH_RR!D43,SF_Data!B:B,0))-INDEX(SF_Data!Q:Q,MATCH(PBH_RR!D43,SF_Data!B:B,0)),""),IF(INDEX(SF_Data!M:M,MATCH(PBH_RR!D43,SF_Data!B:B,0))="FH",INDEX(PBH_Lines!K:K,MATCH(PBH_RR!A43,PBH_Lines!M:M,0)),"")))))</f>
        <v/>
      </c>
      <c r="E43" t="str">
        <f>IF(PBH_RR!A43="","",IF(OR(PBH_RR!E43="Hourly",PBH_RR!E43="Cycle"),IF(INDEX(SF_Data!M:M,MATCH(PBH_RR!D43,SF_Data!B:B,0))="FC",INDEX(SF_Data!G:G,MATCH(PBH_RR!D43,SF_Data!B:B,0)),""),IF(PBH_RR!E43="Both(FH+FC)",IF(PBH_RR!L43="FC",PBH_RR!M43-PBH_RR!H43,""),IF(PBH_RR!E43="Greater(FH/FC)",IF(INDEX(SF_Data!M:M,MATCH(PBH_RR!D43,SF_Data!B:B,0))="FC",INDEX(SF_Data!G:G,MATCH(PBH_RR!D43,SF_Data!B:B,0))-INDEX(SF_Data!R:R,MATCH(PBH_RR!D43,SF_Data!B:B,0)),""),IF(INDEX(SF_Data!M:M,MATCH(PBH_RR!D43,SF_Data!B:B,0))="FC",INDEX(PBH_Lines!K:K,MATCH(PBH_RR!A43,PBH_Lines!M:M,0)),"")))))</f>
        <v/>
      </c>
      <c r="F43" t="str">
        <f>IF(PBH_RR!A43="","",IF(OR(PBH_RR!E43="FH Matrix",PBH_RR!E43="FC Matrix"),PBH_RR!I43,IF(INDEX(SF_Data!F:F,MATCH(PBH_RR!D43,SF_Data!B:B,0))="Greater(FH/FC)",IF(INDEX(SF_Data!M:M,MATCH(PBH_RR!D43,SF_Data!B:B,0))="FH",INDEX(SF_Data!S:S,MATCH(PBH_RR!D43,SF_Data!B:B,0)),""),IF(PBH_RR!E43="Both(FH+FC)",IF(PBH_RR!L43="FH",PBH_RR!I43,""),INDEX(SF_Data!S:S,MATCH(PBH_RR!D43,SF_Data!B:B,0))))))</f>
        <v/>
      </c>
      <c r="G43" t="str">
        <f>IF(PBH_RR!A43="","",IF(OR(PBH_RR!E43="FH Matrix",PBH_RR!E43="FC Matrix"),PBH_RR!J43,IF(INDEX(SF_Data!F:F,MATCH(PBH_RR!D43,SF_Data!B:B,0))="Greater(FH/FC)",IF(INDEX(SF_Data!M:M,MATCH(PBH_RR!D43,SF_Data!B:B,0))="FC",INDEX(SF_Data!T:T,MATCH(PBH_RR!D43,SF_Data!B:B,0)),""),IF(PBH_RR!E43="Both(FH+FC)",IF(PBH_RR!L43="FC",PBH_RR!J43,""),INDEX(SF_Data!T:T,MATCH(PBH_RR!D43,SF_Data!B:B,0))))))</f>
        <v/>
      </c>
      <c r="H43" t="str">
        <f>IF(PBH_RR!A43="","",IF(PBH_RR!E43="Both(FH+FC)",PBH_RR!P43,IF(OR(PBH_RR!E43="FH Matrix",PBH_RR!E43="FC Matrix"),INDEX(PBH_Lines!O:O,MATCH(PBH_RR!A43,PBH_Lines!M:M,0)),INDEX(SF_Data!U:U,MATCH(PBH_RR!D43,SF_Data!B:B,0)))))</f>
        <v/>
      </c>
      <c r="J43" t="str">
        <f t="shared" si="1"/>
        <v/>
      </c>
      <c r="K43" t="str">
        <f t="shared" si="2"/>
        <v/>
      </c>
      <c r="L43" t="str">
        <f t="shared" si="3"/>
        <v/>
      </c>
      <c r="M43" t="str">
        <f t="shared" si="4"/>
        <v/>
      </c>
      <c r="N43" t="str">
        <f t="shared" si="5"/>
        <v/>
      </c>
      <c r="O43" t="str">
        <f t="shared" si="6"/>
        <v/>
      </c>
      <c r="P43" t="str">
        <f t="shared" si="7"/>
        <v/>
      </c>
      <c r="Q43" t="str">
        <f t="shared" si="8"/>
        <v/>
      </c>
    </row>
    <row r="44" spans="1:17" x14ac:dyDescent="0.35">
      <c r="A44" t="str">
        <f>IF(PBH_RR!A44="","",IF(OR(PBH_RR!E44="FH Matrix", PBH_RR!E44="FC Matrix"),PBH_RR!C44,INDEX(SF_Data!D:D, MATCH(PBH_RR!D44, SF_Data!B:B, 0))))</f>
        <v/>
      </c>
      <c r="B44" t="str">
        <f>IF(PBH_RR!A44="","",IF(OR(PBH_RR!E44="FH Matrix",PBH_RR!E44="FC Matrix"),PBH_RR!G44,IF(INDEX(SF_Data!F:F,MATCH(PBH_RR!D44,SF_Data!B:B,0))="Greater(FH/FC)",IF(INDEX(SF_Data!M:M,MATCH(PBH_RR!D44,SF_Data!B:B,0))="FH",INDEX(SF_Data!Q:Q,MATCH(PBH_RR!D44,SF_Data!B:B,0)),""),IF(PBH_RR!E44="Both(FH+FC)",IF(PBH_RR!L44="FH",PBH_RR!G44,""),INDEX(SF_Data!Q:Q,MATCH(PBH_RR!D44,SF_Data!B:B,0))))))</f>
        <v/>
      </c>
      <c r="C44" t="str">
        <f>IF(PBH_RR!A44="","",IF(OR(PBH_RR!E44="FH Matrix",PBH_RR!E44="FC Matrix"),PBH_RR!H44,IF(INDEX(SF_Data!F:F,MATCH(PBH_RR!D44,SF_Data!B:B,0))="Greater(FH/FC)",IF(INDEX(SF_Data!M:M,MATCH(PBH_RR!D44,SF_Data!B:B,0))="FC",INDEX(SF_Data!R:R,MATCH(PBH_RR!D44,SF_Data!B:B,0)),""),IF(PBH_RR!E44="Both(FH+FC)",IF(PBH_RR!L44="FC",PBH_RR!H44,""),INDEX(SF_Data!R:R,MATCH(PBH_RR!D44,SF_Data!B:B,0))))))</f>
        <v/>
      </c>
      <c r="D44" t="str">
        <f>IF(PBH_RR!A44="","",IF(OR(PBH_RR!E44="Hourly",PBH_RR!E44="Cycle"),IF(INDEX(SF_Data!M:M,MATCH(PBH_RR!D44,SF_Data!B:B,0))="FH",INDEX(SF_Data!G:G,MATCH(PBH_RR!D44,SF_Data!B:B,0)),""),IF(PBH_RR!E44="Both(FH+FC)",IF(PBH_RR!L44="FH",PBH_RR!M44-PBH_RR!G44,""),IF(PBH_RR!E44="Greater(FH/FC)",IF(INDEX(SF_Data!M:M,MATCH(PBH_RR!D44,SF_Data!B:B,0))="FH",INDEX(SF_Data!G:G,MATCH(PBH_RR!D44,SF_Data!B:B,0))-INDEX(SF_Data!Q:Q,MATCH(PBH_RR!D44,SF_Data!B:B,0)),""),IF(INDEX(SF_Data!M:M,MATCH(PBH_RR!D44,SF_Data!B:B,0))="FH",INDEX(PBH_Lines!K:K,MATCH(PBH_RR!A44,PBH_Lines!M:M,0)),"")))))</f>
        <v/>
      </c>
      <c r="E44" t="str">
        <f>IF(PBH_RR!A44="","",IF(OR(PBH_RR!E44="Hourly",PBH_RR!E44="Cycle"),IF(INDEX(SF_Data!M:M,MATCH(PBH_RR!D44,SF_Data!B:B,0))="FC",INDEX(SF_Data!G:G,MATCH(PBH_RR!D44,SF_Data!B:B,0)),""),IF(PBH_RR!E44="Both(FH+FC)",IF(PBH_RR!L44="FC",PBH_RR!M44-PBH_RR!H44,""),IF(PBH_RR!E44="Greater(FH/FC)",IF(INDEX(SF_Data!M:M,MATCH(PBH_RR!D44,SF_Data!B:B,0))="FC",INDEX(SF_Data!G:G,MATCH(PBH_RR!D44,SF_Data!B:B,0))-INDEX(SF_Data!R:R,MATCH(PBH_RR!D44,SF_Data!B:B,0)),""),IF(INDEX(SF_Data!M:M,MATCH(PBH_RR!D44,SF_Data!B:B,0))="FC",INDEX(PBH_Lines!K:K,MATCH(PBH_RR!A44,PBH_Lines!M:M,0)),"")))))</f>
        <v/>
      </c>
      <c r="F44" t="str">
        <f>IF(PBH_RR!A44="","",IF(OR(PBH_RR!E44="FH Matrix",PBH_RR!E44="FC Matrix"),PBH_RR!I44,IF(INDEX(SF_Data!F:F,MATCH(PBH_RR!D44,SF_Data!B:B,0))="Greater(FH/FC)",IF(INDEX(SF_Data!M:M,MATCH(PBH_RR!D44,SF_Data!B:B,0))="FH",INDEX(SF_Data!S:S,MATCH(PBH_RR!D44,SF_Data!B:B,0)),""),IF(PBH_RR!E44="Both(FH+FC)",IF(PBH_RR!L44="FH",PBH_RR!I44,""),INDEX(SF_Data!S:S,MATCH(PBH_RR!D44,SF_Data!B:B,0))))))</f>
        <v/>
      </c>
      <c r="G44" t="str">
        <f>IF(PBH_RR!A44="","",IF(OR(PBH_RR!E44="FH Matrix",PBH_RR!E44="FC Matrix"),PBH_RR!J44,IF(INDEX(SF_Data!F:F,MATCH(PBH_RR!D44,SF_Data!B:B,0))="Greater(FH/FC)",IF(INDEX(SF_Data!M:M,MATCH(PBH_RR!D44,SF_Data!B:B,0))="FC",INDEX(SF_Data!T:T,MATCH(PBH_RR!D44,SF_Data!B:B,0)),""),IF(PBH_RR!E44="Both(FH+FC)",IF(PBH_RR!L44="FC",PBH_RR!J44,""),INDEX(SF_Data!T:T,MATCH(PBH_RR!D44,SF_Data!B:B,0))))))</f>
        <v/>
      </c>
      <c r="H44" t="str">
        <f>IF(PBH_RR!A44="","",IF(PBH_RR!E44="Both(FH+FC)",PBH_RR!P44,IF(OR(PBH_RR!E44="FH Matrix",PBH_RR!E44="FC Matrix"),INDEX(PBH_Lines!O:O,MATCH(PBH_RR!A44,PBH_Lines!M:M,0)),INDEX(SF_Data!U:U,MATCH(PBH_RR!D44,SF_Data!B:B,0)))))</f>
        <v/>
      </c>
      <c r="J44" t="str">
        <f t="shared" si="1"/>
        <v/>
      </c>
      <c r="K44" t="str">
        <f t="shared" si="2"/>
        <v/>
      </c>
      <c r="L44" t="str">
        <f t="shared" si="3"/>
        <v/>
      </c>
      <c r="M44" t="str">
        <f t="shared" si="4"/>
        <v/>
      </c>
      <c r="N44" t="str">
        <f t="shared" si="5"/>
        <v/>
      </c>
      <c r="O44" t="str">
        <f t="shared" si="6"/>
        <v/>
      </c>
      <c r="P44" t="str">
        <f t="shared" si="7"/>
        <v/>
      </c>
      <c r="Q44" t="str">
        <f t="shared" si="8"/>
        <v/>
      </c>
    </row>
    <row r="45" spans="1:17" x14ac:dyDescent="0.35">
      <c r="A45" t="str">
        <f>IF(PBH_RR!A45="","",IF(OR(PBH_RR!E45="FH Matrix", PBH_RR!E45="FC Matrix"),PBH_RR!C45,INDEX(SF_Data!D:D, MATCH(PBH_RR!D45, SF_Data!B:B, 0))))</f>
        <v/>
      </c>
      <c r="B45" t="str">
        <f>IF(PBH_RR!A45="","",IF(OR(PBH_RR!E45="FH Matrix",PBH_RR!E45="FC Matrix"),PBH_RR!G45,IF(INDEX(SF_Data!F:F,MATCH(PBH_RR!D45,SF_Data!B:B,0))="Greater(FH/FC)",IF(INDEX(SF_Data!M:M,MATCH(PBH_RR!D45,SF_Data!B:B,0))="FH",INDEX(SF_Data!Q:Q,MATCH(PBH_RR!D45,SF_Data!B:B,0)),""),IF(PBH_RR!E45="Both(FH+FC)",IF(PBH_RR!L45="FH",PBH_RR!G45,""),INDEX(SF_Data!Q:Q,MATCH(PBH_RR!D45,SF_Data!B:B,0))))))</f>
        <v/>
      </c>
      <c r="C45" t="str">
        <f>IF(PBH_RR!A45="","",IF(OR(PBH_RR!E45="FH Matrix",PBH_RR!E45="FC Matrix"),PBH_RR!H45,IF(INDEX(SF_Data!F:F,MATCH(PBH_RR!D45,SF_Data!B:B,0))="Greater(FH/FC)",IF(INDEX(SF_Data!M:M,MATCH(PBH_RR!D45,SF_Data!B:B,0))="FC",INDEX(SF_Data!R:R,MATCH(PBH_RR!D45,SF_Data!B:B,0)),""),IF(PBH_RR!E45="Both(FH+FC)",IF(PBH_RR!L45="FC",PBH_RR!H45,""),INDEX(SF_Data!R:R,MATCH(PBH_RR!D45,SF_Data!B:B,0))))))</f>
        <v/>
      </c>
      <c r="D45" t="str">
        <f>IF(PBH_RR!A45="","",IF(OR(PBH_RR!E45="Hourly",PBH_RR!E45="Cycle"),IF(INDEX(SF_Data!M:M,MATCH(PBH_RR!D45,SF_Data!B:B,0))="FH",INDEX(SF_Data!G:G,MATCH(PBH_RR!D45,SF_Data!B:B,0)),""),IF(PBH_RR!E45="Both(FH+FC)",IF(PBH_RR!L45="FH",PBH_RR!M45-PBH_RR!G45,""),IF(PBH_RR!E45="Greater(FH/FC)",IF(INDEX(SF_Data!M:M,MATCH(PBH_RR!D45,SF_Data!B:B,0))="FH",INDEX(SF_Data!G:G,MATCH(PBH_RR!D45,SF_Data!B:B,0))-INDEX(SF_Data!Q:Q,MATCH(PBH_RR!D45,SF_Data!B:B,0)),""),IF(INDEX(SF_Data!M:M,MATCH(PBH_RR!D45,SF_Data!B:B,0))="FH",INDEX(PBH_Lines!K:K,MATCH(PBH_RR!A45,PBH_Lines!M:M,0)),"")))))</f>
        <v/>
      </c>
      <c r="E45" t="str">
        <f>IF(PBH_RR!A45="","",IF(OR(PBH_RR!E45="Hourly",PBH_RR!E45="Cycle"),IF(INDEX(SF_Data!M:M,MATCH(PBH_RR!D45,SF_Data!B:B,0))="FC",INDEX(SF_Data!G:G,MATCH(PBH_RR!D45,SF_Data!B:B,0)),""),IF(PBH_RR!E45="Both(FH+FC)",IF(PBH_RR!L45="FC",PBH_RR!M45-PBH_RR!H45,""),IF(PBH_RR!E45="Greater(FH/FC)",IF(INDEX(SF_Data!M:M,MATCH(PBH_RR!D45,SF_Data!B:B,0))="FC",INDEX(SF_Data!G:G,MATCH(PBH_RR!D45,SF_Data!B:B,0))-INDEX(SF_Data!R:R,MATCH(PBH_RR!D45,SF_Data!B:B,0)),""),IF(INDEX(SF_Data!M:M,MATCH(PBH_RR!D45,SF_Data!B:B,0))="FC",INDEX(PBH_Lines!K:K,MATCH(PBH_RR!A45,PBH_Lines!M:M,0)),"")))))</f>
        <v/>
      </c>
      <c r="F45" t="str">
        <f>IF(PBH_RR!A45="","",IF(OR(PBH_RR!E45="FH Matrix",PBH_RR!E45="FC Matrix"),PBH_RR!I45,IF(INDEX(SF_Data!F:F,MATCH(PBH_RR!D45,SF_Data!B:B,0))="Greater(FH/FC)",IF(INDEX(SF_Data!M:M,MATCH(PBH_RR!D45,SF_Data!B:B,0))="FH",INDEX(SF_Data!S:S,MATCH(PBH_RR!D45,SF_Data!B:B,0)),""),IF(PBH_RR!E45="Both(FH+FC)",IF(PBH_RR!L45="FH",PBH_RR!I45,""),INDEX(SF_Data!S:S,MATCH(PBH_RR!D45,SF_Data!B:B,0))))))</f>
        <v/>
      </c>
      <c r="G45" t="str">
        <f>IF(PBH_RR!A45="","",IF(OR(PBH_RR!E45="FH Matrix",PBH_RR!E45="FC Matrix"),PBH_RR!J45,IF(INDEX(SF_Data!F:F,MATCH(PBH_RR!D45,SF_Data!B:B,0))="Greater(FH/FC)",IF(INDEX(SF_Data!M:M,MATCH(PBH_RR!D45,SF_Data!B:B,0))="FC",INDEX(SF_Data!T:T,MATCH(PBH_RR!D45,SF_Data!B:B,0)),""),IF(PBH_RR!E45="Both(FH+FC)",IF(PBH_RR!L45="FC",PBH_RR!J45,""),INDEX(SF_Data!T:T,MATCH(PBH_RR!D45,SF_Data!B:B,0))))))</f>
        <v/>
      </c>
      <c r="H45" t="str">
        <f>IF(PBH_RR!A45="","",IF(PBH_RR!E45="Both(FH+FC)",PBH_RR!P45,IF(OR(PBH_RR!E45="FH Matrix",PBH_RR!E45="FC Matrix"),INDEX(PBH_Lines!O:O,MATCH(PBH_RR!A45,PBH_Lines!M:M,0)),INDEX(SF_Data!U:U,MATCH(PBH_RR!D45,SF_Data!B:B,0)))))</f>
        <v/>
      </c>
      <c r="J45" t="str">
        <f t="shared" si="1"/>
        <v/>
      </c>
      <c r="K45" t="str">
        <f t="shared" si="2"/>
        <v/>
      </c>
      <c r="L45" t="str">
        <f t="shared" si="3"/>
        <v/>
      </c>
      <c r="M45" t="str">
        <f t="shared" si="4"/>
        <v/>
      </c>
      <c r="N45" t="str">
        <f t="shared" si="5"/>
        <v/>
      </c>
      <c r="O45" t="str">
        <f t="shared" si="6"/>
        <v/>
      </c>
      <c r="P45" t="str">
        <f t="shared" si="7"/>
        <v/>
      </c>
      <c r="Q45" t="str">
        <f t="shared" si="8"/>
        <v/>
      </c>
    </row>
    <row r="46" spans="1:17" x14ac:dyDescent="0.35">
      <c r="A46" t="str">
        <f>IF(PBH_RR!A46="","",IF(OR(PBH_RR!E46="FH Matrix", PBH_RR!E46="FC Matrix"),PBH_RR!C46,INDEX(SF_Data!D:D, MATCH(PBH_RR!D46, SF_Data!B:B, 0))))</f>
        <v/>
      </c>
      <c r="B46" t="str">
        <f>IF(PBH_RR!A46="","",IF(OR(PBH_RR!E46="FH Matrix",PBH_RR!E46="FC Matrix"),PBH_RR!G46,IF(INDEX(SF_Data!F:F,MATCH(PBH_RR!D46,SF_Data!B:B,0))="Greater(FH/FC)",IF(INDEX(SF_Data!M:M,MATCH(PBH_RR!D46,SF_Data!B:B,0))="FH",INDEX(SF_Data!Q:Q,MATCH(PBH_RR!D46,SF_Data!B:B,0)),""),IF(PBH_RR!E46="Both(FH+FC)",IF(PBH_RR!L46="FH",PBH_RR!G46,""),INDEX(SF_Data!Q:Q,MATCH(PBH_RR!D46,SF_Data!B:B,0))))))</f>
        <v/>
      </c>
      <c r="C46" t="str">
        <f>IF(PBH_RR!A46="","",IF(OR(PBH_RR!E46="FH Matrix",PBH_RR!E46="FC Matrix"),PBH_RR!H46,IF(INDEX(SF_Data!F:F,MATCH(PBH_RR!D46,SF_Data!B:B,0))="Greater(FH/FC)",IF(INDEX(SF_Data!M:M,MATCH(PBH_RR!D46,SF_Data!B:B,0))="FC",INDEX(SF_Data!R:R,MATCH(PBH_RR!D46,SF_Data!B:B,0)),""),IF(PBH_RR!E46="Both(FH+FC)",IF(PBH_RR!L46="FC",PBH_RR!H46,""),INDEX(SF_Data!R:R,MATCH(PBH_RR!D46,SF_Data!B:B,0))))))</f>
        <v/>
      </c>
      <c r="D46" t="str">
        <f>IF(PBH_RR!A46="","",IF(OR(PBH_RR!E46="Hourly",PBH_RR!E46="Cycle"),IF(INDEX(SF_Data!M:M,MATCH(PBH_RR!D46,SF_Data!B:B,0))="FH",INDEX(SF_Data!G:G,MATCH(PBH_RR!D46,SF_Data!B:B,0)),""),IF(PBH_RR!E46="Both(FH+FC)",IF(PBH_RR!L46="FH",PBH_RR!M46-PBH_RR!G46,""),IF(PBH_RR!E46="Greater(FH/FC)",IF(INDEX(SF_Data!M:M,MATCH(PBH_RR!D46,SF_Data!B:B,0))="FH",INDEX(SF_Data!G:G,MATCH(PBH_RR!D46,SF_Data!B:B,0))-INDEX(SF_Data!Q:Q,MATCH(PBH_RR!D46,SF_Data!B:B,0)),""),IF(INDEX(SF_Data!M:M,MATCH(PBH_RR!D46,SF_Data!B:B,0))="FH",INDEX(PBH_Lines!K:K,MATCH(PBH_RR!A46,PBH_Lines!M:M,0)),"")))))</f>
        <v/>
      </c>
      <c r="E46" t="str">
        <f>IF(PBH_RR!A46="","",IF(OR(PBH_RR!E46="Hourly",PBH_RR!E46="Cycle"),IF(INDEX(SF_Data!M:M,MATCH(PBH_RR!D46,SF_Data!B:B,0))="FC",INDEX(SF_Data!G:G,MATCH(PBH_RR!D46,SF_Data!B:B,0)),""),IF(PBH_RR!E46="Both(FH+FC)",IF(PBH_RR!L46="FC",PBH_RR!M46-PBH_RR!H46,""),IF(PBH_RR!E46="Greater(FH/FC)",IF(INDEX(SF_Data!M:M,MATCH(PBH_RR!D46,SF_Data!B:B,0))="FC",INDEX(SF_Data!G:G,MATCH(PBH_RR!D46,SF_Data!B:B,0))-INDEX(SF_Data!R:R,MATCH(PBH_RR!D46,SF_Data!B:B,0)),""),IF(INDEX(SF_Data!M:M,MATCH(PBH_RR!D46,SF_Data!B:B,0))="FC",INDEX(PBH_Lines!K:K,MATCH(PBH_RR!A46,PBH_Lines!M:M,0)),"")))))</f>
        <v/>
      </c>
      <c r="F46" t="str">
        <f>IF(PBH_RR!A46="","",IF(OR(PBH_RR!E46="FH Matrix",PBH_RR!E46="FC Matrix"),PBH_RR!I46,IF(INDEX(SF_Data!F:F,MATCH(PBH_RR!D46,SF_Data!B:B,0))="Greater(FH/FC)",IF(INDEX(SF_Data!M:M,MATCH(PBH_RR!D46,SF_Data!B:B,0))="FH",INDEX(SF_Data!S:S,MATCH(PBH_RR!D46,SF_Data!B:B,0)),""),IF(PBH_RR!E46="Both(FH+FC)",IF(PBH_RR!L46="FH",PBH_RR!I46,""),INDEX(SF_Data!S:S,MATCH(PBH_RR!D46,SF_Data!B:B,0))))))</f>
        <v/>
      </c>
      <c r="G46" t="str">
        <f>IF(PBH_RR!A46="","",IF(OR(PBH_RR!E46="FH Matrix",PBH_RR!E46="FC Matrix"),PBH_RR!J46,IF(INDEX(SF_Data!F:F,MATCH(PBH_RR!D46,SF_Data!B:B,0))="Greater(FH/FC)",IF(INDEX(SF_Data!M:M,MATCH(PBH_RR!D46,SF_Data!B:B,0))="FC",INDEX(SF_Data!T:T,MATCH(PBH_RR!D46,SF_Data!B:B,0)),""),IF(PBH_RR!E46="Both(FH+FC)",IF(PBH_RR!L46="FC",PBH_RR!J46,""),INDEX(SF_Data!T:T,MATCH(PBH_RR!D46,SF_Data!B:B,0))))))</f>
        <v/>
      </c>
      <c r="H46" t="str">
        <f>IF(PBH_RR!A46="","",IF(PBH_RR!E46="Both(FH+FC)",PBH_RR!P46,IF(OR(PBH_RR!E46="FH Matrix",PBH_RR!E46="FC Matrix"),INDEX(PBH_Lines!O:O,MATCH(PBH_RR!A46,PBH_Lines!M:M,0)),INDEX(SF_Data!U:U,MATCH(PBH_RR!D46,SF_Data!B:B,0)))))</f>
        <v/>
      </c>
      <c r="J46" t="str">
        <f t="shared" si="1"/>
        <v/>
      </c>
      <c r="K46" t="str">
        <f t="shared" si="2"/>
        <v/>
      </c>
      <c r="L46" t="str">
        <f t="shared" si="3"/>
        <v/>
      </c>
      <c r="M46" t="str">
        <f t="shared" si="4"/>
        <v/>
      </c>
      <c r="N46" t="str">
        <f t="shared" si="5"/>
        <v/>
      </c>
      <c r="O46" t="str">
        <f t="shared" si="6"/>
        <v/>
      </c>
      <c r="P46" t="str">
        <f t="shared" si="7"/>
        <v/>
      </c>
      <c r="Q46" t="str">
        <f t="shared" si="8"/>
        <v/>
      </c>
    </row>
    <row r="47" spans="1:17" x14ac:dyDescent="0.35">
      <c r="A47" t="str">
        <f>IF(PBH_RR!A47="","",IF(OR(PBH_RR!E47="FH Matrix", PBH_RR!E47="FC Matrix"),PBH_RR!C47,INDEX(SF_Data!D:D, MATCH(PBH_RR!D47, SF_Data!B:B, 0))))</f>
        <v/>
      </c>
      <c r="B47" t="str">
        <f>IF(PBH_RR!A47="","",IF(OR(PBH_RR!E47="FH Matrix",PBH_RR!E47="FC Matrix"),PBH_RR!G47,IF(INDEX(SF_Data!F:F,MATCH(PBH_RR!D47,SF_Data!B:B,0))="Greater(FH/FC)",IF(INDEX(SF_Data!M:M,MATCH(PBH_RR!D47,SF_Data!B:B,0))="FH",INDEX(SF_Data!Q:Q,MATCH(PBH_RR!D47,SF_Data!B:B,0)),""),IF(PBH_RR!E47="Both(FH+FC)",IF(PBH_RR!L47="FH",PBH_RR!G47,""),INDEX(SF_Data!Q:Q,MATCH(PBH_RR!D47,SF_Data!B:B,0))))))</f>
        <v/>
      </c>
      <c r="C47" t="str">
        <f>IF(PBH_RR!A47="","",IF(OR(PBH_RR!E47="FH Matrix",PBH_RR!E47="FC Matrix"),PBH_RR!H47,IF(INDEX(SF_Data!F:F,MATCH(PBH_RR!D47,SF_Data!B:B,0))="Greater(FH/FC)",IF(INDEX(SF_Data!M:M,MATCH(PBH_RR!D47,SF_Data!B:B,0))="FC",INDEX(SF_Data!R:R,MATCH(PBH_RR!D47,SF_Data!B:B,0)),""),IF(PBH_RR!E47="Both(FH+FC)",IF(PBH_RR!L47="FC",PBH_RR!H47,""),INDEX(SF_Data!R:R,MATCH(PBH_RR!D47,SF_Data!B:B,0))))))</f>
        <v/>
      </c>
      <c r="D47" t="str">
        <f>IF(PBH_RR!A47="","",IF(OR(PBH_RR!E47="Hourly",PBH_RR!E47="Cycle"),IF(INDEX(SF_Data!M:M,MATCH(PBH_RR!D47,SF_Data!B:B,0))="FH",INDEX(SF_Data!G:G,MATCH(PBH_RR!D47,SF_Data!B:B,0)),""),IF(PBH_RR!E47="Both(FH+FC)",IF(PBH_RR!L47="FH",PBH_RR!M47-PBH_RR!G47,""),IF(PBH_RR!E47="Greater(FH/FC)",IF(INDEX(SF_Data!M:M,MATCH(PBH_RR!D47,SF_Data!B:B,0))="FH",INDEX(SF_Data!G:G,MATCH(PBH_RR!D47,SF_Data!B:B,0))-INDEX(SF_Data!Q:Q,MATCH(PBH_RR!D47,SF_Data!B:B,0)),""),IF(INDEX(SF_Data!M:M,MATCH(PBH_RR!D47,SF_Data!B:B,0))="FH",INDEX(PBH_Lines!K:K,MATCH(PBH_RR!A47,PBH_Lines!M:M,0)),"")))))</f>
        <v/>
      </c>
      <c r="E47" t="str">
        <f>IF(PBH_RR!A47="","",IF(OR(PBH_RR!E47="Hourly",PBH_RR!E47="Cycle"),IF(INDEX(SF_Data!M:M,MATCH(PBH_RR!D47,SF_Data!B:B,0))="FC",INDEX(SF_Data!G:G,MATCH(PBH_RR!D47,SF_Data!B:B,0)),""),IF(PBH_RR!E47="Both(FH+FC)",IF(PBH_RR!L47="FC",PBH_RR!M47-PBH_RR!H47,""),IF(PBH_RR!E47="Greater(FH/FC)",IF(INDEX(SF_Data!M:M,MATCH(PBH_RR!D47,SF_Data!B:B,0))="FC",INDEX(SF_Data!G:G,MATCH(PBH_RR!D47,SF_Data!B:B,0))-INDEX(SF_Data!R:R,MATCH(PBH_RR!D47,SF_Data!B:B,0)),""),IF(INDEX(SF_Data!M:M,MATCH(PBH_RR!D47,SF_Data!B:B,0))="FC",INDEX(PBH_Lines!K:K,MATCH(PBH_RR!A47,PBH_Lines!M:M,0)),"")))))</f>
        <v/>
      </c>
      <c r="F47" t="str">
        <f>IF(PBH_RR!A47="","",IF(OR(PBH_RR!E47="FH Matrix",PBH_RR!E47="FC Matrix"),PBH_RR!I47,IF(INDEX(SF_Data!F:F,MATCH(PBH_RR!D47,SF_Data!B:B,0))="Greater(FH/FC)",IF(INDEX(SF_Data!M:M,MATCH(PBH_RR!D47,SF_Data!B:B,0))="FH",INDEX(SF_Data!S:S,MATCH(PBH_RR!D47,SF_Data!B:B,0)),""),IF(PBH_RR!E47="Both(FH+FC)",IF(PBH_RR!L47="FH",PBH_RR!I47,""),INDEX(SF_Data!S:S,MATCH(PBH_RR!D47,SF_Data!B:B,0))))))</f>
        <v/>
      </c>
      <c r="G47" t="str">
        <f>IF(PBH_RR!A47="","",IF(OR(PBH_RR!E47="FH Matrix",PBH_RR!E47="FC Matrix"),PBH_RR!J47,IF(INDEX(SF_Data!F:F,MATCH(PBH_RR!D47,SF_Data!B:B,0))="Greater(FH/FC)",IF(INDEX(SF_Data!M:M,MATCH(PBH_RR!D47,SF_Data!B:B,0))="FC",INDEX(SF_Data!T:T,MATCH(PBH_RR!D47,SF_Data!B:B,0)),""),IF(PBH_RR!E47="Both(FH+FC)",IF(PBH_RR!L47="FC",PBH_RR!J47,""),INDEX(SF_Data!T:T,MATCH(PBH_RR!D47,SF_Data!B:B,0))))))</f>
        <v/>
      </c>
      <c r="H47" t="str">
        <f>IF(PBH_RR!A47="","",IF(PBH_RR!E47="Both(FH+FC)",PBH_RR!P47,IF(OR(PBH_RR!E47="FH Matrix",PBH_RR!E47="FC Matrix"),INDEX(PBH_Lines!O:O,MATCH(PBH_RR!A47,PBH_Lines!M:M,0)),INDEX(SF_Data!U:U,MATCH(PBH_RR!D47,SF_Data!B:B,0)))))</f>
        <v/>
      </c>
      <c r="J47" t="str">
        <f t="shared" si="1"/>
        <v/>
      </c>
      <c r="K47" t="str">
        <f t="shared" si="2"/>
        <v/>
      </c>
      <c r="L47" t="str">
        <f t="shared" si="3"/>
        <v/>
      </c>
      <c r="M47" t="str">
        <f t="shared" si="4"/>
        <v/>
      </c>
      <c r="N47" t="str">
        <f t="shared" si="5"/>
        <v/>
      </c>
      <c r="O47" t="str">
        <f t="shared" si="6"/>
        <v/>
      </c>
      <c r="P47" t="str">
        <f t="shared" si="7"/>
        <v/>
      </c>
      <c r="Q47" t="str">
        <f t="shared" si="8"/>
        <v/>
      </c>
    </row>
    <row r="48" spans="1:17" x14ac:dyDescent="0.35">
      <c r="A48" t="str">
        <f>IF(PBH_RR!A48="","",IF(OR(PBH_RR!E48="FH Matrix", PBH_RR!E48="FC Matrix"),PBH_RR!C48,INDEX(SF_Data!D:D, MATCH(PBH_RR!D48, SF_Data!B:B, 0))))</f>
        <v/>
      </c>
      <c r="B48" t="str">
        <f>IF(PBH_RR!A48="","",IF(OR(PBH_RR!E48="FH Matrix",PBH_RR!E48="FC Matrix"),PBH_RR!G48,IF(INDEX(SF_Data!F:F,MATCH(PBH_RR!D48,SF_Data!B:B,0))="Greater(FH/FC)",IF(INDEX(SF_Data!M:M,MATCH(PBH_RR!D48,SF_Data!B:B,0))="FH",INDEX(SF_Data!Q:Q,MATCH(PBH_RR!D48,SF_Data!B:B,0)),""),IF(PBH_RR!E48="Both(FH+FC)",IF(PBH_RR!L48="FH",PBH_RR!G48,""),INDEX(SF_Data!Q:Q,MATCH(PBH_RR!D48,SF_Data!B:B,0))))))</f>
        <v/>
      </c>
      <c r="C48" t="str">
        <f>IF(PBH_RR!A48="","",IF(OR(PBH_RR!E48="FH Matrix",PBH_RR!E48="FC Matrix"),PBH_RR!H48,IF(INDEX(SF_Data!F:F,MATCH(PBH_RR!D48,SF_Data!B:B,0))="Greater(FH/FC)",IF(INDEX(SF_Data!M:M,MATCH(PBH_RR!D48,SF_Data!B:B,0))="FC",INDEX(SF_Data!R:R,MATCH(PBH_RR!D48,SF_Data!B:B,0)),""),IF(PBH_RR!E48="Both(FH+FC)",IF(PBH_RR!L48="FC",PBH_RR!H48,""),INDEX(SF_Data!R:R,MATCH(PBH_RR!D48,SF_Data!B:B,0))))))</f>
        <v/>
      </c>
      <c r="D48" t="str">
        <f>IF(PBH_RR!A48="","",IF(OR(PBH_RR!E48="Hourly",PBH_RR!E48="Cycle"),IF(INDEX(SF_Data!M:M,MATCH(PBH_RR!D48,SF_Data!B:B,0))="FH",INDEX(SF_Data!G:G,MATCH(PBH_RR!D48,SF_Data!B:B,0)),""),IF(PBH_RR!E48="Both(FH+FC)",IF(PBH_RR!L48="FH",PBH_RR!M48-PBH_RR!G48,""),IF(PBH_RR!E48="Greater(FH/FC)",IF(INDEX(SF_Data!M:M,MATCH(PBH_RR!D48,SF_Data!B:B,0))="FH",INDEX(SF_Data!G:G,MATCH(PBH_RR!D48,SF_Data!B:B,0))-INDEX(SF_Data!Q:Q,MATCH(PBH_RR!D48,SF_Data!B:B,0)),""),IF(INDEX(SF_Data!M:M,MATCH(PBH_RR!D48,SF_Data!B:B,0))="FH",INDEX(PBH_Lines!K:K,MATCH(PBH_RR!A48,PBH_Lines!M:M,0)),"")))))</f>
        <v/>
      </c>
      <c r="E48" t="str">
        <f>IF(PBH_RR!A48="","",IF(OR(PBH_RR!E48="Hourly",PBH_RR!E48="Cycle"),IF(INDEX(SF_Data!M:M,MATCH(PBH_RR!D48,SF_Data!B:B,0))="FC",INDEX(SF_Data!G:G,MATCH(PBH_RR!D48,SF_Data!B:B,0)),""),IF(PBH_RR!E48="Both(FH+FC)",IF(PBH_RR!L48="FC",PBH_RR!M48-PBH_RR!H48,""),IF(PBH_RR!E48="Greater(FH/FC)",IF(INDEX(SF_Data!M:M,MATCH(PBH_RR!D48,SF_Data!B:B,0))="FC",INDEX(SF_Data!G:G,MATCH(PBH_RR!D48,SF_Data!B:B,0))-INDEX(SF_Data!R:R,MATCH(PBH_RR!D48,SF_Data!B:B,0)),""),IF(INDEX(SF_Data!M:M,MATCH(PBH_RR!D48,SF_Data!B:B,0))="FC",INDEX(PBH_Lines!K:K,MATCH(PBH_RR!A48,PBH_Lines!M:M,0)),"")))))</f>
        <v/>
      </c>
      <c r="F48" t="str">
        <f>IF(PBH_RR!A48="","",IF(OR(PBH_RR!E48="FH Matrix",PBH_RR!E48="FC Matrix"),PBH_RR!I48,IF(INDEX(SF_Data!F:F,MATCH(PBH_RR!D48,SF_Data!B:B,0))="Greater(FH/FC)",IF(INDEX(SF_Data!M:M,MATCH(PBH_RR!D48,SF_Data!B:B,0))="FH",INDEX(SF_Data!S:S,MATCH(PBH_RR!D48,SF_Data!B:B,0)),""),IF(PBH_RR!E48="Both(FH+FC)",IF(PBH_RR!L48="FH",PBH_RR!I48,""),INDEX(SF_Data!S:S,MATCH(PBH_RR!D48,SF_Data!B:B,0))))))</f>
        <v/>
      </c>
      <c r="G48" t="str">
        <f>IF(PBH_RR!A48="","",IF(OR(PBH_RR!E48="FH Matrix",PBH_RR!E48="FC Matrix"),PBH_RR!J48,IF(INDEX(SF_Data!F:F,MATCH(PBH_RR!D48,SF_Data!B:B,0))="Greater(FH/FC)",IF(INDEX(SF_Data!M:M,MATCH(PBH_RR!D48,SF_Data!B:B,0))="FC",INDEX(SF_Data!T:T,MATCH(PBH_RR!D48,SF_Data!B:B,0)),""),IF(PBH_RR!E48="Both(FH+FC)",IF(PBH_RR!L48="FC",PBH_RR!J48,""),INDEX(SF_Data!T:T,MATCH(PBH_RR!D48,SF_Data!B:B,0))))))</f>
        <v/>
      </c>
      <c r="H48" t="str">
        <f>IF(PBH_RR!A48="","",IF(PBH_RR!E48="Both(FH+FC)",PBH_RR!P48,IF(OR(PBH_RR!E48="FH Matrix",PBH_RR!E48="FC Matrix"),INDEX(PBH_Lines!O:O,MATCH(PBH_RR!A48,PBH_Lines!M:M,0)),INDEX(SF_Data!U:U,MATCH(PBH_RR!D48,SF_Data!B:B,0)))))</f>
        <v/>
      </c>
      <c r="J48" t="str">
        <f t="shared" si="1"/>
        <v/>
      </c>
      <c r="K48" t="str">
        <f t="shared" si="2"/>
        <v/>
      </c>
      <c r="L48" t="str">
        <f t="shared" si="3"/>
        <v/>
      </c>
      <c r="M48" t="str">
        <f t="shared" si="4"/>
        <v/>
      </c>
      <c r="N48" t="str">
        <f t="shared" si="5"/>
        <v/>
      </c>
      <c r="O48" t="str">
        <f t="shared" si="6"/>
        <v/>
      </c>
      <c r="P48" t="str">
        <f t="shared" si="7"/>
        <v/>
      </c>
      <c r="Q48" t="str">
        <f t="shared" si="8"/>
        <v/>
      </c>
    </row>
    <row r="49" spans="1:17" x14ac:dyDescent="0.35">
      <c r="A49" t="str">
        <f>IF(PBH_RR!A49="","",IF(OR(PBH_RR!E49="FH Matrix", PBH_RR!E49="FC Matrix"),PBH_RR!C49,INDEX(SF_Data!D:D, MATCH(PBH_RR!D49, SF_Data!B:B, 0))))</f>
        <v/>
      </c>
      <c r="B49" t="str">
        <f>IF(PBH_RR!A49="","",IF(OR(PBH_RR!E49="FH Matrix",PBH_RR!E49="FC Matrix"),PBH_RR!G49,IF(INDEX(SF_Data!F:F,MATCH(PBH_RR!D49,SF_Data!B:B,0))="Greater(FH/FC)",IF(INDEX(SF_Data!M:M,MATCH(PBH_RR!D49,SF_Data!B:B,0))="FH",INDEX(SF_Data!Q:Q,MATCH(PBH_RR!D49,SF_Data!B:B,0)),""),IF(PBH_RR!E49="Both(FH+FC)",IF(PBH_RR!L49="FH",PBH_RR!G49,""),INDEX(SF_Data!Q:Q,MATCH(PBH_RR!D49,SF_Data!B:B,0))))))</f>
        <v/>
      </c>
      <c r="C49" t="str">
        <f>IF(PBH_RR!A49="","",IF(OR(PBH_RR!E49="FH Matrix",PBH_RR!E49="FC Matrix"),PBH_RR!H49,IF(INDEX(SF_Data!F:F,MATCH(PBH_RR!D49,SF_Data!B:B,0))="Greater(FH/FC)",IF(INDEX(SF_Data!M:M,MATCH(PBH_RR!D49,SF_Data!B:B,0))="FC",INDEX(SF_Data!R:R,MATCH(PBH_RR!D49,SF_Data!B:B,0)),""),IF(PBH_RR!E49="Both(FH+FC)",IF(PBH_RR!L49="FC",PBH_RR!H49,""),INDEX(SF_Data!R:R,MATCH(PBH_RR!D49,SF_Data!B:B,0))))))</f>
        <v/>
      </c>
      <c r="D49" t="str">
        <f>IF(PBH_RR!A49="","",IF(OR(PBH_RR!E49="Hourly",PBH_RR!E49="Cycle"),IF(INDEX(SF_Data!M:M,MATCH(PBH_RR!D49,SF_Data!B:B,0))="FH",INDEX(SF_Data!G:G,MATCH(PBH_RR!D49,SF_Data!B:B,0)),""),IF(PBH_RR!E49="Both(FH+FC)",IF(PBH_RR!L49="FH",PBH_RR!M49-PBH_RR!G49,""),IF(PBH_RR!E49="Greater(FH/FC)",IF(INDEX(SF_Data!M:M,MATCH(PBH_RR!D49,SF_Data!B:B,0))="FH",INDEX(SF_Data!G:G,MATCH(PBH_RR!D49,SF_Data!B:B,0))-INDEX(SF_Data!Q:Q,MATCH(PBH_RR!D49,SF_Data!B:B,0)),""),IF(INDEX(SF_Data!M:M,MATCH(PBH_RR!D49,SF_Data!B:B,0))="FH",INDEX(PBH_Lines!K:K,MATCH(PBH_RR!A49,PBH_Lines!M:M,0)),"")))))</f>
        <v/>
      </c>
      <c r="E49" t="str">
        <f>IF(PBH_RR!A49="","",IF(OR(PBH_RR!E49="Hourly",PBH_RR!E49="Cycle"),IF(INDEX(SF_Data!M:M,MATCH(PBH_RR!D49,SF_Data!B:B,0))="FC",INDEX(SF_Data!G:G,MATCH(PBH_RR!D49,SF_Data!B:B,0)),""),IF(PBH_RR!E49="Both(FH+FC)",IF(PBH_RR!L49="FC",PBH_RR!M49-PBH_RR!H49,""),IF(PBH_RR!E49="Greater(FH/FC)",IF(INDEX(SF_Data!M:M,MATCH(PBH_RR!D49,SF_Data!B:B,0))="FC",INDEX(SF_Data!G:G,MATCH(PBH_RR!D49,SF_Data!B:B,0))-INDEX(SF_Data!R:R,MATCH(PBH_RR!D49,SF_Data!B:B,0)),""),IF(INDEX(SF_Data!M:M,MATCH(PBH_RR!D49,SF_Data!B:B,0))="FC",INDEX(PBH_Lines!K:K,MATCH(PBH_RR!A49,PBH_Lines!M:M,0)),"")))))</f>
        <v/>
      </c>
      <c r="F49" t="str">
        <f>IF(PBH_RR!A49="","",IF(OR(PBH_RR!E49="FH Matrix",PBH_RR!E49="FC Matrix"),PBH_RR!I49,IF(INDEX(SF_Data!F:F,MATCH(PBH_RR!D49,SF_Data!B:B,0))="Greater(FH/FC)",IF(INDEX(SF_Data!M:M,MATCH(PBH_RR!D49,SF_Data!B:B,0))="FH",INDEX(SF_Data!S:S,MATCH(PBH_RR!D49,SF_Data!B:B,0)),""),IF(PBH_RR!E49="Both(FH+FC)",IF(PBH_RR!L49="FH",PBH_RR!I49,""),INDEX(SF_Data!S:S,MATCH(PBH_RR!D49,SF_Data!B:B,0))))))</f>
        <v/>
      </c>
      <c r="G49" t="str">
        <f>IF(PBH_RR!A49="","",IF(OR(PBH_RR!E49="FH Matrix",PBH_RR!E49="FC Matrix"),PBH_RR!J49,IF(INDEX(SF_Data!F:F,MATCH(PBH_RR!D49,SF_Data!B:B,0))="Greater(FH/FC)",IF(INDEX(SF_Data!M:M,MATCH(PBH_RR!D49,SF_Data!B:B,0))="FC",INDEX(SF_Data!T:T,MATCH(PBH_RR!D49,SF_Data!B:B,0)),""),IF(PBH_RR!E49="Both(FH+FC)",IF(PBH_RR!L49="FC",PBH_RR!J49,""),INDEX(SF_Data!T:T,MATCH(PBH_RR!D49,SF_Data!B:B,0))))))</f>
        <v/>
      </c>
      <c r="H49" t="str">
        <f>IF(PBH_RR!A49="","",IF(PBH_RR!E49="Both(FH+FC)",PBH_RR!P49,IF(OR(PBH_RR!E49="FH Matrix",PBH_RR!E49="FC Matrix"),INDEX(PBH_Lines!O:O,MATCH(PBH_RR!A49,PBH_Lines!M:M,0)),INDEX(SF_Data!U:U,MATCH(PBH_RR!D49,SF_Data!B:B,0)))))</f>
        <v/>
      </c>
      <c r="J49" t="str">
        <f t="shared" si="1"/>
        <v/>
      </c>
      <c r="K49" t="str">
        <f t="shared" si="2"/>
        <v/>
      </c>
      <c r="L49" t="str">
        <f t="shared" si="3"/>
        <v/>
      </c>
      <c r="M49" t="str">
        <f t="shared" si="4"/>
        <v/>
      </c>
      <c r="N49" t="str">
        <f t="shared" si="5"/>
        <v/>
      </c>
      <c r="O49" t="str">
        <f t="shared" si="6"/>
        <v/>
      </c>
      <c r="P49" t="str">
        <f t="shared" si="7"/>
        <v/>
      </c>
      <c r="Q49" t="str">
        <f t="shared" si="8"/>
        <v/>
      </c>
    </row>
    <row r="50" spans="1:17" x14ac:dyDescent="0.35">
      <c r="A50" t="str">
        <f>IF(PBH_RR!A50="","",IF(OR(PBH_RR!E50="FH Matrix", PBH_RR!E50="FC Matrix"),PBH_RR!C50,INDEX(SF_Data!D:D, MATCH(PBH_RR!D50, SF_Data!B:B, 0))))</f>
        <v/>
      </c>
      <c r="B50" t="str">
        <f>IF(PBH_RR!A50="","",IF(OR(PBH_RR!E50="FH Matrix",PBH_RR!E50="FC Matrix"),PBH_RR!G50,IF(INDEX(SF_Data!F:F,MATCH(PBH_RR!D50,SF_Data!B:B,0))="Greater(FH/FC)",IF(INDEX(SF_Data!M:M,MATCH(PBH_RR!D50,SF_Data!B:B,0))="FH",INDEX(SF_Data!Q:Q,MATCH(PBH_RR!D50,SF_Data!B:B,0)),""),IF(PBH_RR!E50="Both(FH+FC)",IF(PBH_RR!L50="FH",PBH_RR!G50,""),INDEX(SF_Data!Q:Q,MATCH(PBH_RR!D50,SF_Data!B:B,0))))))</f>
        <v/>
      </c>
      <c r="C50" t="str">
        <f>IF(PBH_RR!A50="","",IF(OR(PBH_RR!E50="FH Matrix",PBH_RR!E50="FC Matrix"),PBH_RR!H50,IF(INDEX(SF_Data!F:F,MATCH(PBH_RR!D50,SF_Data!B:B,0))="Greater(FH/FC)",IF(INDEX(SF_Data!M:M,MATCH(PBH_RR!D50,SF_Data!B:B,0))="FC",INDEX(SF_Data!R:R,MATCH(PBH_RR!D50,SF_Data!B:B,0)),""),IF(PBH_RR!E50="Both(FH+FC)",IF(PBH_RR!L50="FC",PBH_RR!H50,""),INDEX(SF_Data!R:R,MATCH(PBH_RR!D50,SF_Data!B:B,0))))))</f>
        <v/>
      </c>
      <c r="D50" t="str">
        <f>IF(PBH_RR!A50="","",IF(OR(PBH_RR!E50="Hourly",PBH_RR!E50="Cycle"),IF(INDEX(SF_Data!M:M,MATCH(PBH_RR!D50,SF_Data!B:B,0))="FH",INDEX(SF_Data!G:G,MATCH(PBH_RR!D50,SF_Data!B:B,0)),""),IF(PBH_RR!E50="Both(FH+FC)",IF(PBH_RR!L50="FH",PBH_RR!M50-PBH_RR!G50,""),IF(PBH_RR!E50="Greater(FH/FC)",IF(INDEX(SF_Data!M:M,MATCH(PBH_RR!D50,SF_Data!B:B,0))="FH",INDEX(SF_Data!G:G,MATCH(PBH_RR!D50,SF_Data!B:B,0))-INDEX(SF_Data!Q:Q,MATCH(PBH_RR!D50,SF_Data!B:B,0)),""),IF(INDEX(SF_Data!M:M,MATCH(PBH_RR!D50,SF_Data!B:B,0))="FH",INDEX(PBH_Lines!K:K,MATCH(PBH_RR!A50,PBH_Lines!M:M,0)),"")))))</f>
        <v/>
      </c>
      <c r="E50" t="str">
        <f>IF(PBH_RR!A50="","",IF(OR(PBH_RR!E50="Hourly",PBH_RR!E50="Cycle"),IF(INDEX(SF_Data!M:M,MATCH(PBH_RR!D50,SF_Data!B:B,0))="FC",INDEX(SF_Data!G:G,MATCH(PBH_RR!D50,SF_Data!B:B,0)),""),IF(PBH_RR!E50="Both(FH+FC)",IF(PBH_RR!L50="FC",PBH_RR!M50-PBH_RR!H50,""),IF(PBH_RR!E50="Greater(FH/FC)",IF(INDEX(SF_Data!M:M,MATCH(PBH_RR!D50,SF_Data!B:B,0))="FC",INDEX(SF_Data!G:G,MATCH(PBH_RR!D50,SF_Data!B:B,0))-INDEX(SF_Data!R:R,MATCH(PBH_RR!D50,SF_Data!B:B,0)),""),IF(INDEX(SF_Data!M:M,MATCH(PBH_RR!D50,SF_Data!B:B,0))="FC",INDEX(PBH_Lines!K:K,MATCH(PBH_RR!A50,PBH_Lines!M:M,0)),"")))))</f>
        <v/>
      </c>
      <c r="F50" t="str">
        <f>IF(PBH_RR!A50="","",IF(OR(PBH_RR!E50="FH Matrix",PBH_RR!E50="FC Matrix"),PBH_RR!I50,IF(INDEX(SF_Data!F:F,MATCH(PBH_RR!D50,SF_Data!B:B,0))="Greater(FH/FC)",IF(INDEX(SF_Data!M:M,MATCH(PBH_RR!D50,SF_Data!B:B,0))="FH",INDEX(SF_Data!S:S,MATCH(PBH_RR!D50,SF_Data!B:B,0)),""),IF(PBH_RR!E50="Both(FH+FC)",IF(PBH_RR!L50="FH",PBH_RR!I50,""),INDEX(SF_Data!S:S,MATCH(PBH_RR!D50,SF_Data!B:B,0))))))</f>
        <v/>
      </c>
      <c r="G50" t="str">
        <f>IF(PBH_RR!A50="","",IF(OR(PBH_RR!E50="FH Matrix",PBH_RR!E50="FC Matrix"),PBH_RR!J50,IF(INDEX(SF_Data!F:F,MATCH(PBH_RR!D50,SF_Data!B:B,0))="Greater(FH/FC)",IF(INDEX(SF_Data!M:M,MATCH(PBH_RR!D50,SF_Data!B:B,0))="FC",INDEX(SF_Data!T:T,MATCH(PBH_RR!D50,SF_Data!B:B,0)),""),IF(PBH_RR!E50="Both(FH+FC)",IF(PBH_RR!L50="FC",PBH_RR!J50,""),INDEX(SF_Data!T:T,MATCH(PBH_RR!D50,SF_Data!B:B,0))))))</f>
        <v/>
      </c>
      <c r="H50" t="str">
        <f>IF(PBH_RR!A50="","",IF(PBH_RR!E50="Both(FH+FC)",PBH_RR!P50,IF(OR(PBH_RR!E50="FH Matrix",PBH_RR!E50="FC Matrix"),INDEX(PBH_Lines!O:O,MATCH(PBH_RR!A50,PBH_Lines!M:M,0)),INDEX(SF_Data!U:U,MATCH(PBH_RR!D50,SF_Data!B:B,0)))))</f>
        <v/>
      </c>
      <c r="J50" t="str">
        <f t="shared" si="1"/>
        <v/>
      </c>
      <c r="K50" t="str">
        <f t="shared" si="2"/>
        <v/>
      </c>
      <c r="L50" t="str">
        <f t="shared" si="3"/>
        <v/>
      </c>
      <c r="M50" t="str">
        <f t="shared" si="4"/>
        <v/>
      </c>
      <c r="N50" t="str">
        <f t="shared" si="5"/>
        <v/>
      </c>
      <c r="O50" t="str">
        <f t="shared" si="6"/>
        <v/>
      </c>
      <c r="P50" t="str">
        <f t="shared" si="7"/>
        <v/>
      </c>
      <c r="Q50" t="str">
        <f t="shared" si="8"/>
        <v/>
      </c>
    </row>
    <row r="51" spans="1:17" x14ac:dyDescent="0.35">
      <c r="A51" t="str">
        <f>IF(PBH_RR!A51="","",IF(OR(PBH_RR!E51="FH Matrix", PBH_RR!E51="FC Matrix"),PBH_RR!C51,INDEX(SF_Data!D:D, MATCH(PBH_RR!D51, SF_Data!B:B, 0))))</f>
        <v/>
      </c>
      <c r="B51" t="str">
        <f>IF(PBH_RR!A51="","",IF(OR(PBH_RR!E51="FH Matrix",PBH_RR!E51="FC Matrix"),PBH_RR!G51,IF(INDEX(SF_Data!F:F,MATCH(PBH_RR!D51,SF_Data!B:B,0))="Greater(FH/FC)",IF(INDEX(SF_Data!M:M,MATCH(PBH_RR!D51,SF_Data!B:B,0))="FH",INDEX(SF_Data!Q:Q,MATCH(PBH_RR!D51,SF_Data!B:B,0)),""),IF(PBH_RR!E51="Both(FH+FC)",IF(PBH_RR!L51="FH",PBH_RR!G51,""),INDEX(SF_Data!Q:Q,MATCH(PBH_RR!D51,SF_Data!B:B,0))))))</f>
        <v/>
      </c>
      <c r="C51" t="str">
        <f>IF(PBH_RR!A51="","",IF(OR(PBH_RR!E51="FH Matrix",PBH_RR!E51="FC Matrix"),PBH_RR!H51,IF(INDEX(SF_Data!F:F,MATCH(PBH_RR!D51,SF_Data!B:B,0))="Greater(FH/FC)",IF(INDEX(SF_Data!M:M,MATCH(PBH_RR!D51,SF_Data!B:B,0))="FC",INDEX(SF_Data!R:R,MATCH(PBH_RR!D51,SF_Data!B:B,0)),""),IF(PBH_RR!E51="Both(FH+FC)",IF(PBH_RR!L51="FC",PBH_RR!H51,""),INDEX(SF_Data!R:R,MATCH(PBH_RR!D51,SF_Data!B:B,0))))))</f>
        <v/>
      </c>
      <c r="D51" t="str">
        <f>IF(PBH_RR!A51="","",IF(OR(PBH_RR!E51="Hourly",PBH_RR!E51="Cycle"),IF(INDEX(SF_Data!M:M,MATCH(PBH_RR!D51,SF_Data!B:B,0))="FH",INDEX(SF_Data!G:G,MATCH(PBH_RR!D51,SF_Data!B:B,0)),""),IF(PBH_RR!E51="Both(FH+FC)",IF(PBH_RR!L51="FH",PBH_RR!M51-PBH_RR!G51,""),IF(PBH_RR!E51="Greater(FH/FC)",IF(INDEX(SF_Data!M:M,MATCH(PBH_RR!D51,SF_Data!B:B,0))="FH",INDEX(SF_Data!G:G,MATCH(PBH_RR!D51,SF_Data!B:B,0))-INDEX(SF_Data!Q:Q,MATCH(PBH_RR!D51,SF_Data!B:B,0)),""),IF(INDEX(SF_Data!M:M,MATCH(PBH_RR!D51,SF_Data!B:B,0))="FH",INDEX(PBH_Lines!K:K,MATCH(PBH_RR!A51,PBH_Lines!M:M,0)),"")))))</f>
        <v/>
      </c>
      <c r="E51" t="str">
        <f>IF(PBH_RR!A51="","",IF(OR(PBH_RR!E51="Hourly",PBH_RR!E51="Cycle"),IF(INDEX(SF_Data!M:M,MATCH(PBH_RR!D51,SF_Data!B:B,0))="FC",INDEX(SF_Data!G:G,MATCH(PBH_RR!D51,SF_Data!B:B,0)),""),IF(PBH_RR!E51="Both(FH+FC)",IF(PBH_RR!L51="FC",PBH_RR!M51-PBH_RR!H51,""),IF(PBH_RR!E51="Greater(FH/FC)",IF(INDEX(SF_Data!M:M,MATCH(PBH_RR!D51,SF_Data!B:B,0))="FC",INDEX(SF_Data!G:G,MATCH(PBH_RR!D51,SF_Data!B:B,0))-INDEX(SF_Data!R:R,MATCH(PBH_RR!D51,SF_Data!B:B,0)),""),IF(INDEX(SF_Data!M:M,MATCH(PBH_RR!D51,SF_Data!B:B,0))="FC",INDEX(PBH_Lines!K:K,MATCH(PBH_RR!A51,PBH_Lines!M:M,0)),"")))))</f>
        <v/>
      </c>
      <c r="F51" t="str">
        <f>IF(PBH_RR!A51="","",IF(OR(PBH_RR!E51="FH Matrix",PBH_RR!E51="FC Matrix"),PBH_RR!I51,IF(INDEX(SF_Data!F:F,MATCH(PBH_RR!D51,SF_Data!B:B,0))="Greater(FH/FC)",IF(INDEX(SF_Data!M:M,MATCH(PBH_RR!D51,SF_Data!B:B,0))="FH",INDEX(SF_Data!S:S,MATCH(PBH_RR!D51,SF_Data!B:B,0)),""),IF(PBH_RR!E51="Both(FH+FC)",IF(PBH_RR!L51="FH",PBH_RR!I51,""),INDEX(SF_Data!S:S,MATCH(PBH_RR!D51,SF_Data!B:B,0))))))</f>
        <v/>
      </c>
      <c r="G51" t="str">
        <f>IF(PBH_RR!A51="","",IF(OR(PBH_RR!E51="FH Matrix",PBH_RR!E51="FC Matrix"),PBH_RR!J51,IF(INDEX(SF_Data!F:F,MATCH(PBH_RR!D51,SF_Data!B:B,0))="Greater(FH/FC)",IF(INDEX(SF_Data!M:M,MATCH(PBH_RR!D51,SF_Data!B:B,0))="FC",INDEX(SF_Data!T:T,MATCH(PBH_RR!D51,SF_Data!B:B,0)),""),IF(PBH_RR!E51="Both(FH+FC)",IF(PBH_RR!L51="FC",PBH_RR!J51,""),INDEX(SF_Data!T:T,MATCH(PBH_RR!D51,SF_Data!B:B,0))))))</f>
        <v/>
      </c>
      <c r="H51" t="str">
        <f>IF(PBH_RR!A51="","",IF(PBH_RR!E51="Both(FH+FC)",PBH_RR!P51,IF(OR(PBH_RR!E51="FH Matrix",PBH_RR!E51="FC Matrix"),INDEX(PBH_Lines!O:O,MATCH(PBH_RR!A51,PBH_Lines!M:M,0)),INDEX(SF_Data!U:U,MATCH(PBH_RR!D51,SF_Data!B:B,0)))))</f>
        <v/>
      </c>
      <c r="J51" t="str">
        <f t="shared" si="1"/>
        <v/>
      </c>
      <c r="K51" t="str">
        <f t="shared" si="2"/>
        <v/>
      </c>
      <c r="L51" t="str">
        <f t="shared" si="3"/>
        <v/>
      </c>
      <c r="M51" t="str">
        <f t="shared" si="4"/>
        <v/>
      </c>
      <c r="N51" t="str">
        <f t="shared" si="5"/>
        <v/>
      </c>
      <c r="O51" t="str">
        <f t="shared" si="6"/>
        <v/>
      </c>
      <c r="P51" t="str">
        <f t="shared" si="7"/>
        <v/>
      </c>
      <c r="Q51" t="str">
        <f t="shared" si="8"/>
        <v/>
      </c>
    </row>
    <row r="52" spans="1:17" x14ac:dyDescent="0.35">
      <c r="A52" t="str">
        <f>IF(PBH_RR!A52="","",IF(OR(PBH_RR!E52="FH Matrix", PBH_RR!E52="FC Matrix"),PBH_RR!C52,INDEX(SF_Data!D:D, MATCH(PBH_RR!D52, SF_Data!B:B, 0))))</f>
        <v/>
      </c>
      <c r="B52" t="str">
        <f>IF(PBH_RR!A52="","",IF(OR(PBH_RR!E52="FH Matrix",PBH_RR!E52="FC Matrix"),PBH_RR!G52,IF(INDEX(SF_Data!F:F,MATCH(PBH_RR!D52,SF_Data!B:B,0))="Greater(FH/FC)",IF(INDEX(SF_Data!M:M,MATCH(PBH_RR!D52,SF_Data!B:B,0))="FH",INDEX(SF_Data!Q:Q,MATCH(PBH_RR!D52,SF_Data!B:B,0)),""),IF(PBH_RR!E52="Both(FH+FC)",IF(PBH_RR!L52="FH",PBH_RR!G52,""),INDEX(SF_Data!Q:Q,MATCH(PBH_RR!D52,SF_Data!B:B,0))))))</f>
        <v/>
      </c>
      <c r="C52" t="str">
        <f>IF(PBH_RR!A52="","",IF(OR(PBH_RR!E52="FH Matrix",PBH_RR!E52="FC Matrix"),PBH_RR!H52,IF(INDEX(SF_Data!F:F,MATCH(PBH_RR!D52,SF_Data!B:B,0))="Greater(FH/FC)",IF(INDEX(SF_Data!M:M,MATCH(PBH_RR!D52,SF_Data!B:B,0))="FC",INDEX(SF_Data!R:R,MATCH(PBH_RR!D52,SF_Data!B:B,0)),""),IF(PBH_RR!E52="Both(FH+FC)",IF(PBH_RR!L52="FC",PBH_RR!H52,""),INDEX(SF_Data!R:R,MATCH(PBH_RR!D52,SF_Data!B:B,0))))))</f>
        <v/>
      </c>
      <c r="D52" t="str">
        <f>IF(PBH_RR!A52="","",IF(OR(PBH_RR!E52="Hourly",PBH_RR!E52="Cycle"),IF(INDEX(SF_Data!M:M,MATCH(PBH_RR!D52,SF_Data!B:B,0))="FH",INDEX(SF_Data!G:G,MATCH(PBH_RR!D52,SF_Data!B:B,0)),""),IF(PBH_RR!E52="Both(FH+FC)",IF(PBH_RR!L52="FH",PBH_RR!M52-PBH_RR!G52,""),IF(PBH_RR!E52="Greater(FH/FC)",IF(INDEX(SF_Data!M:M,MATCH(PBH_RR!D52,SF_Data!B:B,0))="FH",INDEX(SF_Data!G:G,MATCH(PBH_RR!D52,SF_Data!B:B,0))-INDEX(SF_Data!Q:Q,MATCH(PBH_RR!D52,SF_Data!B:B,0)),""),IF(INDEX(SF_Data!M:M,MATCH(PBH_RR!D52,SF_Data!B:B,0))="FH",INDEX(PBH_Lines!K:K,MATCH(PBH_RR!A52,PBH_Lines!M:M,0)),"")))))</f>
        <v/>
      </c>
      <c r="E52" t="str">
        <f>IF(PBH_RR!A52="","",IF(OR(PBH_RR!E52="Hourly",PBH_RR!E52="Cycle"),IF(INDEX(SF_Data!M:M,MATCH(PBH_RR!D52,SF_Data!B:B,0))="FC",INDEX(SF_Data!G:G,MATCH(PBH_RR!D52,SF_Data!B:B,0)),""),IF(PBH_RR!E52="Both(FH+FC)",IF(PBH_RR!L52="FC",PBH_RR!M52-PBH_RR!H52,""),IF(PBH_RR!E52="Greater(FH/FC)",IF(INDEX(SF_Data!M:M,MATCH(PBH_RR!D52,SF_Data!B:B,0))="FC",INDEX(SF_Data!G:G,MATCH(PBH_RR!D52,SF_Data!B:B,0))-INDEX(SF_Data!R:R,MATCH(PBH_RR!D52,SF_Data!B:B,0)),""),IF(INDEX(SF_Data!M:M,MATCH(PBH_RR!D52,SF_Data!B:B,0))="FC",INDEX(PBH_Lines!K:K,MATCH(PBH_RR!A52,PBH_Lines!M:M,0)),"")))))</f>
        <v/>
      </c>
      <c r="F52" t="str">
        <f>IF(PBH_RR!A52="","",IF(OR(PBH_RR!E52="FH Matrix",PBH_RR!E52="FC Matrix"),PBH_RR!I52,IF(INDEX(SF_Data!F:F,MATCH(PBH_RR!D52,SF_Data!B:B,0))="Greater(FH/FC)",IF(INDEX(SF_Data!M:M,MATCH(PBH_RR!D52,SF_Data!B:B,0))="FH",INDEX(SF_Data!S:S,MATCH(PBH_RR!D52,SF_Data!B:B,0)),""),IF(PBH_RR!E52="Both(FH+FC)",IF(PBH_RR!L52="FH",PBH_RR!I52,""),INDEX(SF_Data!S:S,MATCH(PBH_RR!D52,SF_Data!B:B,0))))))</f>
        <v/>
      </c>
      <c r="G52" t="str">
        <f>IF(PBH_RR!A52="","",IF(OR(PBH_RR!E52="FH Matrix",PBH_RR!E52="FC Matrix"),PBH_RR!J52,IF(INDEX(SF_Data!F:F,MATCH(PBH_RR!D52,SF_Data!B:B,0))="Greater(FH/FC)",IF(INDEX(SF_Data!M:M,MATCH(PBH_RR!D52,SF_Data!B:B,0))="FC",INDEX(SF_Data!T:T,MATCH(PBH_RR!D52,SF_Data!B:B,0)),""),IF(PBH_RR!E52="Both(FH+FC)",IF(PBH_RR!L52="FC",PBH_RR!J52,""),INDEX(SF_Data!T:T,MATCH(PBH_RR!D52,SF_Data!B:B,0))))))</f>
        <v/>
      </c>
      <c r="H52" t="str">
        <f>IF(PBH_RR!A52="","",IF(PBH_RR!E52="Both(FH+FC)",PBH_RR!P52,IF(OR(PBH_RR!E52="FH Matrix",PBH_RR!E52="FC Matrix"),INDEX(PBH_Lines!O:O,MATCH(PBH_RR!A52,PBH_Lines!M:M,0)),INDEX(SF_Data!U:U,MATCH(PBH_RR!D52,SF_Data!B:B,0)))))</f>
        <v/>
      </c>
      <c r="J52" t="str">
        <f t="shared" si="1"/>
        <v/>
      </c>
      <c r="K52" t="str">
        <f t="shared" si="2"/>
        <v/>
      </c>
      <c r="L52" t="str">
        <f t="shared" si="3"/>
        <v/>
      </c>
      <c r="M52" t="str">
        <f t="shared" si="4"/>
        <v/>
      </c>
      <c r="N52" t="str">
        <f t="shared" si="5"/>
        <v/>
      </c>
      <c r="O52" t="str">
        <f t="shared" si="6"/>
        <v/>
      </c>
      <c r="P52" t="str">
        <f t="shared" si="7"/>
        <v/>
      </c>
      <c r="Q52" t="str">
        <f t="shared" si="8"/>
        <v/>
      </c>
    </row>
    <row r="53" spans="1:17" x14ac:dyDescent="0.35">
      <c r="A53" t="str">
        <f>IF(PBH_RR!A53="","",IF(OR(PBH_RR!E53="FH Matrix", PBH_RR!E53="FC Matrix"),PBH_RR!C53,INDEX(SF_Data!D:D, MATCH(PBH_RR!D53, SF_Data!B:B, 0))))</f>
        <v/>
      </c>
      <c r="B53" t="str">
        <f>IF(PBH_RR!A53="","",IF(OR(PBH_RR!E53="FH Matrix",PBH_RR!E53="FC Matrix"),PBH_RR!G53,IF(INDEX(SF_Data!F:F,MATCH(PBH_RR!D53,SF_Data!B:B,0))="Greater(FH/FC)",IF(INDEX(SF_Data!M:M,MATCH(PBH_RR!D53,SF_Data!B:B,0))="FH",INDEX(SF_Data!Q:Q,MATCH(PBH_RR!D53,SF_Data!B:B,0)),""),IF(PBH_RR!E53="Both(FH+FC)",IF(PBH_RR!L53="FH",PBH_RR!G53,""),INDEX(SF_Data!Q:Q,MATCH(PBH_RR!D53,SF_Data!B:B,0))))))</f>
        <v/>
      </c>
      <c r="C53" t="str">
        <f>IF(PBH_RR!A53="","",IF(OR(PBH_RR!E53="FH Matrix",PBH_RR!E53="FC Matrix"),PBH_RR!H53,IF(INDEX(SF_Data!F:F,MATCH(PBH_RR!D53,SF_Data!B:B,0))="Greater(FH/FC)",IF(INDEX(SF_Data!M:M,MATCH(PBH_RR!D53,SF_Data!B:B,0))="FC",INDEX(SF_Data!R:R,MATCH(PBH_RR!D53,SF_Data!B:B,0)),""),IF(PBH_RR!E53="Both(FH+FC)",IF(PBH_RR!L53="FC",PBH_RR!H53,""),INDEX(SF_Data!R:R,MATCH(PBH_RR!D53,SF_Data!B:B,0))))))</f>
        <v/>
      </c>
      <c r="D53" t="str">
        <f>IF(PBH_RR!A53="","",IF(OR(PBH_RR!E53="Hourly",PBH_RR!E53="Cycle"),IF(INDEX(SF_Data!M:M,MATCH(PBH_RR!D53,SF_Data!B:B,0))="FH",INDEX(SF_Data!G:G,MATCH(PBH_RR!D53,SF_Data!B:B,0)),""),IF(PBH_RR!E53="Both(FH+FC)",IF(PBH_RR!L53="FH",PBH_RR!M53-PBH_RR!G53,""),IF(PBH_RR!E53="Greater(FH/FC)",IF(INDEX(SF_Data!M:M,MATCH(PBH_RR!D53,SF_Data!B:B,0))="FH",INDEX(SF_Data!G:G,MATCH(PBH_RR!D53,SF_Data!B:B,0))-INDEX(SF_Data!Q:Q,MATCH(PBH_RR!D53,SF_Data!B:B,0)),""),IF(INDEX(SF_Data!M:M,MATCH(PBH_RR!D53,SF_Data!B:B,0))="FH",INDEX(PBH_Lines!K:K,MATCH(PBH_RR!A53,PBH_Lines!M:M,0)),"")))))</f>
        <v/>
      </c>
      <c r="E53" t="str">
        <f>IF(PBH_RR!A53="","",IF(OR(PBH_RR!E53="Hourly",PBH_RR!E53="Cycle"),IF(INDEX(SF_Data!M:M,MATCH(PBH_RR!D53,SF_Data!B:B,0))="FC",INDEX(SF_Data!G:G,MATCH(PBH_RR!D53,SF_Data!B:B,0)),""),IF(PBH_RR!E53="Both(FH+FC)",IF(PBH_RR!L53="FC",PBH_RR!M53-PBH_RR!H53,""),IF(PBH_RR!E53="Greater(FH/FC)",IF(INDEX(SF_Data!M:M,MATCH(PBH_RR!D53,SF_Data!B:B,0))="FC",INDEX(SF_Data!G:G,MATCH(PBH_RR!D53,SF_Data!B:B,0))-INDEX(SF_Data!R:R,MATCH(PBH_RR!D53,SF_Data!B:B,0)),""),IF(INDEX(SF_Data!M:M,MATCH(PBH_RR!D53,SF_Data!B:B,0))="FC",INDEX(PBH_Lines!K:K,MATCH(PBH_RR!A53,PBH_Lines!M:M,0)),"")))))</f>
        <v/>
      </c>
      <c r="F53" t="str">
        <f>IF(PBH_RR!A53="","",IF(OR(PBH_RR!E53="FH Matrix",PBH_RR!E53="FC Matrix"),PBH_RR!I53,IF(INDEX(SF_Data!F:F,MATCH(PBH_RR!D53,SF_Data!B:B,0))="Greater(FH/FC)",IF(INDEX(SF_Data!M:M,MATCH(PBH_RR!D53,SF_Data!B:B,0))="FH",INDEX(SF_Data!S:S,MATCH(PBH_RR!D53,SF_Data!B:B,0)),""),IF(PBH_RR!E53="Both(FH+FC)",IF(PBH_RR!L53="FH",PBH_RR!I53,""),INDEX(SF_Data!S:S,MATCH(PBH_RR!D53,SF_Data!B:B,0))))))</f>
        <v/>
      </c>
      <c r="G53" t="str">
        <f>IF(PBH_RR!A53="","",IF(OR(PBH_RR!E53="FH Matrix",PBH_RR!E53="FC Matrix"),PBH_RR!J53,IF(INDEX(SF_Data!F:F,MATCH(PBH_RR!D53,SF_Data!B:B,0))="Greater(FH/FC)",IF(INDEX(SF_Data!M:M,MATCH(PBH_RR!D53,SF_Data!B:B,0))="FC",INDEX(SF_Data!T:T,MATCH(PBH_RR!D53,SF_Data!B:B,0)),""),IF(PBH_RR!E53="Both(FH+FC)",IF(PBH_RR!L53="FC",PBH_RR!J53,""),INDEX(SF_Data!T:T,MATCH(PBH_RR!D53,SF_Data!B:B,0))))))</f>
        <v/>
      </c>
      <c r="H53" t="str">
        <f>IF(PBH_RR!A53="","",IF(PBH_RR!E53="Both(FH+FC)",PBH_RR!P53,IF(OR(PBH_RR!E53="FH Matrix",PBH_RR!E53="FC Matrix"),INDEX(PBH_Lines!O:O,MATCH(PBH_RR!A53,PBH_Lines!M:M,0)),INDEX(SF_Data!U:U,MATCH(PBH_RR!D53,SF_Data!B:B,0)))))</f>
        <v/>
      </c>
      <c r="J53" t="str">
        <f t="shared" si="1"/>
        <v/>
      </c>
      <c r="K53" t="str">
        <f t="shared" si="2"/>
        <v/>
      </c>
      <c r="L53" t="str">
        <f t="shared" si="3"/>
        <v/>
      </c>
      <c r="M53" t="str">
        <f t="shared" si="4"/>
        <v/>
      </c>
      <c r="N53" t="str">
        <f t="shared" si="5"/>
        <v/>
      </c>
      <c r="O53" t="str">
        <f t="shared" si="6"/>
        <v/>
      </c>
      <c r="P53" t="str">
        <f t="shared" si="7"/>
        <v/>
      </c>
      <c r="Q53" t="str">
        <f t="shared" si="8"/>
        <v/>
      </c>
    </row>
    <row r="54" spans="1:17" x14ac:dyDescent="0.35">
      <c r="A54" t="str">
        <f>IF(PBH_RR!A54="","",IF(OR(PBH_RR!E54="FH Matrix", PBH_RR!E54="FC Matrix"),PBH_RR!C54,INDEX(SF_Data!D:D, MATCH(PBH_RR!D54, SF_Data!B:B, 0))))</f>
        <v/>
      </c>
      <c r="B54" t="str">
        <f>IF(PBH_RR!A54="","",IF(OR(PBH_RR!E54="FH Matrix",PBH_RR!E54="FC Matrix"),PBH_RR!G54,IF(INDEX(SF_Data!F:F,MATCH(PBH_RR!D54,SF_Data!B:B,0))="Greater(FH/FC)",IF(INDEX(SF_Data!M:M,MATCH(PBH_RR!D54,SF_Data!B:B,0))="FH",INDEX(SF_Data!Q:Q,MATCH(PBH_RR!D54,SF_Data!B:B,0)),""),IF(PBH_RR!E54="Both(FH+FC)",IF(PBH_RR!L54="FH",PBH_RR!G54,""),INDEX(SF_Data!Q:Q,MATCH(PBH_RR!D54,SF_Data!B:B,0))))))</f>
        <v/>
      </c>
      <c r="C54" t="str">
        <f>IF(PBH_RR!A54="","",IF(OR(PBH_RR!E54="FH Matrix",PBH_RR!E54="FC Matrix"),PBH_RR!H54,IF(INDEX(SF_Data!F:F,MATCH(PBH_RR!D54,SF_Data!B:B,0))="Greater(FH/FC)",IF(INDEX(SF_Data!M:M,MATCH(PBH_RR!D54,SF_Data!B:B,0))="FC",INDEX(SF_Data!R:R,MATCH(PBH_RR!D54,SF_Data!B:B,0)),""),IF(PBH_RR!E54="Both(FH+FC)",IF(PBH_RR!L54="FC",PBH_RR!H54,""),INDEX(SF_Data!R:R,MATCH(PBH_RR!D54,SF_Data!B:B,0))))))</f>
        <v/>
      </c>
      <c r="D54" t="str">
        <f>IF(PBH_RR!A54="","",IF(OR(PBH_RR!E54="Hourly",PBH_RR!E54="Cycle"),IF(INDEX(SF_Data!M:M,MATCH(PBH_RR!D54,SF_Data!B:B,0))="FH",INDEX(SF_Data!G:G,MATCH(PBH_RR!D54,SF_Data!B:B,0)),""),IF(PBH_RR!E54="Both(FH+FC)",IF(PBH_RR!L54="FH",PBH_RR!M54-PBH_RR!G54,""),IF(PBH_RR!E54="Greater(FH/FC)",IF(INDEX(SF_Data!M:M,MATCH(PBH_RR!D54,SF_Data!B:B,0))="FH",INDEX(SF_Data!G:G,MATCH(PBH_RR!D54,SF_Data!B:B,0))-INDEX(SF_Data!Q:Q,MATCH(PBH_RR!D54,SF_Data!B:B,0)),""),IF(INDEX(SF_Data!M:M,MATCH(PBH_RR!D54,SF_Data!B:B,0))="FH",INDEX(PBH_Lines!K:K,MATCH(PBH_RR!A54,PBH_Lines!M:M,0)),"")))))</f>
        <v/>
      </c>
      <c r="E54" t="str">
        <f>IF(PBH_RR!A54="","",IF(OR(PBH_RR!E54="Hourly",PBH_RR!E54="Cycle"),IF(INDEX(SF_Data!M:M,MATCH(PBH_RR!D54,SF_Data!B:B,0))="FC",INDEX(SF_Data!G:G,MATCH(PBH_RR!D54,SF_Data!B:B,0)),""),IF(PBH_RR!E54="Both(FH+FC)",IF(PBH_RR!L54="FC",PBH_RR!M54-PBH_RR!H54,""),IF(PBH_RR!E54="Greater(FH/FC)",IF(INDEX(SF_Data!M:M,MATCH(PBH_RR!D54,SF_Data!B:B,0))="FC",INDEX(SF_Data!G:G,MATCH(PBH_RR!D54,SF_Data!B:B,0))-INDEX(SF_Data!R:R,MATCH(PBH_RR!D54,SF_Data!B:B,0)),""),IF(INDEX(SF_Data!M:M,MATCH(PBH_RR!D54,SF_Data!B:B,0))="FC",INDEX(PBH_Lines!K:K,MATCH(PBH_RR!A54,PBH_Lines!M:M,0)),"")))))</f>
        <v/>
      </c>
      <c r="F54" t="str">
        <f>IF(PBH_RR!A54="","",IF(OR(PBH_RR!E54="FH Matrix",PBH_RR!E54="FC Matrix"),PBH_RR!I54,IF(INDEX(SF_Data!F:F,MATCH(PBH_RR!D54,SF_Data!B:B,0))="Greater(FH/FC)",IF(INDEX(SF_Data!M:M,MATCH(PBH_RR!D54,SF_Data!B:B,0))="FH",INDEX(SF_Data!S:S,MATCH(PBH_RR!D54,SF_Data!B:B,0)),""),IF(PBH_RR!E54="Both(FH+FC)",IF(PBH_RR!L54="FH",PBH_RR!I54,""),INDEX(SF_Data!S:S,MATCH(PBH_RR!D54,SF_Data!B:B,0))))))</f>
        <v/>
      </c>
      <c r="G54" t="str">
        <f>IF(PBH_RR!A54="","",IF(OR(PBH_RR!E54="FH Matrix",PBH_RR!E54="FC Matrix"),PBH_RR!J54,IF(INDEX(SF_Data!F:F,MATCH(PBH_RR!D54,SF_Data!B:B,0))="Greater(FH/FC)",IF(INDEX(SF_Data!M:M,MATCH(PBH_RR!D54,SF_Data!B:B,0))="FC",INDEX(SF_Data!T:T,MATCH(PBH_RR!D54,SF_Data!B:B,0)),""),IF(PBH_RR!E54="Both(FH+FC)",IF(PBH_RR!L54="FC",PBH_RR!J54,""),INDEX(SF_Data!T:T,MATCH(PBH_RR!D54,SF_Data!B:B,0))))))</f>
        <v/>
      </c>
      <c r="H54" t="str">
        <f>IF(PBH_RR!A54="","",IF(PBH_RR!E54="Both(FH+FC)",PBH_RR!P54,IF(OR(PBH_RR!E54="FH Matrix",PBH_RR!E54="FC Matrix"),INDEX(PBH_Lines!O:O,MATCH(PBH_RR!A54,PBH_Lines!M:M,0)),INDEX(SF_Data!U:U,MATCH(PBH_RR!D54,SF_Data!B:B,0)))))</f>
        <v/>
      </c>
      <c r="J54" t="str">
        <f t="shared" si="1"/>
        <v/>
      </c>
      <c r="K54" t="str">
        <f t="shared" si="2"/>
        <v/>
      </c>
      <c r="L54" t="str">
        <f t="shared" si="3"/>
        <v/>
      </c>
      <c r="M54" t="str">
        <f t="shared" si="4"/>
        <v/>
      </c>
      <c r="N54" t="str">
        <f t="shared" si="5"/>
        <v/>
      </c>
      <c r="O54" t="str">
        <f t="shared" si="6"/>
        <v/>
      </c>
      <c r="P54" t="str">
        <f t="shared" si="7"/>
        <v/>
      </c>
      <c r="Q54" t="str">
        <f t="shared" si="8"/>
        <v/>
      </c>
    </row>
    <row r="55" spans="1:17" x14ac:dyDescent="0.35">
      <c r="A55" t="str">
        <f>IF(PBH_RR!A55="","",IF(OR(PBH_RR!E55="FH Matrix", PBH_RR!E55="FC Matrix"),PBH_RR!C55,INDEX(SF_Data!D:D, MATCH(PBH_RR!D55, SF_Data!B:B, 0))))</f>
        <v/>
      </c>
      <c r="B55" t="str">
        <f>IF(PBH_RR!A55="","",IF(OR(PBH_RR!E55="FH Matrix",PBH_RR!E55="FC Matrix"),PBH_RR!G55,IF(INDEX(SF_Data!F:F,MATCH(PBH_RR!D55,SF_Data!B:B,0))="Greater(FH/FC)",IF(INDEX(SF_Data!M:M,MATCH(PBH_RR!D55,SF_Data!B:B,0))="FH",INDEX(SF_Data!Q:Q,MATCH(PBH_RR!D55,SF_Data!B:B,0)),""),IF(PBH_RR!E55="Both(FH+FC)",IF(PBH_RR!L55="FH",PBH_RR!G55,""),INDEX(SF_Data!Q:Q,MATCH(PBH_RR!D55,SF_Data!B:B,0))))))</f>
        <v/>
      </c>
      <c r="C55" t="str">
        <f>IF(PBH_RR!A55="","",IF(OR(PBH_RR!E55="FH Matrix",PBH_RR!E55="FC Matrix"),PBH_RR!H55,IF(INDEX(SF_Data!F:F,MATCH(PBH_RR!D55,SF_Data!B:B,0))="Greater(FH/FC)",IF(INDEX(SF_Data!M:M,MATCH(PBH_RR!D55,SF_Data!B:B,0))="FC",INDEX(SF_Data!R:R,MATCH(PBH_RR!D55,SF_Data!B:B,0)),""),IF(PBH_RR!E55="Both(FH+FC)",IF(PBH_RR!L55="FC",PBH_RR!H55,""),INDEX(SF_Data!R:R,MATCH(PBH_RR!D55,SF_Data!B:B,0))))))</f>
        <v/>
      </c>
      <c r="D55" t="str">
        <f>IF(PBH_RR!A55="","",IF(OR(PBH_RR!E55="Hourly",PBH_RR!E55="Cycle"),IF(INDEX(SF_Data!M:M,MATCH(PBH_RR!D55,SF_Data!B:B,0))="FH",INDEX(SF_Data!G:G,MATCH(PBH_RR!D55,SF_Data!B:B,0)),""),IF(PBH_RR!E55="Both(FH+FC)",IF(PBH_RR!L55="FH",PBH_RR!M55-PBH_RR!G55,""),IF(PBH_RR!E55="Greater(FH/FC)",IF(INDEX(SF_Data!M:M,MATCH(PBH_RR!D55,SF_Data!B:B,0))="FH",INDEX(SF_Data!G:G,MATCH(PBH_RR!D55,SF_Data!B:B,0))-INDEX(SF_Data!Q:Q,MATCH(PBH_RR!D55,SF_Data!B:B,0)),""),IF(INDEX(SF_Data!M:M,MATCH(PBH_RR!D55,SF_Data!B:B,0))="FH",INDEX(PBH_Lines!K:K,MATCH(PBH_RR!A55,PBH_Lines!M:M,0)),"")))))</f>
        <v/>
      </c>
      <c r="E55" t="str">
        <f>IF(PBH_RR!A55="","",IF(OR(PBH_RR!E55="Hourly",PBH_RR!E55="Cycle"),IF(INDEX(SF_Data!M:M,MATCH(PBH_RR!D55,SF_Data!B:B,0))="FC",INDEX(SF_Data!G:G,MATCH(PBH_RR!D55,SF_Data!B:B,0)),""),IF(PBH_RR!E55="Both(FH+FC)",IF(PBH_RR!L55="FC",PBH_RR!M55-PBH_RR!H55,""),IF(PBH_RR!E55="Greater(FH/FC)",IF(INDEX(SF_Data!M:M,MATCH(PBH_RR!D55,SF_Data!B:B,0))="FC",INDEX(SF_Data!G:G,MATCH(PBH_RR!D55,SF_Data!B:B,0))-INDEX(SF_Data!R:R,MATCH(PBH_RR!D55,SF_Data!B:B,0)),""),IF(INDEX(SF_Data!M:M,MATCH(PBH_RR!D55,SF_Data!B:B,0))="FC",INDEX(PBH_Lines!K:K,MATCH(PBH_RR!A55,PBH_Lines!M:M,0)),"")))))</f>
        <v/>
      </c>
      <c r="F55" t="str">
        <f>IF(PBH_RR!A55="","",IF(OR(PBH_RR!E55="FH Matrix",PBH_RR!E55="FC Matrix"),PBH_RR!I55,IF(INDEX(SF_Data!F:F,MATCH(PBH_RR!D55,SF_Data!B:B,0))="Greater(FH/FC)",IF(INDEX(SF_Data!M:M,MATCH(PBH_RR!D55,SF_Data!B:B,0))="FH",INDEX(SF_Data!S:S,MATCH(PBH_RR!D55,SF_Data!B:B,0)),""),IF(PBH_RR!E55="Both(FH+FC)",IF(PBH_RR!L55="FH",PBH_RR!I55,""),INDEX(SF_Data!S:S,MATCH(PBH_RR!D55,SF_Data!B:B,0))))))</f>
        <v/>
      </c>
      <c r="G55" t="str">
        <f>IF(PBH_RR!A55="","",IF(OR(PBH_RR!E55="FH Matrix",PBH_RR!E55="FC Matrix"),PBH_RR!J55,IF(INDEX(SF_Data!F:F,MATCH(PBH_RR!D55,SF_Data!B:B,0))="Greater(FH/FC)",IF(INDEX(SF_Data!M:M,MATCH(PBH_RR!D55,SF_Data!B:B,0))="FC",INDEX(SF_Data!T:T,MATCH(PBH_RR!D55,SF_Data!B:B,0)),""),IF(PBH_RR!E55="Both(FH+FC)",IF(PBH_RR!L55="FC",PBH_RR!J55,""),INDEX(SF_Data!T:T,MATCH(PBH_RR!D55,SF_Data!B:B,0))))))</f>
        <v/>
      </c>
      <c r="H55" t="str">
        <f>IF(PBH_RR!A55="","",IF(PBH_RR!E55="Both(FH+FC)",PBH_RR!P55,IF(OR(PBH_RR!E55="FH Matrix",PBH_RR!E55="FC Matrix"),INDEX(PBH_Lines!O:O,MATCH(PBH_RR!A55,PBH_Lines!M:M,0)),INDEX(SF_Data!U:U,MATCH(PBH_RR!D55,SF_Data!B:B,0)))))</f>
        <v/>
      </c>
      <c r="J55" t="str">
        <f t="shared" si="1"/>
        <v/>
      </c>
      <c r="K55" t="str">
        <f t="shared" si="2"/>
        <v/>
      </c>
      <c r="L55" t="str">
        <f t="shared" si="3"/>
        <v/>
      </c>
      <c r="M55" t="str">
        <f t="shared" si="4"/>
        <v/>
      </c>
      <c r="N55" t="str">
        <f t="shared" si="5"/>
        <v/>
      </c>
      <c r="O55" t="str">
        <f t="shared" si="6"/>
        <v/>
      </c>
      <c r="P55" t="str">
        <f t="shared" si="7"/>
        <v/>
      </c>
      <c r="Q55" t="str">
        <f t="shared" si="8"/>
        <v/>
      </c>
    </row>
    <row r="56" spans="1:17" x14ac:dyDescent="0.35">
      <c r="A56" t="str">
        <f>IF(PBH_RR!A56="","",IF(OR(PBH_RR!E56="FH Matrix", PBH_RR!E56="FC Matrix"),PBH_RR!C56,INDEX(SF_Data!D:D, MATCH(PBH_RR!D56, SF_Data!B:B, 0))))</f>
        <v/>
      </c>
      <c r="B56" t="str">
        <f>IF(PBH_RR!A56="","",IF(OR(PBH_RR!E56="FH Matrix",PBH_RR!E56="FC Matrix"),PBH_RR!G56,IF(INDEX(SF_Data!F:F,MATCH(PBH_RR!D56,SF_Data!B:B,0))="Greater(FH/FC)",IF(INDEX(SF_Data!M:M,MATCH(PBH_RR!D56,SF_Data!B:B,0))="FH",INDEX(SF_Data!Q:Q,MATCH(PBH_RR!D56,SF_Data!B:B,0)),""),IF(PBH_RR!E56="Both(FH+FC)",IF(PBH_RR!L56="FH",PBH_RR!G56,""),INDEX(SF_Data!Q:Q,MATCH(PBH_RR!D56,SF_Data!B:B,0))))))</f>
        <v/>
      </c>
      <c r="C56" t="str">
        <f>IF(PBH_RR!A56="","",IF(OR(PBH_RR!E56="FH Matrix",PBH_RR!E56="FC Matrix"),PBH_RR!H56,IF(INDEX(SF_Data!F:F,MATCH(PBH_RR!D56,SF_Data!B:B,0))="Greater(FH/FC)",IF(INDEX(SF_Data!M:M,MATCH(PBH_RR!D56,SF_Data!B:B,0))="FC",INDEX(SF_Data!R:R,MATCH(PBH_RR!D56,SF_Data!B:B,0)),""),IF(PBH_RR!E56="Both(FH+FC)",IF(PBH_RR!L56="FC",PBH_RR!H56,""),INDEX(SF_Data!R:R,MATCH(PBH_RR!D56,SF_Data!B:B,0))))))</f>
        <v/>
      </c>
      <c r="D56" t="str">
        <f>IF(PBH_RR!A56="","",IF(OR(PBH_RR!E56="Hourly",PBH_RR!E56="Cycle"),IF(INDEX(SF_Data!M:M,MATCH(PBH_RR!D56,SF_Data!B:B,0))="FH",INDEX(SF_Data!G:G,MATCH(PBH_RR!D56,SF_Data!B:B,0)),""),IF(PBH_RR!E56="Both(FH+FC)",IF(PBH_RR!L56="FH",PBH_RR!M56-PBH_RR!G56,""),IF(PBH_RR!E56="Greater(FH/FC)",IF(INDEX(SF_Data!M:M,MATCH(PBH_RR!D56,SF_Data!B:B,0))="FH",INDEX(SF_Data!G:G,MATCH(PBH_RR!D56,SF_Data!B:B,0))-INDEX(SF_Data!Q:Q,MATCH(PBH_RR!D56,SF_Data!B:B,0)),""),IF(INDEX(SF_Data!M:M,MATCH(PBH_RR!D56,SF_Data!B:B,0))="FH",INDEX(PBH_Lines!K:K,MATCH(PBH_RR!A56,PBH_Lines!M:M,0)),"")))))</f>
        <v/>
      </c>
      <c r="E56" t="str">
        <f>IF(PBH_RR!A56="","",IF(OR(PBH_RR!E56="Hourly",PBH_RR!E56="Cycle"),IF(INDEX(SF_Data!M:M,MATCH(PBH_RR!D56,SF_Data!B:B,0))="FC",INDEX(SF_Data!G:G,MATCH(PBH_RR!D56,SF_Data!B:B,0)),""),IF(PBH_RR!E56="Both(FH+FC)",IF(PBH_RR!L56="FC",PBH_RR!M56-PBH_RR!H56,""),IF(PBH_RR!E56="Greater(FH/FC)",IF(INDEX(SF_Data!M:M,MATCH(PBH_RR!D56,SF_Data!B:B,0))="FC",INDEX(SF_Data!G:G,MATCH(PBH_RR!D56,SF_Data!B:B,0))-INDEX(SF_Data!R:R,MATCH(PBH_RR!D56,SF_Data!B:B,0)),""),IF(INDEX(SF_Data!M:M,MATCH(PBH_RR!D56,SF_Data!B:B,0))="FC",INDEX(PBH_Lines!K:K,MATCH(PBH_RR!A56,PBH_Lines!M:M,0)),"")))))</f>
        <v/>
      </c>
      <c r="F56" t="str">
        <f>IF(PBH_RR!A56="","",IF(OR(PBH_RR!E56="FH Matrix",PBH_RR!E56="FC Matrix"),PBH_RR!I56,IF(INDEX(SF_Data!F:F,MATCH(PBH_RR!D56,SF_Data!B:B,0))="Greater(FH/FC)",IF(INDEX(SF_Data!M:M,MATCH(PBH_RR!D56,SF_Data!B:B,0))="FH",INDEX(SF_Data!S:S,MATCH(PBH_RR!D56,SF_Data!B:B,0)),""),IF(PBH_RR!E56="Both(FH+FC)",IF(PBH_RR!L56="FH",PBH_RR!I56,""),INDEX(SF_Data!S:S,MATCH(PBH_RR!D56,SF_Data!B:B,0))))))</f>
        <v/>
      </c>
      <c r="G56" t="str">
        <f>IF(PBH_RR!A56="","",IF(OR(PBH_RR!E56="FH Matrix",PBH_RR!E56="FC Matrix"),PBH_RR!J56,IF(INDEX(SF_Data!F:F,MATCH(PBH_RR!D56,SF_Data!B:B,0))="Greater(FH/FC)",IF(INDEX(SF_Data!M:M,MATCH(PBH_RR!D56,SF_Data!B:B,0))="FC",INDEX(SF_Data!T:T,MATCH(PBH_RR!D56,SF_Data!B:B,0)),""),IF(PBH_RR!E56="Both(FH+FC)",IF(PBH_RR!L56="FC",PBH_RR!J56,""),INDEX(SF_Data!T:T,MATCH(PBH_RR!D56,SF_Data!B:B,0))))))</f>
        <v/>
      </c>
      <c r="H56" t="str">
        <f>IF(PBH_RR!A56="","",IF(PBH_RR!E56="Both(FH+FC)",PBH_RR!P56,IF(OR(PBH_RR!E56="FH Matrix",PBH_RR!E56="FC Matrix"),INDEX(PBH_Lines!O:O,MATCH(PBH_RR!A56,PBH_Lines!M:M,0)),INDEX(SF_Data!U:U,MATCH(PBH_RR!D56,SF_Data!B:B,0)))))</f>
        <v/>
      </c>
      <c r="J56" t="str">
        <f t="shared" si="1"/>
        <v/>
      </c>
      <c r="K56" t="str">
        <f t="shared" si="2"/>
        <v/>
      </c>
      <c r="L56" t="str">
        <f t="shared" si="3"/>
        <v/>
      </c>
      <c r="M56" t="str">
        <f t="shared" si="4"/>
        <v/>
      </c>
      <c r="N56" t="str">
        <f t="shared" si="5"/>
        <v/>
      </c>
      <c r="O56" t="str">
        <f t="shared" si="6"/>
        <v/>
      </c>
      <c r="P56" t="str">
        <f t="shared" si="7"/>
        <v/>
      </c>
      <c r="Q56" t="str">
        <f t="shared" si="8"/>
        <v/>
      </c>
    </row>
    <row r="57" spans="1:17" x14ac:dyDescent="0.35">
      <c r="A57" t="str">
        <f>IF(PBH_RR!A57="","",IF(OR(PBH_RR!E57="FH Matrix", PBH_RR!E57="FC Matrix"),PBH_RR!C57,INDEX(SF_Data!D:D, MATCH(PBH_RR!D57, SF_Data!B:B, 0))))</f>
        <v/>
      </c>
      <c r="B57" t="str">
        <f>IF(PBH_RR!A57="","",IF(OR(PBH_RR!E57="FH Matrix",PBH_RR!E57="FC Matrix"),PBH_RR!G57,IF(INDEX(SF_Data!F:F,MATCH(PBH_RR!D57,SF_Data!B:B,0))="Greater(FH/FC)",IF(INDEX(SF_Data!M:M,MATCH(PBH_RR!D57,SF_Data!B:B,0))="FH",INDEX(SF_Data!Q:Q,MATCH(PBH_RR!D57,SF_Data!B:B,0)),""),IF(PBH_RR!E57="Both(FH+FC)",IF(PBH_RR!L57="FH",PBH_RR!G57,""),INDEX(SF_Data!Q:Q,MATCH(PBH_RR!D57,SF_Data!B:B,0))))))</f>
        <v/>
      </c>
      <c r="C57" t="str">
        <f>IF(PBH_RR!A57="","",IF(OR(PBH_RR!E57="FH Matrix",PBH_RR!E57="FC Matrix"),PBH_RR!H57,IF(INDEX(SF_Data!F:F,MATCH(PBH_RR!D57,SF_Data!B:B,0))="Greater(FH/FC)",IF(INDEX(SF_Data!M:M,MATCH(PBH_RR!D57,SF_Data!B:B,0))="FC",INDEX(SF_Data!R:R,MATCH(PBH_RR!D57,SF_Data!B:B,0)),""),IF(PBH_RR!E57="Both(FH+FC)",IF(PBH_RR!L57="FC",PBH_RR!H57,""),INDEX(SF_Data!R:R,MATCH(PBH_RR!D57,SF_Data!B:B,0))))))</f>
        <v/>
      </c>
      <c r="D57" t="str">
        <f>IF(PBH_RR!A57="","",IF(OR(PBH_RR!E57="Hourly",PBH_RR!E57="Cycle"),IF(INDEX(SF_Data!M:M,MATCH(PBH_RR!D57,SF_Data!B:B,0))="FH",INDEX(SF_Data!G:G,MATCH(PBH_RR!D57,SF_Data!B:B,0)),""),IF(PBH_RR!E57="Both(FH+FC)",IF(PBH_RR!L57="FH",PBH_RR!M57-PBH_RR!G57,""),IF(PBH_RR!E57="Greater(FH/FC)",IF(INDEX(SF_Data!M:M,MATCH(PBH_RR!D57,SF_Data!B:B,0))="FH",INDEX(SF_Data!G:G,MATCH(PBH_RR!D57,SF_Data!B:B,0))-INDEX(SF_Data!Q:Q,MATCH(PBH_RR!D57,SF_Data!B:B,0)),""),IF(INDEX(SF_Data!M:M,MATCH(PBH_RR!D57,SF_Data!B:B,0))="FH",INDEX(PBH_Lines!K:K,MATCH(PBH_RR!A57,PBH_Lines!M:M,0)),"")))))</f>
        <v/>
      </c>
      <c r="E57" t="str">
        <f>IF(PBH_RR!A57="","",IF(OR(PBH_RR!E57="Hourly",PBH_RR!E57="Cycle"),IF(INDEX(SF_Data!M:M,MATCH(PBH_RR!D57,SF_Data!B:B,0))="FC",INDEX(SF_Data!G:G,MATCH(PBH_RR!D57,SF_Data!B:B,0)),""),IF(PBH_RR!E57="Both(FH+FC)",IF(PBH_RR!L57="FC",PBH_RR!M57-PBH_RR!H57,""),IF(PBH_RR!E57="Greater(FH/FC)",IF(INDEX(SF_Data!M:M,MATCH(PBH_RR!D57,SF_Data!B:B,0))="FC",INDEX(SF_Data!G:G,MATCH(PBH_RR!D57,SF_Data!B:B,0))-INDEX(SF_Data!R:R,MATCH(PBH_RR!D57,SF_Data!B:B,0)),""),IF(INDEX(SF_Data!M:M,MATCH(PBH_RR!D57,SF_Data!B:B,0))="FC",INDEX(PBH_Lines!K:K,MATCH(PBH_RR!A57,PBH_Lines!M:M,0)),"")))))</f>
        <v/>
      </c>
      <c r="F57" t="str">
        <f>IF(PBH_RR!A57="","",IF(OR(PBH_RR!E57="FH Matrix",PBH_RR!E57="FC Matrix"),PBH_RR!I57,IF(INDEX(SF_Data!F:F,MATCH(PBH_RR!D57,SF_Data!B:B,0))="Greater(FH/FC)",IF(INDEX(SF_Data!M:M,MATCH(PBH_RR!D57,SF_Data!B:B,0))="FH",INDEX(SF_Data!S:S,MATCH(PBH_RR!D57,SF_Data!B:B,0)),""),IF(PBH_RR!E57="Both(FH+FC)",IF(PBH_RR!L57="FH",PBH_RR!I57,""),INDEX(SF_Data!S:S,MATCH(PBH_RR!D57,SF_Data!B:B,0))))))</f>
        <v/>
      </c>
      <c r="G57" t="str">
        <f>IF(PBH_RR!A57="","",IF(OR(PBH_RR!E57="FH Matrix",PBH_RR!E57="FC Matrix"),PBH_RR!J57,IF(INDEX(SF_Data!F:F,MATCH(PBH_RR!D57,SF_Data!B:B,0))="Greater(FH/FC)",IF(INDEX(SF_Data!M:M,MATCH(PBH_RR!D57,SF_Data!B:B,0))="FC",INDEX(SF_Data!T:T,MATCH(PBH_RR!D57,SF_Data!B:B,0)),""),IF(PBH_RR!E57="Both(FH+FC)",IF(PBH_RR!L57="FC",PBH_RR!J57,""),INDEX(SF_Data!T:T,MATCH(PBH_RR!D57,SF_Data!B:B,0))))))</f>
        <v/>
      </c>
      <c r="H57" t="str">
        <f>IF(PBH_RR!A57="","",IF(PBH_RR!E57="Both(FH+FC)",PBH_RR!P57,IF(OR(PBH_RR!E57="FH Matrix",PBH_RR!E57="FC Matrix"),INDEX(PBH_Lines!O:O,MATCH(PBH_RR!A57,PBH_Lines!M:M,0)),INDEX(SF_Data!U:U,MATCH(PBH_RR!D57,SF_Data!B:B,0)))))</f>
        <v/>
      </c>
      <c r="J57" t="str">
        <f t="shared" si="1"/>
        <v/>
      </c>
      <c r="K57" t="str">
        <f t="shared" si="2"/>
        <v/>
      </c>
      <c r="L57" t="str">
        <f t="shared" si="3"/>
        <v/>
      </c>
      <c r="M57" t="str">
        <f t="shared" si="4"/>
        <v/>
      </c>
      <c r="N57" t="str">
        <f t="shared" si="5"/>
        <v/>
      </c>
      <c r="O57" t="str">
        <f t="shared" si="6"/>
        <v/>
      </c>
      <c r="P57" t="str">
        <f t="shared" si="7"/>
        <v/>
      </c>
      <c r="Q57" t="str">
        <f t="shared" si="8"/>
        <v/>
      </c>
    </row>
    <row r="58" spans="1:17" x14ac:dyDescent="0.35">
      <c r="A58" t="str">
        <f>IF(PBH_RR!A58="","",IF(OR(PBH_RR!E58="FH Matrix", PBH_RR!E58="FC Matrix"),PBH_RR!C58,INDEX(SF_Data!D:D, MATCH(PBH_RR!D58, SF_Data!B:B, 0))))</f>
        <v/>
      </c>
      <c r="B58" t="str">
        <f>IF(PBH_RR!A58="","",IF(OR(PBH_RR!E58="FH Matrix",PBH_RR!E58="FC Matrix"),PBH_RR!G58,IF(INDEX(SF_Data!F:F,MATCH(PBH_RR!D58,SF_Data!B:B,0))="Greater(FH/FC)",IF(INDEX(SF_Data!M:M,MATCH(PBH_RR!D58,SF_Data!B:B,0))="FH",INDEX(SF_Data!Q:Q,MATCH(PBH_RR!D58,SF_Data!B:B,0)),""),IF(PBH_RR!E58="Both(FH+FC)",IF(PBH_RR!L58="FH",PBH_RR!G58,""),INDEX(SF_Data!Q:Q,MATCH(PBH_RR!D58,SF_Data!B:B,0))))))</f>
        <v/>
      </c>
      <c r="C58" t="str">
        <f>IF(PBH_RR!A58="","",IF(OR(PBH_RR!E58="FH Matrix",PBH_RR!E58="FC Matrix"),PBH_RR!H58,IF(INDEX(SF_Data!F:F,MATCH(PBH_RR!D58,SF_Data!B:B,0))="Greater(FH/FC)",IF(INDEX(SF_Data!M:M,MATCH(PBH_RR!D58,SF_Data!B:B,0))="FC",INDEX(SF_Data!R:R,MATCH(PBH_RR!D58,SF_Data!B:B,0)),""),IF(PBH_RR!E58="Both(FH+FC)",IF(PBH_RR!L58="FC",PBH_RR!H58,""),INDEX(SF_Data!R:R,MATCH(PBH_RR!D58,SF_Data!B:B,0))))))</f>
        <v/>
      </c>
      <c r="D58" t="str">
        <f>IF(PBH_RR!A58="","",IF(OR(PBH_RR!E58="Hourly",PBH_RR!E58="Cycle"),IF(INDEX(SF_Data!M:M,MATCH(PBH_RR!D58,SF_Data!B:B,0))="FH",INDEX(SF_Data!G:G,MATCH(PBH_RR!D58,SF_Data!B:B,0)),""),IF(PBH_RR!E58="Both(FH+FC)",IF(PBH_RR!L58="FH",PBH_RR!M58-PBH_RR!G58,""),IF(PBH_RR!E58="Greater(FH/FC)",IF(INDEX(SF_Data!M:M,MATCH(PBH_RR!D58,SF_Data!B:B,0))="FH",INDEX(SF_Data!G:G,MATCH(PBH_RR!D58,SF_Data!B:B,0))-INDEX(SF_Data!Q:Q,MATCH(PBH_RR!D58,SF_Data!B:B,0)),""),IF(INDEX(SF_Data!M:M,MATCH(PBH_RR!D58,SF_Data!B:B,0))="FH",INDEX(PBH_Lines!K:K,MATCH(PBH_RR!A58,PBH_Lines!M:M,0)),"")))))</f>
        <v/>
      </c>
      <c r="E58" t="str">
        <f>IF(PBH_RR!A58="","",IF(OR(PBH_RR!E58="Hourly",PBH_RR!E58="Cycle"),IF(INDEX(SF_Data!M:M,MATCH(PBH_RR!D58,SF_Data!B:B,0))="FC",INDEX(SF_Data!G:G,MATCH(PBH_RR!D58,SF_Data!B:B,0)),""),IF(PBH_RR!E58="Both(FH+FC)",IF(PBH_RR!L58="FC",PBH_RR!M58-PBH_RR!H58,""),IF(PBH_RR!E58="Greater(FH/FC)",IF(INDEX(SF_Data!M:M,MATCH(PBH_RR!D58,SF_Data!B:B,0))="FC",INDEX(SF_Data!G:G,MATCH(PBH_RR!D58,SF_Data!B:B,0))-INDEX(SF_Data!R:R,MATCH(PBH_RR!D58,SF_Data!B:B,0)),""),IF(INDEX(SF_Data!M:M,MATCH(PBH_RR!D58,SF_Data!B:B,0))="FC",INDEX(PBH_Lines!K:K,MATCH(PBH_RR!A58,PBH_Lines!M:M,0)),"")))))</f>
        <v/>
      </c>
      <c r="F58" t="str">
        <f>IF(PBH_RR!A58="","",IF(OR(PBH_RR!E58="FH Matrix",PBH_RR!E58="FC Matrix"),PBH_RR!I58,IF(INDEX(SF_Data!F:F,MATCH(PBH_RR!D58,SF_Data!B:B,0))="Greater(FH/FC)",IF(INDEX(SF_Data!M:M,MATCH(PBH_RR!D58,SF_Data!B:B,0))="FH",INDEX(SF_Data!S:S,MATCH(PBH_RR!D58,SF_Data!B:B,0)),""),IF(PBH_RR!E58="Both(FH+FC)",IF(PBH_RR!L58="FH",PBH_RR!I58,""),INDEX(SF_Data!S:S,MATCH(PBH_RR!D58,SF_Data!B:B,0))))))</f>
        <v/>
      </c>
      <c r="G58" t="str">
        <f>IF(PBH_RR!A58="","",IF(OR(PBH_RR!E58="FH Matrix",PBH_RR!E58="FC Matrix"),PBH_RR!J58,IF(INDEX(SF_Data!F:F,MATCH(PBH_RR!D58,SF_Data!B:B,0))="Greater(FH/FC)",IF(INDEX(SF_Data!M:M,MATCH(PBH_RR!D58,SF_Data!B:B,0))="FC",INDEX(SF_Data!T:T,MATCH(PBH_RR!D58,SF_Data!B:B,0)),""),IF(PBH_RR!E58="Both(FH+FC)",IF(PBH_RR!L58="FC",PBH_RR!J58,""),INDEX(SF_Data!T:T,MATCH(PBH_RR!D58,SF_Data!B:B,0))))))</f>
        <v/>
      </c>
      <c r="H58" t="str">
        <f>IF(PBH_RR!A58="","",IF(PBH_RR!E58="Both(FH+FC)",PBH_RR!P58,IF(OR(PBH_RR!E58="FH Matrix",PBH_RR!E58="FC Matrix"),INDEX(PBH_Lines!O:O,MATCH(PBH_RR!A58,PBH_Lines!M:M,0)),INDEX(SF_Data!U:U,MATCH(PBH_RR!D58,SF_Data!B:B,0)))))</f>
        <v/>
      </c>
      <c r="J58" t="str">
        <f t="shared" si="1"/>
        <v/>
      </c>
      <c r="K58" t="str">
        <f t="shared" si="2"/>
        <v/>
      </c>
      <c r="L58" t="str">
        <f t="shared" si="3"/>
        <v/>
      </c>
      <c r="M58" t="str">
        <f t="shared" si="4"/>
        <v/>
      </c>
      <c r="N58" t="str">
        <f t="shared" si="5"/>
        <v/>
      </c>
      <c r="O58" t="str">
        <f t="shared" si="6"/>
        <v/>
      </c>
      <c r="P58" t="str">
        <f t="shared" si="7"/>
        <v/>
      </c>
      <c r="Q58" t="str">
        <f t="shared" si="8"/>
        <v/>
      </c>
    </row>
    <row r="59" spans="1:17" x14ac:dyDescent="0.35">
      <c r="A59" t="str">
        <f>IF(PBH_RR!A59="","",IF(OR(PBH_RR!E59="FH Matrix", PBH_RR!E59="FC Matrix"),PBH_RR!C59,INDEX(SF_Data!D:D, MATCH(PBH_RR!D59, SF_Data!B:B, 0))))</f>
        <v/>
      </c>
      <c r="B59" t="str">
        <f>IF(PBH_RR!A59="","",IF(OR(PBH_RR!E59="FH Matrix",PBH_RR!E59="FC Matrix"),PBH_RR!G59,IF(INDEX(SF_Data!F:F,MATCH(PBH_RR!D59,SF_Data!B:B,0))="Greater(FH/FC)",IF(INDEX(SF_Data!M:M,MATCH(PBH_RR!D59,SF_Data!B:B,0))="FH",INDEX(SF_Data!Q:Q,MATCH(PBH_RR!D59,SF_Data!B:B,0)),""),IF(PBH_RR!E59="Both(FH+FC)",IF(PBH_RR!L59="FH",PBH_RR!G59,""),INDEX(SF_Data!Q:Q,MATCH(PBH_RR!D59,SF_Data!B:B,0))))))</f>
        <v/>
      </c>
      <c r="C59" t="str">
        <f>IF(PBH_RR!A59="","",IF(OR(PBH_RR!E59="FH Matrix",PBH_RR!E59="FC Matrix"),PBH_RR!H59,IF(INDEX(SF_Data!F:F,MATCH(PBH_RR!D59,SF_Data!B:B,0))="Greater(FH/FC)",IF(INDEX(SF_Data!M:M,MATCH(PBH_RR!D59,SF_Data!B:B,0))="FC",INDEX(SF_Data!R:R,MATCH(PBH_RR!D59,SF_Data!B:B,0)),""),IF(PBH_RR!E59="Both(FH+FC)",IF(PBH_RR!L59="FC",PBH_RR!H59,""),INDEX(SF_Data!R:R,MATCH(PBH_RR!D59,SF_Data!B:B,0))))))</f>
        <v/>
      </c>
      <c r="D59" t="str">
        <f>IF(PBH_RR!A59="","",IF(OR(PBH_RR!E59="Hourly",PBH_RR!E59="Cycle"),IF(INDEX(SF_Data!M:M,MATCH(PBH_RR!D59,SF_Data!B:B,0))="FH",INDEX(SF_Data!G:G,MATCH(PBH_RR!D59,SF_Data!B:B,0)),""),IF(PBH_RR!E59="Both(FH+FC)",IF(PBH_RR!L59="FH",PBH_RR!M59-PBH_RR!G59,""),IF(PBH_RR!E59="Greater(FH/FC)",IF(INDEX(SF_Data!M:M,MATCH(PBH_RR!D59,SF_Data!B:B,0))="FH",INDEX(SF_Data!G:G,MATCH(PBH_RR!D59,SF_Data!B:B,0))-INDEX(SF_Data!Q:Q,MATCH(PBH_RR!D59,SF_Data!B:B,0)),""),IF(INDEX(SF_Data!M:M,MATCH(PBH_RR!D59,SF_Data!B:B,0))="FH",INDEX(PBH_Lines!K:K,MATCH(PBH_RR!A59,PBH_Lines!M:M,0)),"")))))</f>
        <v/>
      </c>
      <c r="E59" t="str">
        <f>IF(PBH_RR!A59="","",IF(OR(PBH_RR!E59="Hourly",PBH_RR!E59="Cycle"),IF(INDEX(SF_Data!M:M,MATCH(PBH_RR!D59,SF_Data!B:B,0))="FC",INDEX(SF_Data!G:G,MATCH(PBH_RR!D59,SF_Data!B:B,0)),""),IF(PBH_RR!E59="Both(FH+FC)",IF(PBH_RR!L59="FC",PBH_RR!M59-PBH_RR!H59,""),IF(PBH_RR!E59="Greater(FH/FC)",IF(INDEX(SF_Data!M:M,MATCH(PBH_RR!D59,SF_Data!B:B,0))="FC",INDEX(SF_Data!G:G,MATCH(PBH_RR!D59,SF_Data!B:B,0))-INDEX(SF_Data!R:R,MATCH(PBH_RR!D59,SF_Data!B:B,0)),""),IF(INDEX(SF_Data!M:M,MATCH(PBH_RR!D59,SF_Data!B:B,0))="FC",INDEX(PBH_Lines!K:K,MATCH(PBH_RR!A59,PBH_Lines!M:M,0)),"")))))</f>
        <v/>
      </c>
      <c r="F59" t="str">
        <f>IF(PBH_RR!A59="","",IF(OR(PBH_RR!E59="FH Matrix",PBH_RR!E59="FC Matrix"),PBH_RR!I59,IF(INDEX(SF_Data!F:F,MATCH(PBH_RR!D59,SF_Data!B:B,0))="Greater(FH/FC)",IF(INDEX(SF_Data!M:M,MATCH(PBH_RR!D59,SF_Data!B:B,0))="FH",INDEX(SF_Data!S:S,MATCH(PBH_RR!D59,SF_Data!B:B,0)),""),IF(PBH_RR!E59="Both(FH+FC)",IF(PBH_RR!L59="FH",PBH_RR!I59,""),INDEX(SF_Data!S:S,MATCH(PBH_RR!D59,SF_Data!B:B,0))))))</f>
        <v/>
      </c>
      <c r="G59" t="str">
        <f>IF(PBH_RR!A59="","",IF(OR(PBH_RR!E59="FH Matrix",PBH_RR!E59="FC Matrix"),PBH_RR!J59,IF(INDEX(SF_Data!F:F,MATCH(PBH_RR!D59,SF_Data!B:B,0))="Greater(FH/FC)",IF(INDEX(SF_Data!M:M,MATCH(PBH_RR!D59,SF_Data!B:B,0))="FC",INDEX(SF_Data!T:T,MATCH(PBH_RR!D59,SF_Data!B:B,0)),""),IF(PBH_RR!E59="Both(FH+FC)",IF(PBH_RR!L59="FC",PBH_RR!J59,""),INDEX(SF_Data!T:T,MATCH(PBH_RR!D59,SF_Data!B:B,0))))))</f>
        <v/>
      </c>
      <c r="H59" t="str">
        <f>IF(PBH_RR!A59="","",IF(PBH_RR!E59="Both(FH+FC)",PBH_RR!P59,IF(OR(PBH_RR!E59="FH Matrix",PBH_RR!E59="FC Matrix"),INDEX(PBH_Lines!O:O,MATCH(PBH_RR!A59,PBH_Lines!M:M,0)),INDEX(SF_Data!U:U,MATCH(PBH_RR!D59,SF_Data!B:B,0)))))</f>
        <v/>
      </c>
      <c r="J59" t="str">
        <f t="shared" si="1"/>
        <v/>
      </c>
      <c r="K59" t="str">
        <f t="shared" si="2"/>
        <v/>
      </c>
      <c r="L59" t="str">
        <f t="shared" si="3"/>
        <v/>
      </c>
      <c r="M59" t="str">
        <f t="shared" si="4"/>
        <v/>
      </c>
      <c r="N59" t="str">
        <f t="shared" si="5"/>
        <v/>
      </c>
      <c r="O59" t="str">
        <f t="shared" si="6"/>
        <v/>
      </c>
      <c r="P59" t="str">
        <f t="shared" si="7"/>
        <v/>
      </c>
      <c r="Q59" t="str">
        <f t="shared" si="8"/>
        <v/>
      </c>
    </row>
    <row r="60" spans="1:17" x14ac:dyDescent="0.35">
      <c r="A60" t="str">
        <f>IF(PBH_RR!A60="","",IF(OR(PBH_RR!E60="FH Matrix", PBH_RR!E60="FC Matrix"),PBH_RR!C60,INDEX(SF_Data!D:D, MATCH(PBH_RR!D60, SF_Data!B:B, 0))))</f>
        <v/>
      </c>
      <c r="B60" t="str">
        <f>IF(PBH_RR!A60="","",IF(OR(PBH_RR!E60="FH Matrix",PBH_RR!E60="FC Matrix"),PBH_RR!G60,IF(INDEX(SF_Data!F:F,MATCH(PBH_RR!D60,SF_Data!B:B,0))="Greater(FH/FC)",IF(INDEX(SF_Data!M:M,MATCH(PBH_RR!D60,SF_Data!B:B,0))="FH",INDEX(SF_Data!Q:Q,MATCH(PBH_RR!D60,SF_Data!B:B,0)),""),IF(PBH_RR!E60="Both(FH+FC)",IF(PBH_RR!L60="FH",PBH_RR!G60,""),INDEX(SF_Data!Q:Q,MATCH(PBH_RR!D60,SF_Data!B:B,0))))))</f>
        <v/>
      </c>
      <c r="C60" t="str">
        <f>IF(PBH_RR!A60="","",IF(OR(PBH_RR!E60="FH Matrix",PBH_RR!E60="FC Matrix"),PBH_RR!H60,IF(INDEX(SF_Data!F:F,MATCH(PBH_RR!D60,SF_Data!B:B,0))="Greater(FH/FC)",IF(INDEX(SF_Data!M:M,MATCH(PBH_RR!D60,SF_Data!B:B,0))="FC",INDEX(SF_Data!R:R,MATCH(PBH_RR!D60,SF_Data!B:B,0)),""),IF(PBH_RR!E60="Both(FH+FC)",IF(PBH_RR!L60="FC",PBH_RR!H60,""),INDEX(SF_Data!R:R,MATCH(PBH_RR!D60,SF_Data!B:B,0))))))</f>
        <v/>
      </c>
      <c r="D60" t="str">
        <f>IF(PBH_RR!A60="","",IF(OR(PBH_RR!E60="Hourly",PBH_RR!E60="Cycle"),IF(INDEX(SF_Data!M:M,MATCH(PBH_RR!D60,SF_Data!B:B,0))="FH",INDEX(SF_Data!G:G,MATCH(PBH_RR!D60,SF_Data!B:B,0)),""),IF(PBH_RR!E60="Both(FH+FC)",IF(PBH_RR!L60="FH",PBH_RR!M60-PBH_RR!G60,""),IF(PBH_RR!E60="Greater(FH/FC)",IF(INDEX(SF_Data!M:M,MATCH(PBH_RR!D60,SF_Data!B:B,0))="FH",INDEX(SF_Data!G:G,MATCH(PBH_RR!D60,SF_Data!B:B,0))-INDEX(SF_Data!Q:Q,MATCH(PBH_RR!D60,SF_Data!B:B,0)),""),IF(INDEX(SF_Data!M:M,MATCH(PBH_RR!D60,SF_Data!B:B,0))="FH",INDEX(PBH_Lines!K:K,MATCH(PBH_RR!A60,PBH_Lines!M:M,0)),"")))))</f>
        <v/>
      </c>
      <c r="E60" t="str">
        <f>IF(PBH_RR!A60="","",IF(OR(PBH_RR!E60="Hourly",PBH_RR!E60="Cycle"),IF(INDEX(SF_Data!M:M,MATCH(PBH_RR!D60,SF_Data!B:B,0))="FC",INDEX(SF_Data!G:G,MATCH(PBH_RR!D60,SF_Data!B:B,0)),""),IF(PBH_RR!E60="Both(FH+FC)",IF(PBH_RR!L60="FC",PBH_RR!M60-PBH_RR!H60,""),IF(PBH_RR!E60="Greater(FH/FC)",IF(INDEX(SF_Data!M:M,MATCH(PBH_RR!D60,SF_Data!B:B,0))="FC",INDEX(SF_Data!G:G,MATCH(PBH_RR!D60,SF_Data!B:B,0))-INDEX(SF_Data!R:R,MATCH(PBH_RR!D60,SF_Data!B:B,0)),""),IF(INDEX(SF_Data!M:M,MATCH(PBH_RR!D60,SF_Data!B:B,0))="FC",INDEX(PBH_Lines!K:K,MATCH(PBH_RR!A60,PBH_Lines!M:M,0)),"")))))</f>
        <v/>
      </c>
      <c r="F60" t="str">
        <f>IF(PBH_RR!A60="","",IF(OR(PBH_RR!E60="FH Matrix",PBH_RR!E60="FC Matrix"),PBH_RR!I60,IF(INDEX(SF_Data!F:F,MATCH(PBH_RR!D60,SF_Data!B:B,0))="Greater(FH/FC)",IF(INDEX(SF_Data!M:M,MATCH(PBH_RR!D60,SF_Data!B:B,0))="FH",INDEX(SF_Data!S:S,MATCH(PBH_RR!D60,SF_Data!B:B,0)),""),IF(PBH_RR!E60="Both(FH+FC)",IF(PBH_RR!L60="FH",PBH_RR!I60,""),INDEX(SF_Data!S:S,MATCH(PBH_RR!D60,SF_Data!B:B,0))))))</f>
        <v/>
      </c>
      <c r="G60" t="str">
        <f>IF(PBH_RR!A60="","",IF(OR(PBH_RR!E60="FH Matrix",PBH_RR!E60="FC Matrix"),PBH_RR!J60,IF(INDEX(SF_Data!F:F,MATCH(PBH_RR!D60,SF_Data!B:B,0))="Greater(FH/FC)",IF(INDEX(SF_Data!M:M,MATCH(PBH_RR!D60,SF_Data!B:B,0))="FC",INDEX(SF_Data!T:T,MATCH(PBH_RR!D60,SF_Data!B:B,0)),""),IF(PBH_RR!E60="Both(FH+FC)",IF(PBH_RR!L60="FC",PBH_RR!J60,""),INDEX(SF_Data!T:T,MATCH(PBH_RR!D60,SF_Data!B:B,0))))))</f>
        <v/>
      </c>
      <c r="H60" t="str">
        <f>IF(PBH_RR!A60="","",IF(PBH_RR!E60="Both(FH+FC)",PBH_RR!P60,IF(OR(PBH_RR!E60="FH Matrix",PBH_RR!E60="FC Matrix"),INDEX(PBH_Lines!O:O,MATCH(PBH_RR!A60,PBH_Lines!M:M,0)),INDEX(SF_Data!U:U,MATCH(PBH_RR!D60,SF_Data!B:B,0)))))</f>
        <v/>
      </c>
      <c r="J60" t="str">
        <f t="shared" si="1"/>
        <v/>
      </c>
      <c r="K60" t="str">
        <f t="shared" si="2"/>
        <v/>
      </c>
      <c r="L60" t="str">
        <f t="shared" si="3"/>
        <v/>
      </c>
      <c r="M60" t="str">
        <f t="shared" si="4"/>
        <v/>
      </c>
      <c r="N60" t="str">
        <f t="shared" si="5"/>
        <v/>
      </c>
      <c r="O60" t="str">
        <f t="shared" si="6"/>
        <v/>
      </c>
      <c r="P60" t="str">
        <f t="shared" si="7"/>
        <v/>
      </c>
      <c r="Q60" t="str">
        <f t="shared" si="8"/>
        <v/>
      </c>
    </row>
    <row r="61" spans="1:17" x14ac:dyDescent="0.35">
      <c r="A61" t="str">
        <f>IF(PBH_RR!A61="","",IF(OR(PBH_RR!E61="FH Matrix", PBH_RR!E61="FC Matrix"),PBH_RR!C61,INDEX(SF_Data!D:D, MATCH(PBH_RR!D61, SF_Data!B:B, 0))))</f>
        <v/>
      </c>
      <c r="B61" t="str">
        <f>IF(PBH_RR!A61="","",IF(OR(PBH_RR!E61="FH Matrix",PBH_RR!E61="FC Matrix"),PBH_RR!G61,IF(INDEX(SF_Data!F:F,MATCH(PBH_RR!D61,SF_Data!B:B,0))="Greater(FH/FC)",IF(INDEX(SF_Data!M:M,MATCH(PBH_RR!D61,SF_Data!B:B,0))="FH",INDEX(SF_Data!Q:Q,MATCH(PBH_RR!D61,SF_Data!B:B,0)),""),IF(PBH_RR!E61="Both(FH+FC)",IF(PBH_RR!L61="FH",PBH_RR!G61,""),INDEX(SF_Data!Q:Q,MATCH(PBH_RR!D61,SF_Data!B:B,0))))))</f>
        <v/>
      </c>
      <c r="C61" t="str">
        <f>IF(PBH_RR!A61="","",IF(OR(PBH_RR!E61="FH Matrix",PBH_RR!E61="FC Matrix"),PBH_RR!H61,IF(INDEX(SF_Data!F:F,MATCH(PBH_RR!D61,SF_Data!B:B,0))="Greater(FH/FC)",IF(INDEX(SF_Data!M:M,MATCH(PBH_RR!D61,SF_Data!B:B,0))="FC",INDEX(SF_Data!R:R,MATCH(PBH_RR!D61,SF_Data!B:B,0)),""),IF(PBH_RR!E61="Both(FH+FC)",IF(PBH_RR!L61="FC",PBH_RR!H61,""),INDEX(SF_Data!R:R,MATCH(PBH_RR!D61,SF_Data!B:B,0))))))</f>
        <v/>
      </c>
      <c r="D61" t="str">
        <f>IF(PBH_RR!A61="","",IF(OR(PBH_RR!E61="Hourly",PBH_RR!E61="Cycle"),IF(INDEX(SF_Data!M:M,MATCH(PBH_RR!D61,SF_Data!B:B,0))="FH",INDEX(SF_Data!G:G,MATCH(PBH_RR!D61,SF_Data!B:B,0)),""),IF(PBH_RR!E61="Both(FH+FC)",IF(PBH_RR!L61="FH",PBH_RR!M61-PBH_RR!G61,""),IF(PBH_RR!E61="Greater(FH/FC)",IF(INDEX(SF_Data!M:M,MATCH(PBH_RR!D61,SF_Data!B:B,0))="FH",INDEX(SF_Data!G:G,MATCH(PBH_RR!D61,SF_Data!B:B,0))-INDEX(SF_Data!Q:Q,MATCH(PBH_RR!D61,SF_Data!B:B,0)),""),IF(INDEX(SF_Data!M:M,MATCH(PBH_RR!D61,SF_Data!B:B,0))="FH",INDEX(PBH_Lines!K:K,MATCH(PBH_RR!A61,PBH_Lines!M:M,0)),"")))))</f>
        <v/>
      </c>
      <c r="E61" t="str">
        <f>IF(PBH_RR!A61="","",IF(OR(PBH_RR!E61="Hourly",PBH_RR!E61="Cycle"),IF(INDEX(SF_Data!M:M,MATCH(PBH_RR!D61,SF_Data!B:B,0))="FC",INDEX(SF_Data!G:G,MATCH(PBH_RR!D61,SF_Data!B:B,0)),""),IF(PBH_RR!E61="Both(FH+FC)",IF(PBH_RR!L61="FC",PBH_RR!M61-PBH_RR!H61,""),IF(PBH_RR!E61="Greater(FH/FC)",IF(INDEX(SF_Data!M:M,MATCH(PBH_RR!D61,SF_Data!B:B,0))="FC",INDEX(SF_Data!G:G,MATCH(PBH_RR!D61,SF_Data!B:B,0))-INDEX(SF_Data!R:R,MATCH(PBH_RR!D61,SF_Data!B:B,0)),""),IF(INDEX(SF_Data!M:M,MATCH(PBH_RR!D61,SF_Data!B:B,0))="FC",INDEX(PBH_Lines!K:K,MATCH(PBH_RR!A61,PBH_Lines!M:M,0)),"")))))</f>
        <v/>
      </c>
      <c r="F61" t="str">
        <f>IF(PBH_RR!A61="","",IF(OR(PBH_RR!E61="FH Matrix",PBH_RR!E61="FC Matrix"),PBH_RR!I61,IF(INDEX(SF_Data!F:F,MATCH(PBH_RR!D61,SF_Data!B:B,0))="Greater(FH/FC)",IF(INDEX(SF_Data!M:M,MATCH(PBH_RR!D61,SF_Data!B:B,0))="FH",INDEX(SF_Data!S:S,MATCH(PBH_RR!D61,SF_Data!B:B,0)),""),IF(PBH_RR!E61="Both(FH+FC)",IF(PBH_RR!L61="FH",PBH_RR!I61,""),INDEX(SF_Data!S:S,MATCH(PBH_RR!D61,SF_Data!B:B,0))))))</f>
        <v/>
      </c>
      <c r="G61" t="str">
        <f>IF(PBH_RR!A61="","",IF(OR(PBH_RR!E61="FH Matrix",PBH_RR!E61="FC Matrix"),PBH_RR!J61,IF(INDEX(SF_Data!F:F,MATCH(PBH_RR!D61,SF_Data!B:B,0))="Greater(FH/FC)",IF(INDEX(SF_Data!M:M,MATCH(PBH_RR!D61,SF_Data!B:B,0))="FC",INDEX(SF_Data!T:T,MATCH(PBH_RR!D61,SF_Data!B:B,0)),""),IF(PBH_RR!E61="Both(FH+FC)",IF(PBH_RR!L61="FC",PBH_RR!J61,""),INDEX(SF_Data!T:T,MATCH(PBH_RR!D61,SF_Data!B:B,0))))))</f>
        <v/>
      </c>
      <c r="H61" t="str">
        <f>IF(PBH_RR!A61="","",IF(PBH_RR!E61="Both(FH+FC)",PBH_RR!P61,IF(OR(PBH_RR!E61="FH Matrix",PBH_RR!E61="FC Matrix"),INDEX(PBH_Lines!O:O,MATCH(PBH_RR!A61,PBH_Lines!M:M,0)),INDEX(SF_Data!U:U,MATCH(PBH_RR!D61,SF_Data!B:B,0)))))</f>
        <v/>
      </c>
      <c r="J61" t="str">
        <f t="shared" si="1"/>
        <v/>
      </c>
      <c r="K61" t="str">
        <f t="shared" si="2"/>
        <v/>
      </c>
      <c r="L61" t="str">
        <f t="shared" si="3"/>
        <v/>
      </c>
      <c r="M61" t="str">
        <f t="shared" si="4"/>
        <v/>
      </c>
      <c r="N61" t="str">
        <f t="shared" si="5"/>
        <v/>
      </c>
      <c r="O61" t="str">
        <f t="shared" si="6"/>
        <v/>
      </c>
      <c r="P61" t="str">
        <f t="shared" si="7"/>
        <v/>
      </c>
      <c r="Q61" t="str">
        <f t="shared" si="8"/>
        <v/>
      </c>
    </row>
    <row r="62" spans="1:17" x14ac:dyDescent="0.35">
      <c r="A62" t="str">
        <f>IF(PBH_RR!A62="","",IF(OR(PBH_RR!E62="FH Matrix", PBH_RR!E62="FC Matrix"),PBH_RR!C62,INDEX(SF_Data!D:D, MATCH(PBH_RR!D62, SF_Data!B:B, 0))))</f>
        <v/>
      </c>
      <c r="B62" t="str">
        <f>IF(PBH_RR!A62="","",IF(OR(PBH_RR!E62="FH Matrix",PBH_RR!E62="FC Matrix"),PBH_RR!G62,IF(INDEX(SF_Data!F:F,MATCH(PBH_RR!D62,SF_Data!B:B,0))="Greater(FH/FC)",IF(INDEX(SF_Data!M:M,MATCH(PBH_RR!D62,SF_Data!B:B,0))="FH",INDEX(SF_Data!Q:Q,MATCH(PBH_RR!D62,SF_Data!B:B,0)),""),IF(PBH_RR!E62="Both(FH+FC)",IF(PBH_RR!L62="FH",PBH_RR!G62,""),INDEX(SF_Data!Q:Q,MATCH(PBH_RR!D62,SF_Data!B:B,0))))))</f>
        <v/>
      </c>
      <c r="C62" t="str">
        <f>IF(PBH_RR!A62="","",IF(OR(PBH_RR!E62="FH Matrix",PBH_RR!E62="FC Matrix"),PBH_RR!H62,IF(INDEX(SF_Data!F:F,MATCH(PBH_RR!D62,SF_Data!B:B,0))="Greater(FH/FC)",IF(INDEX(SF_Data!M:M,MATCH(PBH_RR!D62,SF_Data!B:B,0))="FC",INDEX(SF_Data!R:R,MATCH(PBH_RR!D62,SF_Data!B:B,0)),""),IF(PBH_RR!E62="Both(FH+FC)",IF(PBH_RR!L62="FC",PBH_RR!H62,""),INDEX(SF_Data!R:R,MATCH(PBH_RR!D62,SF_Data!B:B,0))))))</f>
        <v/>
      </c>
      <c r="D62" t="str">
        <f>IF(PBH_RR!A62="","",IF(OR(PBH_RR!E62="Hourly",PBH_RR!E62="Cycle"),IF(INDEX(SF_Data!M:M,MATCH(PBH_RR!D62,SF_Data!B:B,0))="FH",INDEX(SF_Data!G:G,MATCH(PBH_RR!D62,SF_Data!B:B,0)),""),IF(PBH_RR!E62="Both(FH+FC)",IF(PBH_RR!L62="FH",PBH_RR!M62-PBH_RR!G62,""),IF(PBH_RR!E62="Greater(FH/FC)",IF(INDEX(SF_Data!M:M,MATCH(PBH_RR!D62,SF_Data!B:B,0))="FH",INDEX(SF_Data!G:G,MATCH(PBH_RR!D62,SF_Data!B:B,0))-INDEX(SF_Data!Q:Q,MATCH(PBH_RR!D62,SF_Data!B:B,0)),""),IF(INDEX(SF_Data!M:M,MATCH(PBH_RR!D62,SF_Data!B:B,0))="FH",INDEX(PBH_Lines!K:K,MATCH(PBH_RR!A62,PBH_Lines!M:M,0)),"")))))</f>
        <v/>
      </c>
      <c r="E62" t="str">
        <f>IF(PBH_RR!A62="","",IF(OR(PBH_RR!E62="Hourly",PBH_RR!E62="Cycle"),IF(INDEX(SF_Data!M:M,MATCH(PBH_RR!D62,SF_Data!B:B,0))="FC",INDEX(SF_Data!G:G,MATCH(PBH_RR!D62,SF_Data!B:B,0)),""),IF(PBH_RR!E62="Both(FH+FC)",IF(PBH_RR!L62="FC",PBH_RR!M62-PBH_RR!H62,""),IF(PBH_RR!E62="Greater(FH/FC)",IF(INDEX(SF_Data!M:M,MATCH(PBH_RR!D62,SF_Data!B:B,0))="FC",INDEX(SF_Data!G:G,MATCH(PBH_RR!D62,SF_Data!B:B,0))-INDEX(SF_Data!R:R,MATCH(PBH_RR!D62,SF_Data!B:B,0)),""),IF(INDEX(SF_Data!M:M,MATCH(PBH_RR!D62,SF_Data!B:B,0))="FC",INDEX(PBH_Lines!K:K,MATCH(PBH_RR!A62,PBH_Lines!M:M,0)),"")))))</f>
        <v/>
      </c>
      <c r="F62" t="str">
        <f>IF(PBH_RR!A62="","",IF(OR(PBH_RR!E62="FH Matrix",PBH_RR!E62="FC Matrix"),PBH_RR!I62,IF(INDEX(SF_Data!F:F,MATCH(PBH_RR!D62,SF_Data!B:B,0))="Greater(FH/FC)",IF(INDEX(SF_Data!M:M,MATCH(PBH_RR!D62,SF_Data!B:B,0))="FH",INDEX(SF_Data!S:S,MATCH(PBH_RR!D62,SF_Data!B:B,0)),""),IF(PBH_RR!E62="Both(FH+FC)",IF(PBH_RR!L62="FH",PBH_RR!I62,""),INDEX(SF_Data!S:S,MATCH(PBH_RR!D62,SF_Data!B:B,0))))))</f>
        <v/>
      </c>
      <c r="G62" t="str">
        <f>IF(PBH_RR!A62="","",IF(OR(PBH_RR!E62="FH Matrix",PBH_RR!E62="FC Matrix"),PBH_RR!J62,IF(INDEX(SF_Data!F:F,MATCH(PBH_RR!D62,SF_Data!B:B,0))="Greater(FH/FC)",IF(INDEX(SF_Data!M:M,MATCH(PBH_RR!D62,SF_Data!B:B,0))="FC",INDEX(SF_Data!T:T,MATCH(PBH_RR!D62,SF_Data!B:B,0)),""),IF(PBH_RR!E62="Both(FH+FC)",IF(PBH_RR!L62="FC",PBH_RR!J62,""),INDEX(SF_Data!T:T,MATCH(PBH_RR!D62,SF_Data!B:B,0))))))</f>
        <v/>
      </c>
      <c r="H62" t="str">
        <f>IF(PBH_RR!A62="","",IF(PBH_RR!E62="Both(FH+FC)",PBH_RR!P62,IF(OR(PBH_RR!E62="FH Matrix",PBH_RR!E62="FC Matrix"),INDEX(PBH_Lines!O:O,MATCH(PBH_RR!A62,PBH_Lines!M:M,0)),INDEX(SF_Data!U:U,MATCH(PBH_RR!D62,SF_Data!B:B,0)))))</f>
        <v/>
      </c>
      <c r="J62" t="str">
        <f t="shared" si="1"/>
        <v/>
      </c>
      <c r="K62" t="str">
        <f t="shared" si="2"/>
        <v/>
      </c>
      <c r="L62" t="str">
        <f t="shared" si="3"/>
        <v/>
      </c>
      <c r="M62" t="str">
        <f t="shared" si="4"/>
        <v/>
      </c>
      <c r="N62" t="str">
        <f t="shared" si="5"/>
        <v/>
      </c>
      <c r="O62" t="str">
        <f t="shared" si="6"/>
        <v/>
      </c>
      <c r="P62" t="str">
        <f t="shared" si="7"/>
        <v/>
      </c>
      <c r="Q62" t="str">
        <f t="shared" si="8"/>
        <v/>
      </c>
    </row>
    <row r="63" spans="1:17" x14ac:dyDescent="0.35">
      <c r="A63" t="str">
        <f>IF(PBH_RR!A63="","",IF(OR(PBH_RR!E63="FH Matrix", PBH_RR!E63="FC Matrix"),PBH_RR!C63,INDEX(SF_Data!D:D, MATCH(PBH_RR!D63, SF_Data!B:B, 0))))</f>
        <v/>
      </c>
      <c r="B63" t="str">
        <f>IF(PBH_RR!A63="","",IF(OR(PBH_RR!E63="FH Matrix",PBH_RR!E63="FC Matrix"),PBH_RR!G63,IF(INDEX(SF_Data!F:F,MATCH(PBH_RR!D63,SF_Data!B:B,0))="Greater(FH/FC)",IF(INDEX(SF_Data!M:M,MATCH(PBH_RR!D63,SF_Data!B:B,0))="FH",INDEX(SF_Data!Q:Q,MATCH(PBH_RR!D63,SF_Data!B:B,0)),""),IF(PBH_RR!E63="Both(FH+FC)",IF(PBH_RR!L63="FH",PBH_RR!G63,""),INDEX(SF_Data!Q:Q,MATCH(PBH_RR!D63,SF_Data!B:B,0))))))</f>
        <v/>
      </c>
      <c r="C63" t="str">
        <f>IF(PBH_RR!A63="","",IF(OR(PBH_RR!E63="FH Matrix",PBH_RR!E63="FC Matrix"),PBH_RR!H63,IF(INDEX(SF_Data!F:F,MATCH(PBH_RR!D63,SF_Data!B:B,0))="Greater(FH/FC)",IF(INDEX(SF_Data!M:M,MATCH(PBH_RR!D63,SF_Data!B:B,0))="FC",INDEX(SF_Data!R:R,MATCH(PBH_RR!D63,SF_Data!B:B,0)),""),IF(PBH_RR!E63="Both(FH+FC)",IF(PBH_RR!L63="FC",PBH_RR!H63,""),INDEX(SF_Data!R:R,MATCH(PBH_RR!D63,SF_Data!B:B,0))))))</f>
        <v/>
      </c>
      <c r="D63" t="str">
        <f>IF(PBH_RR!A63="","",IF(OR(PBH_RR!E63="Hourly",PBH_RR!E63="Cycle"),IF(INDEX(SF_Data!M:M,MATCH(PBH_RR!D63,SF_Data!B:B,0))="FH",INDEX(SF_Data!G:G,MATCH(PBH_RR!D63,SF_Data!B:B,0)),""),IF(PBH_RR!E63="Both(FH+FC)",IF(PBH_RR!L63="FH",PBH_RR!M63-PBH_RR!G63,""),IF(PBH_RR!E63="Greater(FH/FC)",IF(INDEX(SF_Data!M:M,MATCH(PBH_RR!D63,SF_Data!B:B,0))="FH",INDEX(SF_Data!G:G,MATCH(PBH_RR!D63,SF_Data!B:B,0))-INDEX(SF_Data!Q:Q,MATCH(PBH_RR!D63,SF_Data!B:B,0)),""),IF(INDEX(SF_Data!M:M,MATCH(PBH_RR!D63,SF_Data!B:B,0))="FH",INDEX(PBH_Lines!K:K,MATCH(PBH_RR!A63,PBH_Lines!M:M,0)),"")))))</f>
        <v/>
      </c>
      <c r="E63" t="str">
        <f>IF(PBH_RR!A63="","",IF(OR(PBH_RR!E63="Hourly",PBH_RR!E63="Cycle"),IF(INDEX(SF_Data!M:M,MATCH(PBH_RR!D63,SF_Data!B:B,0))="FC",INDEX(SF_Data!G:G,MATCH(PBH_RR!D63,SF_Data!B:B,0)),""),IF(PBH_RR!E63="Both(FH+FC)",IF(PBH_RR!L63="FC",PBH_RR!M63-PBH_RR!H63,""),IF(PBH_RR!E63="Greater(FH/FC)",IF(INDEX(SF_Data!M:M,MATCH(PBH_RR!D63,SF_Data!B:B,0))="FC",INDEX(SF_Data!G:G,MATCH(PBH_RR!D63,SF_Data!B:B,0))-INDEX(SF_Data!R:R,MATCH(PBH_RR!D63,SF_Data!B:B,0)),""),IF(INDEX(SF_Data!M:M,MATCH(PBH_RR!D63,SF_Data!B:B,0))="FC",INDEX(PBH_Lines!K:K,MATCH(PBH_RR!A63,PBH_Lines!M:M,0)),"")))))</f>
        <v/>
      </c>
      <c r="F63" t="str">
        <f>IF(PBH_RR!A63="","",IF(OR(PBH_RR!E63="FH Matrix",PBH_RR!E63="FC Matrix"),PBH_RR!I63,IF(INDEX(SF_Data!F:F,MATCH(PBH_RR!D63,SF_Data!B:B,0))="Greater(FH/FC)",IF(INDEX(SF_Data!M:M,MATCH(PBH_RR!D63,SF_Data!B:B,0))="FH",INDEX(SF_Data!S:S,MATCH(PBH_RR!D63,SF_Data!B:B,0)),""),IF(PBH_RR!E63="Both(FH+FC)",IF(PBH_RR!L63="FH",PBH_RR!I63,""),INDEX(SF_Data!S:S,MATCH(PBH_RR!D63,SF_Data!B:B,0))))))</f>
        <v/>
      </c>
      <c r="G63" t="str">
        <f>IF(PBH_RR!A63="","",IF(OR(PBH_RR!E63="FH Matrix",PBH_RR!E63="FC Matrix"),PBH_RR!J63,IF(INDEX(SF_Data!F:F,MATCH(PBH_RR!D63,SF_Data!B:B,0))="Greater(FH/FC)",IF(INDEX(SF_Data!M:M,MATCH(PBH_RR!D63,SF_Data!B:B,0))="FC",INDEX(SF_Data!T:T,MATCH(PBH_RR!D63,SF_Data!B:B,0)),""),IF(PBH_RR!E63="Both(FH+FC)",IF(PBH_RR!L63="FC",PBH_RR!J63,""),INDEX(SF_Data!T:T,MATCH(PBH_RR!D63,SF_Data!B:B,0))))))</f>
        <v/>
      </c>
      <c r="H63" t="str">
        <f>IF(PBH_RR!A63="","",IF(PBH_RR!E63="Both(FH+FC)",PBH_RR!P63,IF(OR(PBH_RR!E63="FH Matrix",PBH_RR!E63="FC Matrix"),INDEX(PBH_Lines!O:O,MATCH(PBH_RR!A63,PBH_Lines!M:M,0)),INDEX(SF_Data!U:U,MATCH(PBH_RR!D63,SF_Data!B:B,0)))))</f>
        <v/>
      </c>
      <c r="J63" t="str">
        <f t="shared" si="1"/>
        <v/>
      </c>
      <c r="K63" t="str">
        <f t="shared" si="2"/>
        <v/>
      </c>
      <c r="L63" t="str">
        <f t="shared" si="3"/>
        <v/>
      </c>
      <c r="M63" t="str">
        <f t="shared" si="4"/>
        <v/>
      </c>
      <c r="N63" t="str">
        <f t="shared" si="5"/>
        <v/>
      </c>
      <c r="O63" t="str">
        <f t="shared" si="6"/>
        <v/>
      </c>
      <c r="P63" t="str">
        <f t="shared" si="7"/>
        <v/>
      </c>
      <c r="Q63" t="str">
        <f t="shared" si="8"/>
        <v/>
      </c>
    </row>
    <row r="64" spans="1:17" x14ac:dyDescent="0.35">
      <c r="A64" t="str">
        <f>IF(PBH_RR!A64="","",IF(OR(PBH_RR!E64="FH Matrix", PBH_RR!E64="FC Matrix"),PBH_RR!C64,INDEX(SF_Data!D:D, MATCH(PBH_RR!D64, SF_Data!B:B, 0))))</f>
        <v/>
      </c>
      <c r="B64" t="str">
        <f>IF(PBH_RR!A64="","",IF(OR(PBH_RR!E64="FH Matrix",PBH_RR!E64="FC Matrix"),PBH_RR!G64,IF(INDEX(SF_Data!F:F,MATCH(PBH_RR!D64,SF_Data!B:B,0))="Greater(FH/FC)",IF(INDEX(SF_Data!M:M,MATCH(PBH_RR!D64,SF_Data!B:B,0))="FH",INDEX(SF_Data!Q:Q,MATCH(PBH_RR!D64,SF_Data!B:B,0)),""),IF(PBH_RR!E64="Both(FH+FC)",IF(PBH_RR!L64="FH",PBH_RR!G64,""),INDEX(SF_Data!Q:Q,MATCH(PBH_RR!D64,SF_Data!B:B,0))))))</f>
        <v/>
      </c>
      <c r="C64" t="str">
        <f>IF(PBH_RR!A64="","",IF(OR(PBH_RR!E64="FH Matrix",PBH_RR!E64="FC Matrix"),PBH_RR!H64,IF(INDEX(SF_Data!F:F,MATCH(PBH_RR!D64,SF_Data!B:B,0))="Greater(FH/FC)",IF(INDEX(SF_Data!M:M,MATCH(PBH_RR!D64,SF_Data!B:B,0))="FC",INDEX(SF_Data!R:R,MATCH(PBH_RR!D64,SF_Data!B:B,0)),""),IF(PBH_RR!E64="Both(FH+FC)",IF(PBH_RR!L64="FC",PBH_RR!H64,""),INDEX(SF_Data!R:R,MATCH(PBH_RR!D64,SF_Data!B:B,0))))))</f>
        <v/>
      </c>
      <c r="D64" t="str">
        <f>IF(PBH_RR!A64="","",IF(OR(PBH_RR!E64="Hourly",PBH_RR!E64="Cycle"),IF(INDEX(SF_Data!M:M,MATCH(PBH_RR!D64,SF_Data!B:B,0))="FH",INDEX(SF_Data!G:G,MATCH(PBH_RR!D64,SF_Data!B:B,0)),""),IF(PBH_RR!E64="Both(FH+FC)",IF(PBH_RR!L64="FH",PBH_RR!M64-PBH_RR!G64,""),IF(PBH_RR!E64="Greater(FH/FC)",IF(INDEX(SF_Data!M:M,MATCH(PBH_RR!D64,SF_Data!B:B,0))="FH",INDEX(SF_Data!G:G,MATCH(PBH_RR!D64,SF_Data!B:B,0))-INDEX(SF_Data!Q:Q,MATCH(PBH_RR!D64,SF_Data!B:B,0)),""),IF(INDEX(SF_Data!M:M,MATCH(PBH_RR!D64,SF_Data!B:B,0))="FH",INDEX(PBH_Lines!K:K,MATCH(PBH_RR!A64,PBH_Lines!M:M,0)),"")))))</f>
        <v/>
      </c>
      <c r="E64" t="str">
        <f>IF(PBH_RR!A64="","",IF(OR(PBH_RR!E64="Hourly",PBH_RR!E64="Cycle"),IF(INDEX(SF_Data!M:M,MATCH(PBH_RR!D64,SF_Data!B:B,0))="FC",INDEX(SF_Data!G:G,MATCH(PBH_RR!D64,SF_Data!B:B,0)),""),IF(PBH_RR!E64="Both(FH+FC)",IF(PBH_RR!L64="FC",PBH_RR!M64-PBH_RR!H64,""),IF(PBH_RR!E64="Greater(FH/FC)",IF(INDEX(SF_Data!M:M,MATCH(PBH_RR!D64,SF_Data!B:B,0))="FC",INDEX(SF_Data!G:G,MATCH(PBH_RR!D64,SF_Data!B:B,0))-INDEX(SF_Data!R:R,MATCH(PBH_RR!D64,SF_Data!B:B,0)),""),IF(INDEX(SF_Data!M:M,MATCH(PBH_RR!D64,SF_Data!B:B,0))="FC",INDEX(PBH_Lines!K:K,MATCH(PBH_RR!A64,PBH_Lines!M:M,0)),"")))))</f>
        <v/>
      </c>
      <c r="F64" t="str">
        <f>IF(PBH_RR!A64="","",IF(OR(PBH_RR!E64="FH Matrix",PBH_RR!E64="FC Matrix"),PBH_RR!I64,IF(INDEX(SF_Data!F:F,MATCH(PBH_RR!D64,SF_Data!B:B,0))="Greater(FH/FC)",IF(INDEX(SF_Data!M:M,MATCH(PBH_RR!D64,SF_Data!B:B,0))="FH",INDEX(SF_Data!S:S,MATCH(PBH_RR!D64,SF_Data!B:B,0)),""),IF(PBH_RR!E64="Both(FH+FC)",IF(PBH_RR!L64="FH",PBH_RR!I64,""),INDEX(SF_Data!S:S,MATCH(PBH_RR!D64,SF_Data!B:B,0))))))</f>
        <v/>
      </c>
      <c r="G64" t="str">
        <f>IF(PBH_RR!A64="","",IF(OR(PBH_RR!E64="FH Matrix",PBH_RR!E64="FC Matrix"),PBH_RR!J64,IF(INDEX(SF_Data!F:F,MATCH(PBH_RR!D64,SF_Data!B:B,0))="Greater(FH/FC)",IF(INDEX(SF_Data!M:M,MATCH(PBH_RR!D64,SF_Data!B:B,0))="FC",INDEX(SF_Data!T:T,MATCH(PBH_RR!D64,SF_Data!B:B,0)),""),IF(PBH_RR!E64="Both(FH+FC)",IF(PBH_RR!L64="FC",PBH_RR!J64,""),INDEX(SF_Data!T:T,MATCH(PBH_RR!D64,SF_Data!B:B,0))))))</f>
        <v/>
      </c>
      <c r="H64" t="str">
        <f>IF(PBH_RR!A64="","",IF(PBH_RR!E64="Both(FH+FC)",PBH_RR!P64,IF(OR(PBH_RR!E64="FH Matrix",PBH_RR!E64="FC Matrix"),INDEX(PBH_Lines!O:O,MATCH(PBH_RR!A64,PBH_Lines!M:M,0)),INDEX(SF_Data!U:U,MATCH(PBH_RR!D64,SF_Data!B:B,0)))))</f>
        <v/>
      </c>
      <c r="J64" t="str">
        <f t="shared" si="1"/>
        <v/>
      </c>
      <c r="K64" t="str">
        <f t="shared" si="2"/>
        <v/>
      </c>
      <c r="L64" t="str">
        <f t="shared" si="3"/>
        <v/>
      </c>
      <c r="M64" t="str">
        <f t="shared" si="4"/>
        <v/>
      </c>
      <c r="N64" t="str">
        <f t="shared" si="5"/>
        <v/>
      </c>
      <c r="O64" t="str">
        <f t="shared" si="6"/>
        <v/>
      </c>
      <c r="P64" t="str">
        <f t="shared" si="7"/>
        <v/>
      </c>
      <c r="Q64" t="str">
        <f t="shared" si="8"/>
        <v/>
      </c>
    </row>
    <row r="65" spans="1:17" x14ac:dyDescent="0.35">
      <c r="A65" t="str">
        <f>IF(PBH_RR!A65="","",IF(OR(PBH_RR!E65="FH Matrix", PBH_RR!E65="FC Matrix"),PBH_RR!C65,INDEX(SF_Data!D:D, MATCH(PBH_RR!D65, SF_Data!B:B, 0))))</f>
        <v/>
      </c>
      <c r="B65" t="str">
        <f>IF(PBH_RR!A65="","",IF(OR(PBH_RR!E65="FH Matrix",PBH_RR!E65="FC Matrix"),PBH_RR!G65,IF(INDEX(SF_Data!F:F,MATCH(PBH_RR!D65,SF_Data!B:B,0))="Greater(FH/FC)",IF(INDEX(SF_Data!M:M,MATCH(PBH_RR!D65,SF_Data!B:B,0))="FH",INDEX(SF_Data!Q:Q,MATCH(PBH_RR!D65,SF_Data!B:B,0)),""),IF(PBH_RR!E65="Both(FH+FC)",IF(PBH_RR!L65="FH",PBH_RR!G65,""),INDEX(SF_Data!Q:Q,MATCH(PBH_RR!D65,SF_Data!B:B,0))))))</f>
        <v/>
      </c>
      <c r="C65" t="str">
        <f>IF(PBH_RR!A65="","",IF(OR(PBH_RR!E65="FH Matrix",PBH_RR!E65="FC Matrix"),PBH_RR!H65,IF(INDEX(SF_Data!F:F,MATCH(PBH_RR!D65,SF_Data!B:B,0))="Greater(FH/FC)",IF(INDEX(SF_Data!M:M,MATCH(PBH_RR!D65,SF_Data!B:B,0))="FC",INDEX(SF_Data!R:R,MATCH(PBH_RR!D65,SF_Data!B:B,0)),""),IF(PBH_RR!E65="Both(FH+FC)",IF(PBH_RR!L65="FC",PBH_RR!H65,""),INDEX(SF_Data!R:R,MATCH(PBH_RR!D65,SF_Data!B:B,0))))))</f>
        <v/>
      </c>
      <c r="D65" t="str">
        <f>IF(PBH_RR!A65="","",IF(OR(PBH_RR!E65="Hourly",PBH_RR!E65="Cycle"),IF(INDEX(SF_Data!M:M,MATCH(PBH_RR!D65,SF_Data!B:B,0))="FH",INDEX(SF_Data!G:G,MATCH(PBH_RR!D65,SF_Data!B:B,0)),""),IF(PBH_RR!E65="Both(FH+FC)",IF(PBH_RR!L65="FH",PBH_RR!M65-PBH_RR!G65,""),IF(PBH_RR!E65="Greater(FH/FC)",IF(INDEX(SF_Data!M:M,MATCH(PBH_RR!D65,SF_Data!B:B,0))="FH",INDEX(SF_Data!G:G,MATCH(PBH_RR!D65,SF_Data!B:B,0))-INDEX(SF_Data!Q:Q,MATCH(PBH_RR!D65,SF_Data!B:B,0)),""),IF(INDEX(SF_Data!M:M,MATCH(PBH_RR!D65,SF_Data!B:B,0))="FH",INDEX(PBH_Lines!K:K,MATCH(PBH_RR!A65,PBH_Lines!M:M,0)),"")))))</f>
        <v/>
      </c>
      <c r="E65" t="str">
        <f>IF(PBH_RR!A65="","",IF(OR(PBH_RR!E65="Hourly",PBH_RR!E65="Cycle"),IF(INDEX(SF_Data!M:M,MATCH(PBH_RR!D65,SF_Data!B:B,0))="FC",INDEX(SF_Data!G:G,MATCH(PBH_RR!D65,SF_Data!B:B,0)),""),IF(PBH_RR!E65="Both(FH+FC)",IF(PBH_RR!L65="FC",PBH_RR!M65-PBH_RR!H65,""),IF(PBH_RR!E65="Greater(FH/FC)",IF(INDEX(SF_Data!M:M,MATCH(PBH_RR!D65,SF_Data!B:B,0))="FC",INDEX(SF_Data!G:G,MATCH(PBH_RR!D65,SF_Data!B:B,0))-INDEX(SF_Data!R:R,MATCH(PBH_RR!D65,SF_Data!B:B,0)),""),IF(INDEX(SF_Data!M:M,MATCH(PBH_RR!D65,SF_Data!B:B,0))="FC",INDEX(PBH_Lines!K:K,MATCH(PBH_RR!A65,PBH_Lines!M:M,0)),"")))))</f>
        <v/>
      </c>
      <c r="F65" t="str">
        <f>IF(PBH_RR!A65="","",IF(OR(PBH_RR!E65="FH Matrix",PBH_RR!E65="FC Matrix"),PBH_RR!I65,IF(INDEX(SF_Data!F:F,MATCH(PBH_RR!D65,SF_Data!B:B,0))="Greater(FH/FC)",IF(INDEX(SF_Data!M:M,MATCH(PBH_RR!D65,SF_Data!B:B,0))="FH",INDEX(SF_Data!S:S,MATCH(PBH_RR!D65,SF_Data!B:B,0)),""),IF(PBH_RR!E65="Both(FH+FC)",IF(PBH_RR!L65="FH",PBH_RR!I65,""),INDEX(SF_Data!S:S,MATCH(PBH_RR!D65,SF_Data!B:B,0))))))</f>
        <v/>
      </c>
      <c r="G65" t="str">
        <f>IF(PBH_RR!A65="","",IF(OR(PBH_RR!E65="FH Matrix",PBH_RR!E65="FC Matrix"),PBH_RR!J65,IF(INDEX(SF_Data!F:F,MATCH(PBH_RR!D65,SF_Data!B:B,0))="Greater(FH/FC)",IF(INDEX(SF_Data!M:M,MATCH(PBH_RR!D65,SF_Data!B:B,0))="FC",INDEX(SF_Data!T:T,MATCH(PBH_RR!D65,SF_Data!B:B,0)),""),IF(PBH_RR!E65="Both(FH+FC)",IF(PBH_RR!L65="FC",PBH_RR!J65,""),INDEX(SF_Data!T:T,MATCH(PBH_RR!D65,SF_Data!B:B,0))))))</f>
        <v/>
      </c>
      <c r="H65" t="str">
        <f>IF(PBH_RR!A65="","",IF(PBH_RR!E65="Both(FH+FC)",PBH_RR!P65,IF(OR(PBH_RR!E65="FH Matrix",PBH_RR!E65="FC Matrix"),INDEX(PBH_Lines!O:O,MATCH(PBH_RR!A65,PBH_Lines!M:M,0)),INDEX(SF_Data!U:U,MATCH(PBH_RR!D65,SF_Data!B:B,0)))))</f>
        <v/>
      </c>
      <c r="J65" t="str">
        <f t="shared" si="1"/>
        <v/>
      </c>
      <c r="K65" t="str">
        <f t="shared" si="2"/>
        <v/>
      </c>
      <c r="L65" t="str">
        <f t="shared" si="3"/>
        <v/>
      </c>
      <c r="M65" t="str">
        <f t="shared" si="4"/>
        <v/>
      </c>
      <c r="N65" t="str">
        <f t="shared" si="5"/>
        <v/>
      </c>
      <c r="O65" t="str">
        <f t="shared" si="6"/>
        <v/>
      </c>
      <c r="P65" t="str">
        <f t="shared" si="7"/>
        <v/>
      </c>
      <c r="Q65" t="str">
        <f t="shared" si="8"/>
        <v/>
      </c>
    </row>
    <row r="66" spans="1:17" x14ac:dyDescent="0.35">
      <c r="A66" t="str">
        <f>IF(PBH_RR!A66="","",IF(OR(PBH_RR!E66="FH Matrix", PBH_RR!E66="FC Matrix"),PBH_RR!C66,INDEX(SF_Data!D:D, MATCH(PBH_RR!D66, SF_Data!B:B, 0))))</f>
        <v/>
      </c>
      <c r="B66" t="str">
        <f>IF(PBH_RR!A66="","",IF(OR(PBH_RR!E66="FH Matrix",PBH_RR!E66="FC Matrix"),PBH_RR!G66,IF(INDEX(SF_Data!F:F,MATCH(PBH_RR!D66,SF_Data!B:B,0))="Greater(FH/FC)",IF(INDEX(SF_Data!M:M,MATCH(PBH_RR!D66,SF_Data!B:B,0))="FH",INDEX(SF_Data!Q:Q,MATCH(PBH_RR!D66,SF_Data!B:B,0)),""),IF(PBH_RR!E66="Both(FH+FC)",IF(PBH_RR!L66="FH",PBH_RR!G66,""),INDEX(SF_Data!Q:Q,MATCH(PBH_RR!D66,SF_Data!B:B,0))))))</f>
        <v/>
      </c>
      <c r="C66" t="str">
        <f>IF(PBH_RR!A66="","",IF(OR(PBH_RR!E66="FH Matrix",PBH_RR!E66="FC Matrix"),PBH_RR!H66,IF(INDEX(SF_Data!F:F,MATCH(PBH_RR!D66,SF_Data!B:B,0))="Greater(FH/FC)",IF(INDEX(SF_Data!M:M,MATCH(PBH_RR!D66,SF_Data!B:B,0))="FC",INDEX(SF_Data!R:R,MATCH(PBH_RR!D66,SF_Data!B:B,0)),""),IF(PBH_RR!E66="Both(FH+FC)",IF(PBH_RR!L66="FC",PBH_RR!H66,""),INDEX(SF_Data!R:R,MATCH(PBH_RR!D66,SF_Data!B:B,0))))))</f>
        <v/>
      </c>
      <c r="D66" t="str">
        <f>IF(PBH_RR!A66="","",IF(OR(PBH_RR!E66="Hourly",PBH_RR!E66="Cycle"),IF(INDEX(SF_Data!M:M,MATCH(PBH_RR!D66,SF_Data!B:B,0))="FH",INDEX(SF_Data!G:G,MATCH(PBH_RR!D66,SF_Data!B:B,0)),""),IF(PBH_RR!E66="Both(FH+FC)",IF(PBH_RR!L66="FH",PBH_RR!M66-PBH_RR!G66,""),IF(PBH_RR!E66="Greater(FH/FC)",IF(INDEX(SF_Data!M:M,MATCH(PBH_RR!D66,SF_Data!B:B,0))="FH",INDEX(SF_Data!G:G,MATCH(PBH_RR!D66,SF_Data!B:B,0))-INDEX(SF_Data!Q:Q,MATCH(PBH_RR!D66,SF_Data!B:B,0)),""),IF(INDEX(SF_Data!M:M,MATCH(PBH_RR!D66,SF_Data!B:B,0))="FH",INDEX(PBH_Lines!K:K,MATCH(PBH_RR!A66,PBH_Lines!M:M,0)),"")))))</f>
        <v/>
      </c>
      <c r="E66" t="str">
        <f>IF(PBH_RR!A66="","",IF(OR(PBH_RR!E66="Hourly",PBH_RR!E66="Cycle"),IF(INDEX(SF_Data!M:M,MATCH(PBH_RR!D66,SF_Data!B:B,0))="FC",INDEX(SF_Data!G:G,MATCH(PBH_RR!D66,SF_Data!B:B,0)),""),IF(PBH_RR!E66="Both(FH+FC)",IF(PBH_RR!L66="FC",PBH_RR!M66-PBH_RR!H66,""),IF(PBH_RR!E66="Greater(FH/FC)",IF(INDEX(SF_Data!M:M,MATCH(PBH_RR!D66,SF_Data!B:B,0))="FC",INDEX(SF_Data!G:G,MATCH(PBH_RR!D66,SF_Data!B:B,0))-INDEX(SF_Data!R:R,MATCH(PBH_RR!D66,SF_Data!B:B,0)),""),IF(INDEX(SF_Data!M:M,MATCH(PBH_RR!D66,SF_Data!B:B,0))="FC",INDEX(PBH_Lines!K:K,MATCH(PBH_RR!A66,PBH_Lines!M:M,0)),"")))))</f>
        <v/>
      </c>
      <c r="F66" t="str">
        <f>IF(PBH_RR!A66="","",IF(OR(PBH_RR!E66="FH Matrix",PBH_RR!E66="FC Matrix"),PBH_RR!I66,IF(INDEX(SF_Data!F:F,MATCH(PBH_RR!D66,SF_Data!B:B,0))="Greater(FH/FC)",IF(INDEX(SF_Data!M:M,MATCH(PBH_RR!D66,SF_Data!B:B,0))="FH",INDEX(SF_Data!S:S,MATCH(PBH_RR!D66,SF_Data!B:B,0)),""),IF(PBH_RR!E66="Both(FH+FC)",IF(PBH_RR!L66="FH",PBH_RR!I66,""),INDEX(SF_Data!S:S,MATCH(PBH_RR!D66,SF_Data!B:B,0))))))</f>
        <v/>
      </c>
      <c r="G66" t="str">
        <f>IF(PBH_RR!A66="","",IF(OR(PBH_RR!E66="FH Matrix",PBH_RR!E66="FC Matrix"),PBH_RR!J66,IF(INDEX(SF_Data!F:F,MATCH(PBH_RR!D66,SF_Data!B:B,0))="Greater(FH/FC)",IF(INDEX(SF_Data!M:M,MATCH(PBH_RR!D66,SF_Data!B:B,0))="FC",INDEX(SF_Data!T:T,MATCH(PBH_RR!D66,SF_Data!B:B,0)),""),IF(PBH_RR!E66="Both(FH+FC)",IF(PBH_RR!L66="FC",PBH_RR!J66,""),INDEX(SF_Data!T:T,MATCH(PBH_RR!D66,SF_Data!B:B,0))))))</f>
        <v/>
      </c>
      <c r="H66" t="str">
        <f>IF(PBH_RR!A66="","",IF(PBH_RR!E66="Both(FH+FC)",PBH_RR!P66,IF(OR(PBH_RR!E66="FH Matrix",PBH_RR!E66="FC Matrix"),INDEX(PBH_Lines!O:O,MATCH(PBH_RR!A66,PBH_Lines!M:M,0)),INDEX(SF_Data!U:U,MATCH(PBH_RR!D66,SF_Data!B:B,0)))))</f>
        <v/>
      </c>
      <c r="J66" t="str">
        <f t="shared" si="1"/>
        <v/>
      </c>
      <c r="K66" t="str">
        <f t="shared" si="2"/>
        <v/>
      </c>
      <c r="L66" t="str">
        <f t="shared" si="3"/>
        <v/>
      </c>
      <c r="M66" t="str">
        <f t="shared" si="4"/>
        <v/>
      </c>
      <c r="N66" t="str">
        <f t="shared" si="5"/>
        <v/>
      </c>
      <c r="O66" t="str">
        <f t="shared" si="6"/>
        <v/>
      </c>
      <c r="P66" t="str">
        <f t="shared" si="7"/>
        <v/>
      </c>
      <c r="Q66" t="str">
        <f t="shared" si="8"/>
        <v/>
      </c>
    </row>
    <row r="67" spans="1:17" x14ac:dyDescent="0.35">
      <c r="A67" t="str">
        <f>IF(PBH_RR!A67="","",IF(OR(PBH_RR!E67="FH Matrix", PBH_RR!E67="FC Matrix"),PBH_RR!C67,INDEX(SF_Data!D:D, MATCH(PBH_RR!D67, SF_Data!B:B, 0))))</f>
        <v/>
      </c>
      <c r="B67" t="str">
        <f>IF(PBH_RR!A67="","",IF(OR(PBH_RR!E67="FH Matrix",PBH_RR!E67="FC Matrix"),PBH_RR!G67,IF(INDEX(SF_Data!F:F,MATCH(PBH_RR!D67,SF_Data!B:B,0))="Greater(FH/FC)",IF(INDEX(SF_Data!M:M,MATCH(PBH_RR!D67,SF_Data!B:B,0))="FH",INDEX(SF_Data!Q:Q,MATCH(PBH_RR!D67,SF_Data!B:B,0)),""),IF(PBH_RR!E67="Both(FH+FC)",IF(PBH_RR!L67="FH",PBH_RR!G67,""),INDEX(SF_Data!Q:Q,MATCH(PBH_RR!D67,SF_Data!B:B,0))))))</f>
        <v/>
      </c>
      <c r="C67" t="str">
        <f>IF(PBH_RR!A67="","",IF(OR(PBH_RR!E67="FH Matrix",PBH_RR!E67="FC Matrix"),PBH_RR!H67,IF(INDEX(SF_Data!F:F,MATCH(PBH_RR!D67,SF_Data!B:B,0))="Greater(FH/FC)",IF(INDEX(SF_Data!M:M,MATCH(PBH_RR!D67,SF_Data!B:B,0))="FC",INDEX(SF_Data!R:R,MATCH(PBH_RR!D67,SF_Data!B:B,0)),""),IF(PBH_RR!E67="Both(FH+FC)",IF(PBH_RR!L67="FC",PBH_RR!H67,""),INDEX(SF_Data!R:R,MATCH(PBH_RR!D67,SF_Data!B:B,0))))))</f>
        <v/>
      </c>
      <c r="D67" t="str">
        <f>IF(PBH_RR!A67="","",IF(OR(PBH_RR!E67="Hourly",PBH_RR!E67="Cycle"),IF(INDEX(SF_Data!M:M,MATCH(PBH_RR!D67,SF_Data!B:B,0))="FH",INDEX(SF_Data!G:G,MATCH(PBH_RR!D67,SF_Data!B:B,0)),""),IF(PBH_RR!E67="Both(FH+FC)",IF(PBH_RR!L67="FH",PBH_RR!M67-PBH_RR!G67,""),IF(PBH_RR!E67="Greater(FH/FC)",IF(INDEX(SF_Data!M:M,MATCH(PBH_RR!D67,SF_Data!B:B,0))="FH",INDEX(SF_Data!G:G,MATCH(PBH_RR!D67,SF_Data!B:B,0))-INDEX(SF_Data!Q:Q,MATCH(PBH_RR!D67,SF_Data!B:B,0)),""),IF(INDEX(SF_Data!M:M,MATCH(PBH_RR!D67,SF_Data!B:B,0))="FH",INDEX(PBH_Lines!K:K,MATCH(PBH_RR!A67,PBH_Lines!M:M,0)),"")))))</f>
        <v/>
      </c>
      <c r="E67" t="str">
        <f>IF(PBH_RR!A67="","",IF(OR(PBH_RR!E67="Hourly",PBH_RR!E67="Cycle"),IF(INDEX(SF_Data!M:M,MATCH(PBH_RR!D67,SF_Data!B:B,0))="FC",INDEX(SF_Data!G:G,MATCH(PBH_RR!D67,SF_Data!B:B,0)),""),IF(PBH_RR!E67="Both(FH+FC)",IF(PBH_RR!L67="FC",PBH_RR!M67-PBH_RR!H67,""),IF(PBH_RR!E67="Greater(FH/FC)",IF(INDEX(SF_Data!M:M,MATCH(PBH_RR!D67,SF_Data!B:B,0))="FC",INDEX(SF_Data!G:G,MATCH(PBH_RR!D67,SF_Data!B:B,0))-INDEX(SF_Data!R:R,MATCH(PBH_RR!D67,SF_Data!B:B,0)),""),IF(INDEX(SF_Data!M:M,MATCH(PBH_RR!D67,SF_Data!B:B,0))="FC",INDEX(PBH_Lines!K:K,MATCH(PBH_RR!A67,PBH_Lines!M:M,0)),"")))))</f>
        <v/>
      </c>
      <c r="F67" t="str">
        <f>IF(PBH_RR!A67="","",IF(OR(PBH_RR!E67="FH Matrix",PBH_RR!E67="FC Matrix"),PBH_RR!I67,IF(INDEX(SF_Data!F:F,MATCH(PBH_RR!D67,SF_Data!B:B,0))="Greater(FH/FC)",IF(INDEX(SF_Data!M:M,MATCH(PBH_RR!D67,SF_Data!B:B,0))="FH",INDEX(SF_Data!S:S,MATCH(PBH_RR!D67,SF_Data!B:B,0)),""),IF(PBH_RR!E67="Both(FH+FC)",IF(PBH_RR!L67="FH",PBH_RR!I67,""),INDEX(SF_Data!S:S,MATCH(PBH_RR!D67,SF_Data!B:B,0))))))</f>
        <v/>
      </c>
      <c r="G67" t="str">
        <f>IF(PBH_RR!A67="","",IF(OR(PBH_RR!E67="FH Matrix",PBH_RR!E67="FC Matrix"),PBH_RR!J67,IF(INDEX(SF_Data!F:F,MATCH(PBH_RR!D67,SF_Data!B:B,0))="Greater(FH/FC)",IF(INDEX(SF_Data!M:M,MATCH(PBH_RR!D67,SF_Data!B:B,0))="FC",INDEX(SF_Data!T:T,MATCH(PBH_RR!D67,SF_Data!B:B,0)),""),IF(PBH_RR!E67="Both(FH+FC)",IF(PBH_RR!L67="FC",PBH_RR!J67,""),INDEX(SF_Data!T:T,MATCH(PBH_RR!D67,SF_Data!B:B,0))))))</f>
        <v/>
      </c>
      <c r="H67" t="str">
        <f>IF(PBH_RR!A67="","",IF(PBH_RR!E67="Both(FH+FC)",PBH_RR!P67,IF(OR(PBH_RR!E67="FH Matrix",PBH_RR!E67="FC Matrix"),INDEX(PBH_Lines!O:O,MATCH(PBH_RR!A67,PBH_Lines!M:M,0)),INDEX(SF_Data!U:U,MATCH(PBH_RR!D67,SF_Data!B:B,0)))))</f>
        <v/>
      </c>
      <c r="J67" t="str">
        <f t="shared" ref="J67:J100" si="9">IF(A67="","",A67)</f>
        <v/>
      </c>
      <c r="K67" t="str">
        <f t="shared" ref="K67:K100" si="10">IF(B67="","",B67)</f>
        <v/>
      </c>
      <c r="L67" t="str">
        <f t="shared" ref="L67:L100" si="11">IF(C67="","",C67)</f>
        <v/>
      </c>
      <c r="M67" t="str">
        <f t="shared" ref="M67:M100" si="12">IF(D67="","",D67)</f>
        <v/>
      </c>
      <c r="N67" t="str">
        <f t="shared" ref="N67:N100" si="13">IF(E67="","",E67)</f>
        <v/>
      </c>
      <c r="O67" t="str">
        <f t="shared" ref="O67:O100" si="14">IF(F67="","",F67)</f>
        <v/>
      </c>
      <c r="P67" t="str">
        <f t="shared" ref="P67:P100" si="15">IF(G67="","",G67)</f>
        <v/>
      </c>
      <c r="Q67" t="str">
        <f t="shared" ref="Q67:Q100" si="16">IF(H67=H66,"",H67)</f>
        <v/>
      </c>
    </row>
    <row r="68" spans="1:17" x14ac:dyDescent="0.35">
      <c r="A68" t="str">
        <f>IF(PBH_RR!A68="","",IF(OR(PBH_RR!E68="FH Matrix", PBH_RR!E68="FC Matrix"),PBH_RR!C68,INDEX(SF_Data!D:D, MATCH(PBH_RR!D68, SF_Data!B:B, 0))))</f>
        <v/>
      </c>
      <c r="B68" t="str">
        <f>IF(PBH_RR!A68="","",IF(OR(PBH_RR!E68="FH Matrix",PBH_RR!E68="FC Matrix"),PBH_RR!G68,IF(INDEX(SF_Data!F:F,MATCH(PBH_RR!D68,SF_Data!B:B,0))="Greater(FH/FC)",IF(INDEX(SF_Data!M:M,MATCH(PBH_RR!D68,SF_Data!B:B,0))="FH",INDEX(SF_Data!Q:Q,MATCH(PBH_RR!D68,SF_Data!B:B,0)),""),IF(PBH_RR!E68="Both(FH+FC)",IF(PBH_RR!L68="FH",PBH_RR!G68,""),INDEX(SF_Data!Q:Q,MATCH(PBH_RR!D68,SF_Data!B:B,0))))))</f>
        <v/>
      </c>
      <c r="C68" t="str">
        <f>IF(PBH_RR!A68="","",IF(OR(PBH_RR!E68="FH Matrix",PBH_RR!E68="FC Matrix"),PBH_RR!H68,IF(INDEX(SF_Data!F:F,MATCH(PBH_RR!D68,SF_Data!B:B,0))="Greater(FH/FC)",IF(INDEX(SF_Data!M:M,MATCH(PBH_RR!D68,SF_Data!B:B,0))="FC",INDEX(SF_Data!R:R,MATCH(PBH_RR!D68,SF_Data!B:B,0)),""),IF(PBH_RR!E68="Both(FH+FC)",IF(PBH_RR!L68="FC",PBH_RR!H68,""),INDEX(SF_Data!R:R,MATCH(PBH_RR!D68,SF_Data!B:B,0))))))</f>
        <v/>
      </c>
      <c r="D68" t="str">
        <f>IF(PBH_RR!A68="","",IF(OR(PBH_RR!E68="Hourly",PBH_RR!E68="Cycle"),IF(INDEX(SF_Data!M:M,MATCH(PBH_RR!D68,SF_Data!B:B,0))="FH",INDEX(SF_Data!G:G,MATCH(PBH_RR!D68,SF_Data!B:B,0)),""),IF(PBH_RR!E68="Both(FH+FC)",IF(PBH_RR!L68="FH",PBH_RR!M68-PBH_RR!G68,""),IF(PBH_RR!E68="Greater(FH/FC)",IF(INDEX(SF_Data!M:M,MATCH(PBH_RR!D68,SF_Data!B:B,0))="FH",INDEX(SF_Data!G:G,MATCH(PBH_RR!D68,SF_Data!B:B,0))-INDEX(SF_Data!Q:Q,MATCH(PBH_RR!D68,SF_Data!B:B,0)),""),IF(INDEX(SF_Data!M:M,MATCH(PBH_RR!D68,SF_Data!B:B,0))="FH",INDEX(PBH_Lines!K:K,MATCH(PBH_RR!A68,PBH_Lines!M:M,0)),"")))))</f>
        <v/>
      </c>
      <c r="E68" t="str">
        <f>IF(PBH_RR!A68="","",IF(OR(PBH_RR!E68="Hourly",PBH_RR!E68="Cycle"),IF(INDEX(SF_Data!M:M,MATCH(PBH_RR!D68,SF_Data!B:B,0))="FC",INDEX(SF_Data!G:G,MATCH(PBH_RR!D68,SF_Data!B:B,0)),""),IF(PBH_RR!E68="Both(FH+FC)",IF(PBH_RR!L68="FC",PBH_RR!M68-PBH_RR!H68,""),IF(PBH_RR!E68="Greater(FH/FC)",IF(INDEX(SF_Data!M:M,MATCH(PBH_RR!D68,SF_Data!B:B,0))="FC",INDEX(SF_Data!G:G,MATCH(PBH_RR!D68,SF_Data!B:B,0))-INDEX(SF_Data!R:R,MATCH(PBH_RR!D68,SF_Data!B:B,0)),""),IF(INDEX(SF_Data!M:M,MATCH(PBH_RR!D68,SF_Data!B:B,0))="FC",INDEX(PBH_Lines!K:K,MATCH(PBH_RR!A68,PBH_Lines!M:M,0)),"")))))</f>
        <v/>
      </c>
      <c r="F68" t="str">
        <f>IF(PBH_RR!A68="","",IF(OR(PBH_RR!E68="FH Matrix",PBH_RR!E68="FC Matrix"),PBH_RR!I68,IF(INDEX(SF_Data!F:F,MATCH(PBH_RR!D68,SF_Data!B:B,0))="Greater(FH/FC)",IF(INDEX(SF_Data!M:M,MATCH(PBH_RR!D68,SF_Data!B:B,0))="FH",INDEX(SF_Data!S:S,MATCH(PBH_RR!D68,SF_Data!B:B,0)),""),IF(PBH_RR!E68="Both(FH+FC)",IF(PBH_RR!L68="FH",PBH_RR!I68,""),INDEX(SF_Data!S:S,MATCH(PBH_RR!D68,SF_Data!B:B,0))))))</f>
        <v/>
      </c>
      <c r="G68" t="str">
        <f>IF(PBH_RR!A68="","",IF(OR(PBH_RR!E68="FH Matrix",PBH_RR!E68="FC Matrix"),PBH_RR!J68,IF(INDEX(SF_Data!F:F,MATCH(PBH_RR!D68,SF_Data!B:B,0))="Greater(FH/FC)",IF(INDEX(SF_Data!M:M,MATCH(PBH_RR!D68,SF_Data!B:B,0))="FC",INDEX(SF_Data!T:T,MATCH(PBH_RR!D68,SF_Data!B:B,0)),""),IF(PBH_RR!E68="Both(FH+FC)",IF(PBH_RR!L68="FC",PBH_RR!J68,""),INDEX(SF_Data!T:T,MATCH(PBH_RR!D68,SF_Data!B:B,0))))))</f>
        <v/>
      </c>
      <c r="H68" t="str">
        <f>IF(PBH_RR!A68="","",IF(PBH_RR!E68="Both(FH+FC)",PBH_RR!P68,IF(OR(PBH_RR!E68="FH Matrix",PBH_RR!E68="FC Matrix"),INDEX(PBH_Lines!O:O,MATCH(PBH_RR!A68,PBH_Lines!M:M,0)),INDEX(SF_Data!U:U,MATCH(PBH_RR!D68,SF_Data!B:B,0)))))</f>
        <v/>
      </c>
      <c r="J68" t="str">
        <f t="shared" si="9"/>
        <v/>
      </c>
      <c r="K68" t="str">
        <f t="shared" si="10"/>
        <v/>
      </c>
      <c r="L68" t="str">
        <f t="shared" si="11"/>
        <v/>
      </c>
      <c r="M68" t="str">
        <f t="shared" si="12"/>
        <v/>
      </c>
      <c r="N68" t="str">
        <f t="shared" si="13"/>
        <v/>
      </c>
      <c r="O68" t="str">
        <f t="shared" si="14"/>
        <v/>
      </c>
      <c r="P68" t="str">
        <f t="shared" si="15"/>
        <v/>
      </c>
      <c r="Q68" t="str">
        <f t="shared" si="16"/>
        <v/>
      </c>
    </row>
    <row r="69" spans="1:17" x14ac:dyDescent="0.35">
      <c r="A69" t="str">
        <f>IF(PBH_RR!A69="","",IF(OR(PBH_RR!E69="FH Matrix", PBH_RR!E69="FC Matrix"),PBH_RR!C69,INDEX(SF_Data!D:D, MATCH(PBH_RR!D69, SF_Data!B:B, 0))))</f>
        <v/>
      </c>
      <c r="B69" t="str">
        <f>IF(PBH_RR!A69="","",IF(OR(PBH_RR!E69="FH Matrix",PBH_RR!E69="FC Matrix"),PBH_RR!G69,IF(INDEX(SF_Data!F:F,MATCH(PBH_RR!D69,SF_Data!B:B,0))="Greater(FH/FC)",IF(INDEX(SF_Data!M:M,MATCH(PBH_RR!D69,SF_Data!B:B,0))="FH",INDEX(SF_Data!Q:Q,MATCH(PBH_RR!D69,SF_Data!B:B,0)),""),IF(PBH_RR!E69="Both(FH+FC)",IF(PBH_RR!L69="FH",PBH_RR!G69,""),INDEX(SF_Data!Q:Q,MATCH(PBH_RR!D69,SF_Data!B:B,0))))))</f>
        <v/>
      </c>
      <c r="C69" t="str">
        <f>IF(PBH_RR!A69="","",IF(OR(PBH_RR!E69="FH Matrix",PBH_RR!E69="FC Matrix"),PBH_RR!H69,IF(INDEX(SF_Data!F:F,MATCH(PBH_RR!D69,SF_Data!B:B,0))="Greater(FH/FC)",IF(INDEX(SF_Data!M:M,MATCH(PBH_RR!D69,SF_Data!B:B,0))="FC",INDEX(SF_Data!R:R,MATCH(PBH_RR!D69,SF_Data!B:B,0)),""),IF(PBH_RR!E69="Both(FH+FC)",IF(PBH_RR!L69="FC",PBH_RR!H69,""),INDEX(SF_Data!R:R,MATCH(PBH_RR!D69,SF_Data!B:B,0))))))</f>
        <v/>
      </c>
      <c r="D69" t="str">
        <f>IF(PBH_RR!A69="","",IF(OR(PBH_RR!E69="Hourly",PBH_RR!E69="Cycle"),IF(INDEX(SF_Data!M:M,MATCH(PBH_RR!D69,SF_Data!B:B,0))="FH",INDEX(SF_Data!G:G,MATCH(PBH_RR!D69,SF_Data!B:B,0)),""),IF(PBH_RR!E69="Both(FH+FC)",IF(PBH_RR!L69="FH",PBH_RR!M69-PBH_RR!G69,""),IF(PBH_RR!E69="Greater(FH/FC)",IF(INDEX(SF_Data!M:M,MATCH(PBH_RR!D69,SF_Data!B:B,0))="FH",INDEX(SF_Data!G:G,MATCH(PBH_RR!D69,SF_Data!B:B,0))-INDEX(SF_Data!Q:Q,MATCH(PBH_RR!D69,SF_Data!B:B,0)),""),IF(INDEX(SF_Data!M:M,MATCH(PBH_RR!D69,SF_Data!B:B,0))="FH",INDEX(PBH_Lines!K:K,MATCH(PBH_RR!A69,PBH_Lines!M:M,0)),"")))))</f>
        <v/>
      </c>
      <c r="E69" t="str">
        <f>IF(PBH_RR!A69="","",IF(OR(PBH_RR!E69="Hourly",PBH_RR!E69="Cycle"),IF(INDEX(SF_Data!M:M,MATCH(PBH_RR!D69,SF_Data!B:B,0))="FC",INDEX(SF_Data!G:G,MATCH(PBH_RR!D69,SF_Data!B:B,0)),""),IF(PBH_RR!E69="Both(FH+FC)",IF(PBH_RR!L69="FC",PBH_RR!M69-PBH_RR!H69,""),IF(PBH_RR!E69="Greater(FH/FC)",IF(INDEX(SF_Data!M:M,MATCH(PBH_RR!D69,SF_Data!B:B,0))="FC",INDEX(SF_Data!G:G,MATCH(PBH_RR!D69,SF_Data!B:B,0))-INDEX(SF_Data!R:R,MATCH(PBH_RR!D69,SF_Data!B:B,0)),""),IF(INDEX(SF_Data!M:M,MATCH(PBH_RR!D69,SF_Data!B:B,0))="FC",INDEX(PBH_Lines!K:K,MATCH(PBH_RR!A69,PBH_Lines!M:M,0)),"")))))</f>
        <v/>
      </c>
      <c r="F69" t="str">
        <f>IF(PBH_RR!A69="","",IF(OR(PBH_RR!E69="FH Matrix",PBH_RR!E69="FC Matrix"),PBH_RR!I69,IF(INDEX(SF_Data!F:F,MATCH(PBH_RR!D69,SF_Data!B:B,0))="Greater(FH/FC)",IF(INDEX(SF_Data!M:M,MATCH(PBH_RR!D69,SF_Data!B:B,0))="FH",INDEX(SF_Data!S:S,MATCH(PBH_RR!D69,SF_Data!B:B,0)),""),IF(PBH_RR!E69="Both(FH+FC)",IF(PBH_RR!L69="FH",PBH_RR!I69,""),INDEX(SF_Data!S:S,MATCH(PBH_RR!D69,SF_Data!B:B,0))))))</f>
        <v/>
      </c>
      <c r="G69" t="str">
        <f>IF(PBH_RR!A69="","",IF(OR(PBH_RR!E69="FH Matrix",PBH_RR!E69="FC Matrix"),PBH_RR!J69,IF(INDEX(SF_Data!F:F,MATCH(PBH_RR!D69,SF_Data!B:B,0))="Greater(FH/FC)",IF(INDEX(SF_Data!M:M,MATCH(PBH_RR!D69,SF_Data!B:B,0))="FC",INDEX(SF_Data!T:T,MATCH(PBH_RR!D69,SF_Data!B:B,0)),""),IF(PBH_RR!E69="Both(FH+FC)",IF(PBH_RR!L69="FC",PBH_RR!J69,""),INDEX(SF_Data!T:T,MATCH(PBH_RR!D69,SF_Data!B:B,0))))))</f>
        <v/>
      </c>
      <c r="H69" t="str">
        <f>IF(PBH_RR!A69="","",IF(PBH_RR!E69="Both(FH+FC)",PBH_RR!P69,IF(OR(PBH_RR!E69="FH Matrix",PBH_RR!E69="FC Matrix"),INDEX(PBH_Lines!O:O,MATCH(PBH_RR!A69,PBH_Lines!M:M,0)),INDEX(SF_Data!U:U,MATCH(PBH_RR!D69,SF_Data!B:B,0)))))</f>
        <v/>
      </c>
      <c r="J69" t="str">
        <f t="shared" si="9"/>
        <v/>
      </c>
      <c r="K69" t="str">
        <f t="shared" si="10"/>
        <v/>
      </c>
      <c r="L69" t="str">
        <f t="shared" si="11"/>
        <v/>
      </c>
      <c r="M69" t="str">
        <f t="shared" si="12"/>
        <v/>
      </c>
      <c r="N69" t="str">
        <f t="shared" si="13"/>
        <v/>
      </c>
      <c r="O69" t="str">
        <f t="shared" si="14"/>
        <v/>
      </c>
      <c r="P69" t="str">
        <f t="shared" si="15"/>
        <v/>
      </c>
      <c r="Q69" t="str">
        <f t="shared" si="16"/>
        <v/>
      </c>
    </row>
    <row r="70" spans="1:17" x14ac:dyDescent="0.35">
      <c r="A70" t="str">
        <f>IF(PBH_RR!A70="","",IF(OR(PBH_RR!E70="FH Matrix", PBH_RR!E70="FC Matrix"),PBH_RR!C70,INDEX(SF_Data!D:D, MATCH(PBH_RR!D70, SF_Data!B:B, 0))))</f>
        <v/>
      </c>
      <c r="B70" t="str">
        <f>IF(PBH_RR!A70="","",IF(OR(PBH_RR!E70="FH Matrix",PBH_RR!E70="FC Matrix"),PBH_RR!G70,IF(INDEX(SF_Data!F:F,MATCH(PBH_RR!D70,SF_Data!B:B,0))="Greater(FH/FC)",IF(INDEX(SF_Data!M:M,MATCH(PBH_RR!D70,SF_Data!B:B,0))="FH",INDEX(SF_Data!Q:Q,MATCH(PBH_RR!D70,SF_Data!B:B,0)),""),IF(PBH_RR!E70="Both(FH+FC)",IF(PBH_RR!L70="FH",PBH_RR!G70,""),INDEX(SF_Data!Q:Q,MATCH(PBH_RR!D70,SF_Data!B:B,0))))))</f>
        <v/>
      </c>
      <c r="C70" t="str">
        <f>IF(PBH_RR!A70="","",IF(OR(PBH_RR!E70="FH Matrix",PBH_RR!E70="FC Matrix"),PBH_RR!H70,IF(INDEX(SF_Data!F:F,MATCH(PBH_RR!D70,SF_Data!B:B,0))="Greater(FH/FC)",IF(INDEX(SF_Data!M:M,MATCH(PBH_RR!D70,SF_Data!B:B,0))="FC",INDEX(SF_Data!R:R,MATCH(PBH_RR!D70,SF_Data!B:B,0)),""),IF(PBH_RR!E70="Both(FH+FC)",IF(PBH_RR!L70="FC",PBH_RR!H70,""),INDEX(SF_Data!R:R,MATCH(PBH_RR!D70,SF_Data!B:B,0))))))</f>
        <v/>
      </c>
      <c r="D70" t="str">
        <f>IF(PBH_RR!A70="","",IF(OR(PBH_RR!E70="Hourly",PBH_RR!E70="Cycle"),IF(INDEX(SF_Data!M:M,MATCH(PBH_RR!D70,SF_Data!B:B,0))="FH",INDEX(SF_Data!G:G,MATCH(PBH_RR!D70,SF_Data!B:B,0)),""),IF(PBH_RR!E70="Both(FH+FC)",IF(PBH_RR!L70="FH",PBH_RR!M70-PBH_RR!G70,""),IF(PBH_RR!E70="Greater(FH/FC)",IF(INDEX(SF_Data!M:M,MATCH(PBH_RR!D70,SF_Data!B:B,0))="FH",INDEX(SF_Data!G:G,MATCH(PBH_RR!D70,SF_Data!B:B,0))-INDEX(SF_Data!Q:Q,MATCH(PBH_RR!D70,SF_Data!B:B,0)),""),IF(INDEX(SF_Data!M:M,MATCH(PBH_RR!D70,SF_Data!B:B,0))="FH",INDEX(PBH_Lines!K:K,MATCH(PBH_RR!A70,PBH_Lines!M:M,0)),"")))))</f>
        <v/>
      </c>
      <c r="E70" t="str">
        <f>IF(PBH_RR!A70="","",IF(OR(PBH_RR!E70="Hourly",PBH_RR!E70="Cycle"),IF(INDEX(SF_Data!M:M,MATCH(PBH_RR!D70,SF_Data!B:B,0))="FC",INDEX(SF_Data!G:G,MATCH(PBH_RR!D70,SF_Data!B:B,0)),""),IF(PBH_RR!E70="Both(FH+FC)",IF(PBH_RR!L70="FC",PBH_RR!M70-PBH_RR!H70,""),IF(PBH_RR!E70="Greater(FH/FC)",IF(INDEX(SF_Data!M:M,MATCH(PBH_RR!D70,SF_Data!B:B,0))="FC",INDEX(SF_Data!G:G,MATCH(PBH_RR!D70,SF_Data!B:B,0))-INDEX(SF_Data!R:R,MATCH(PBH_RR!D70,SF_Data!B:B,0)),""),IF(INDEX(SF_Data!M:M,MATCH(PBH_RR!D70,SF_Data!B:B,0))="FC",INDEX(PBH_Lines!K:K,MATCH(PBH_RR!A70,PBH_Lines!M:M,0)),"")))))</f>
        <v/>
      </c>
      <c r="F70" t="str">
        <f>IF(PBH_RR!A70="","",IF(OR(PBH_RR!E70="FH Matrix",PBH_RR!E70="FC Matrix"),PBH_RR!I70,IF(INDEX(SF_Data!F:F,MATCH(PBH_RR!D70,SF_Data!B:B,0))="Greater(FH/FC)",IF(INDEX(SF_Data!M:M,MATCH(PBH_RR!D70,SF_Data!B:B,0))="FH",INDEX(SF_Data!S:S,MATCH(PBH_RR!D70,SF_Data!B:B,0)),""),IF(PBH_RR!E70="Both(FH+FC)",IF(PBH_RR!L70="FH",PBH_RR!I70,""),INDEX(SF_Data!S:S,MATCH(PBH_RR!D70,SF_Data!B:B,0))))))</f>
        <v/>
      </c>
      <c r="G70" t="str">
        <f>IF(PBH_RR!A70="","",IF(OR(PBH_RR!E70="FH Matrix",PBH_RR!E70="FC Matrix"),PBH_RR!J70,IF(INDEX(SF_Data!F:F,MATCH(PBH_RR!D70,SF_Data!B:B,0))="Greater(FH/FC)",IF(INDEX(SF_Data!M:M,MATCH(PBH_RR!D70,SF_Data!B:B,0))="FC",INDEX(SF_Data!T:T,MATCH(PBH_RR!D70,SF_Data!B:B,0)),""),IF(PBH_RR!E70="Both(FH+FC)",IF(PBH_RR!L70="FC",PBH_RR!J70,""),INDEX(SF_Data!T:T,MATCH(PBH_RR!D70,SF_Data!B:B,0))))))</f>
        <v/>
      </c>
      <c r="H70" t="str">
        <f>IF(PBH_RR!A70="","",IF(PBH_RR!E70="Both(FH+FC)",PBH_RR!P70,IF(OR(PBH_RR!E70="FH Matrix",PBH_RR!E70="FC Matrix"),INDEX(PBH_Lines!O:O,MATCH(PBH_RR!A70,PBH_Lines!M:M,0)),INDEX(SF_Data!U:U,MATCH(PBH_RR!D70,SF_Data!B:B,0)))))</f>
        <v/>
      </c>
      <c r="J70" t="str">
        <f t="shared" si="9"/>
        <v/>
      </c>
      <c r="K70" t="str">
        <f t="shared" si="10"/>
        <v/>
      </c>
      <c r="L70" t="str">
        <f t="shared" si="11"/>
        <v/>
      </c>
      <c r="M70" t="str">
        <f t="shared" si="12"/>
        <v/>
      </c>
      <c r="N70" t="str">
        <f t="shared" si="13"/>
        <v/>
      </c>
      <c r="O70" t="str">
        <f t="shared" si="14"/>
        <v/>
      </c>
      <c r="P70" t="str">
        <f t="shared" si="15"/>
        <v/>
      </c>
      <c r="Q70" t="str">
        <f t="shared" si="16"/>
        <v/>
      </c>
    </row>
    <row r="71" spans="1:17" x14ac:dyDescent="0.35">
      <c r="A71" t="str">
        <f>IF(PBH_RR!A71="","",IF(OR(PBH_RR!E71="FH Matrix", PBH_RR!E71="FC Matrix"),PBH_RR!C71,INDEX(SF_Data!D:D, MATCH(PBH_RR!D71, SF_Data!B:B, 0))))</f>
        <v/>
      </c>
      <c r="B71" t="str">
        <f>IF(PBH_RR!A71="","",IF(OR(PBH_RR!E71="FH Matrix",PBH_RR!E71="FC Matrix"),PBH_RR!G71,IF(INDEX(SF_Data!F:F,MATCH(PBH_RR!D71,SF_Data!B:B,0))="Greater(FH/FC)",IF(INDEX(SF_Data!M:M,MATCH(PBH_RR!D71,SF_Data!B:B,0))="FH",INDEX(SF_Data!Q:Q,MATCH(PBH_RR!D71,SF_Data!B:B,0)),""),IF(PBH_RR!E71="Both(FH+FC)",IF(PBH_RR!L71="FH",PBH_RR!G71,""),INDEX(SF_Data!Q:Q,MATCH(PBH_RR!D71,SF_Data!B:B,0))))))</f>
        <v/>
      </c>
      <c r="C71" t="str">
        <f>IF(PBH_RR!A71="","",IF(OR(PBH_RR!E71="FH Matrix",PBH_RR!E71="FC Matrix"),PBH_RR!H71,IF(INDEX(SF_Data!F:F,MATCH(PBH_RR!D71,SF_Data!B:B,0))="Greater(FH/FC)",IF(INDEX(SF_Data!M:M,MATCH(PBH_RR!D71,SF_Data!B:B,0))="FC",INDEX(SF_Data!R:R,MATCH(PBH_RR!D71,SF_Data!B:B,0)),""),IF(PBH_RR!E71="Both(FH+FC)",IF(PBH_RR!L71="FC",PBH_RR!H71,""),INDEX(SF_Data!R:R,MATCH(PBH_RR!D71,SF_Data!B:B,0))))))</f>
        <v/>
      </c>
      <c r="D71" t="str">
        <f>IF(PBH_RR!A71="","",IF(OR(PBH_RR!E71="Hourly",PBH_RR!E71="Cycle"),IF(INDEX(SF_Data!M:M,MATCH(PBH_RR!D71,SF_Data!B:B,0))="FH",INDEX(SF_Data!G:G,MATCH(PBH_RR!D71,SF_Data!B:B,0)),""),IF(PBH_RR!E71="Both(FH+FC)",IF(PBH_RR!L71="FH",PBH_RR!M71-PBH_RR!G71,""),IF(PBH_RR!E71="Greater(FH/FC)",IF(INDEX(SF_Data!M:M,MATCH(PBH_RR!D71,SF_Data!B:B,0))="FH",INDEX(SF_Data!G:G,MATCH(PBH_RR!D71,SF_Data!B:B,0))-INDEX(SF_Data!Q:Q,MATCH(PBH_RR!D71,SF_Data!B:B,0)),""),IF(INDEX(SF_Data!M:M,MATCH(PBH_RR!D71,SF_Data!B:B,0))="FH",INDEX(PBH_Lines!K:K,MATCH(PBH_RR!A71,PBH_Lines!M:M,0)),"")))))</f>
        <v/>
      </c>
      <c r="E71" t="str">
        <f>IF(PBH_RR!A71="","",IF(OR(PBH_RR!E71="Hourly",PBH_RR!E71="Cycle"),IF(INDEX(SF_Data!M:M,MATCH(PBH_RR!D71,SF_Data!B:B,0))="FC",INDEX(SF_Data!G:G,MATCH(PBH_RR!D71,SF_Data!B:B,0)),""),IF(PBH_RR!E71="Both(FH+FC)",IF(PBH_RR!L71="FC",PBH_RR!M71-PBH_RR!H71,""),IF(PBH_RR!E71="Greater(FH/FC)",IF(INDEX(SF_Data!M:M,MATCH(PBH_RR!D71,SF_Data!B:B,0))="FC",INDEX(SF_Data!G:G,MATCH(PBH_RR!D71,SF_Data!B:B,0))-INDEX(SF_Data!R:R,MATCH(PBH_RR!D71,SF_Data!B:B,0)),""),IF(INDEX(SF_Data!M:M,MATCH(PBH_RR!D71,SF_Data!B:B,0))="FC",INDEX(PBH_Lines!K:K,MATCH(PBH_RR!A71,PBH_Lines!M:M,0)),"")))))</f>
        <v/>
      </c>
      <c r="F71" t="str">
        <f>IF(PBH_RR!A71="","",IF(OR(PBH_RR!E71="FH Matrix",PBH_RR!E71="FC Matrix"),PBH_RR!I71,IF(INDEX(SF_Data!F:F,MATCH(PBH_RR!D71,SF_Data!B:B,0))="Greater(FH/FC)",IF(INDEX(SF_Data!M:M,MATCH(PBH_RR!D71,SF_Data!B:B,0))="FH",INDEX(SF_Data!S:S,MATCH(PBH_RR!D71,SF_Data!B:B,0)),""),IF(PBH_RR!E71="Both(FH+FC)",IF(PBH_RR!L71="FH",PBH_RR!I71,""),INDEX(SF_Data!S:S,MATCH(PBH_RR!D71,SF_Data!B:B,0))))))</f>
        <v/>
      </c>
      <c r="G71" t="str">
        <f>IF(PBH_RR!A71="","",IF(OR(PBH_RR!E71="FH Matrix",PBH_RR!E71="FC Matrix"),PBH_RR!J71,IF(INDEX(SF_Data!F:F,MATCH(PBH_RR!D71,SF_Data!B:B,0))="Greater(FH/FC)",IF(INDEX(SF_Data!M:M,MATCH(PBH_RR!D71,SF_Data!B:B,0))="FC",INDEX(SF_Data!T:T,MATCH(PBH_RR!D71,SF_Data!B:B,0)),""),IF(PBH_RR!E71="Both(FH+FC)",IF(PBH_RR!L71="FC",PBH_RR!J71,""),INDEX(SF_Data!T:T,MATCH(PBH_RR!D71,SF_Data!B:B,0))))))</f>
        <v/>
      </c>
      <c r="H71" t="str">
        <f>IF(PBH_RR!A71="","",IF(PBH_RR!E71="Both(FH+FC)",PBH_RR!P71,IF(OR(PBH_RR!E71="FH Matrix",PBH_RR!E71="FC Matrix"),INDEX(PBH_Lines!O:O,MATCH(PBH_RR!A71,PBH_Lines!M:M,0)),INDEX(SF_Data!U:U,MATCH(PBH_RR!D71,SF_Data!B:B,0)))))</f>
        <v/>
      </c>
      <c r="J71" t="str">
        <f t="shared" si="9"/>
        <v/>
      </c>
      <c r="K71" t="str">
        <f t="shared" si="10"/>
        <v/>
      </c>
      <c r="L71" t="str">
        <f t="shared" si="11"/>
        <v/>
      </c>
      <c r="M71" t="str">
        <f t="shared" si="12"/>
        <v/>
      </c>
      <c r="N71" t="str">
        <f t="shared" si="13"/>
        <v/>
      </c>
      <c r="O71" t="str">
        <f t="shared" si="14"/>
        <v/>
      </c>
      <c r="P71" t="str">
        <f t="shared" si="15"/>
        <v/>
      </c>
      <c r="Q71" t="str">
        <f t="shared" si="16"/>
        <v/>
      </c>
    </row>
    <row r="72" spans="1:17" x14ac:dyDescent="0.35">
      <c r="A72" t="str">
        <f>IF(PBH_RR!A72="","",IF(OR(PBH_RR!E72="FH Matrix", PBH_RR!E72="FC Matrix"),PBH_RR!C72,INDEX(SF_Data!D:D, MATCH(PBH_RR!D72, SF_Data!B:B, 0))))</f>
        <v/>
      </c>
      <c r="B72" t="str">
        <f>IF(PBH_RR!A72="","",IF(OR(PBH_RR!E72="FH Matrix",PBH_RR!E72="FC Matrix"),PBH_RR!G72,IF(INDEX(SF_Data!F:F,MATCH(PBH_RR!D72,SF_Data!B:B,0))="Greater(FH/FC)",IF(INDEX(SF_Data!M:M,MATCH(PBH_RR!D72,SF_Data!B:B,0))="FH",INDEX(SF_Data!Q:Q,MATCH(PBH_RR!D72,SF_Data!B:B,0)),""),IF(PBH_RR!E72="Both(FH+FC)",IF(PBH_RR!L72="FH",PBH_RR!G72,""),INDEX(SF_Data!Q:Q,MATCH(PBH_RR!D72,SF_Data!B:B,0))))))</f>
        <v/>
      </c>
      <c r="C72" t="str">
        <f>IF(PBH_RR!A72="","",IF(OR(PBH_RR!E72="FH Matrix",PBH_RR!E72="FC Matrix"),PBH_RR!H72,IF(INDEX(SF_Data!F:F,MATCH(PBH_RR!D72,SF_Data!B:B,0))="Greater(FH/FC)",IF(INDEX(SF_Data!M:M,MATCH(PBH_RR!D72,SF_Data!B:B,0))="FC",INDEX(SF_Data!R:R,MATCH(PBH_RR!D72,SF_Data!B:B,0)),""),IF(PBH_RR!E72="Both(FH+FC)",IF(PBH_RR!L72="FC",PBH_RR!H72,""),INDEX(SF_Data!R:R,MATCH(PBH_RR!D72,SF_Data!B:B,0))))))</f>
        <v/>
      </c>
      <c r="D72" t="str">
        <f>IF(PBH_RR!A72="","",IF(OR(PBH_RR!E72="Hourly",PBH_RR!E72="Cycle"),IF(INDEX(SF_Data!M:M,MATCH(PBH_RR!D72,SF_Data!B:B,0))="FH",INDEX(SF_Data!G:G,MATCH(PBH_RR!D72,SF_Data!B:B,0)),""),IF(PBH_RR!E72="Both(FH+FC)",IF(PBH_RR!L72="FH",PBH_RR!M72-PBH_RR!G72,""),IF(PBH_RR!E72="Greater(FH/FC)",IF(INDEX(SF_Data!M:M,MATCH(PBH_RR!D72,SF_Data!B:B,0))="FH",INDEX(SF_Data!G:G,MATCH(PBH_RR!D72,SF_Data!B:B,0))-INDEX(SF_Data!Q:Q,MATCH(PBH_RR!D72,SF_Data!B:B,0)),""),IF(INDEX(SF_Data!M:M,MATCH(PBH_RR!D72,SF_Data!B:B,0))="FH",INDEX(PBH_Lines!K:K,MATCH(PBH_RR!A72,PBH_Lines!M:M,0)),"")))))</f>
        <v/>
      </c>
      <c r="E72" t="str">
        <f>IF(PBH_RR!A72="","",IF(OR(PBH_RR!E72="Hourly",PBH_RR!E72="Cycle"),IF(INDEX(SF_Data!M:M,MATCH(PBH_RR!D72,SF_Data!B:B,0))="FC",INDEX(SF_Data!G:G,MATCH(PBH_RR!D72,SF_Data!B:B,0)),""),IF(PBH_RR!E72="Both(FH+FC)",IF(PBH_RR!L72="FC",PBH_RR!M72-PBH_RR!H72,""),IF(PBH_RR!E72="Greater(FH/FC)",IF(INDEX(SF_Data!M:M,MATCH(PBH_RR!D72,SF_Data!B:B,0))="FC",INDEX(SF_Data!G:G,MATCH(PBH_RR!D72,SF_Data!B:B,0))-INDEX(SF_Data!R:R,MATCH(PBH_RR!D72,SF_Data!B:B,0)),""),IF(INDEX(SF_Data!M:M,MATCH(PBH_RR!D72,SF_Data!B:B,0))="FC",INDEX(PBH_Lines!K:K,MATCH(PBH_RR!A72,PBH_Lines!M:M,0)),"")))))</f>
        <v/>
      </c>
      <c r="F72" t="str">
        <f>IF(PBH_RR!A72="","",IF(OR(PBH_RR!E72="FH Matrix",PBH_RR!E72="FC Matrix"),PBH_RR!I72,IF(INDEX(SF_Data!F:F,MATCH(PBH_RR!D72,SF_Data!B:B,0))="Greater(FH/FC)",IF(INDEX(SF_Data!M:M,MATCH(PBH_RR!D72,SF_Data!B:B,0))="FH",INDEX(SF_Data!S:S,MATCH(PBH_RR!D72,SF_Data!B:B,0)),""),IF(PBH_RR!E72="Both(FH+FC)",IF(PBH_RR!L72="FH",PBH_RR!I72,""),INDEX(SF_Data!S:S,MATCH(PBH_RR!D72,SF_Data!B:B,0))))))</f>
        <v/>
      </c>
      <c r="G72" t="str">
        <f>IF(PBH_RR!A72="","",IF(OR(PBH_RR!E72="FH Matrix",PBH_RR!E72="FC Matrix"),PBH_RR!J72,IF(INDEX(SF_Data!F:F,MATCH(PBH_RR!D72,SF_Data!B:B,0))="Greater(FH/FC)",IF(INDEX(SF_Data!M:M,MATCH(PBH_RR!D72,SF_Data!B:B,0))="FC",INDEX(SF_Data!T:T,MATCH(PBH_RR!D72,SF_Data!B:B,0)),""),IF(PBH_RR!E72="Both(FH+FC)",IF(PBH_RR!L72="FC",PBH_RR!J72,""),INDEX(SF_Data!T:T,MATCH(PBH_RR!D72,SF_Data!B:B,0))))))</f>
        <v/>
      </c>
      <c r="H72" t="str">
        <f>IF(PBH_RR!A72="","",IF(PBH_RR!E72="Both(FH+FC)",PBH_RR!P72,IF(OR(PBH_RR!E72="FH Matrix",PBH_RR!E72="FC Matrix"),INDEX(PBH_Lines!O:O,MATCH(PBH_RR!A72,PBH_Lines!M:M,0)),INDEX(SF_Data!U:U,MATCH(PBH_RR!D72,SF_Data!B:B,0)))))</f>
        <v/>
      </c>
      <c r="J72" t="str">
        <f t="shared" si="9"/>
        <v/>
      </c>
      <c r="K72" t="str">
        <f t="shared" si="10"/>
        <v/>
      </c>
      <c r="L72" t="str">
        <f t="shared" si="11"/>
        <v/>
      </c>
      <c r="M72" t="str">
        <f t="shared" si="12"/>
        <v/>
      </c>
      <c r="N72" t="str">
        <f t="shared" si="13"/>
        <v/>
      </c>
      <c r="O72" t="str">
        <f t="shared" si="14"/>
        <v/>
      </c>
      <c r="P72" t="str">
        <f t="shared" si="15"/>
        <v/>
      </c>
      <c r="Q72" t="str">
        <f t="shared" si="16"/>
        <v/>
      </c>
    </row>
    <row r="73" spans="1:17" x14ac:dyDescent="0.35">
      <c r="A73" t="str">
        <f>IF(PBH_RR!A73="","",IF(OR(PBH_RR!E73="FH Matrix", PBH_RR!E73="FC Matrix"),PBH_RR!C73,INDEX(SF_Data!D:D, MATCH(PBH_RR!D73, SF_Data!B:B, 0))))</f>
        <v/>
      </c>
      <c r="B73" t="str">
        <f>IF(PBH_RR!A73="","",IF(OR(PBH_RR!E73="FH Matrix",PBH_RR!E73="FC Matrix"),PBH_RR!G73,IF(INDEX(SF_Data!F:F,MATCH(PBH_RR!D73,SF_Data!B:B,0))="Greater(FH/FC)",IF(INDEX(SF_Data!M:M,MATCH(PBH_RR!D73,SF_Data!B:B,0))="FH",INDEX(SF_Data!Q:Q,MATCH(PBH_RR!D73,SF_Data!B:B,0)),""),IF(PBH_RR!E73="Both(FH+FC)",IF(PBH_RR!L73="FH",PBH_RR!G73,""),INDEX(SF_Data!Q:Q,MATCH(PBH_RR!D73,SF_Data!B:B,0))))))</f>
        <v/>
      </c>
      <c r="C73" t="str">
        <f>IF(PBH_RR!A73="","",IF(OR(PBH_RR!E73="FH Matrix",PBH_RR!E73="FC Matrix"),PBH_RR!H73,IF(INDEX(SF_Data!F:F,MATCH(PBH_RR!D73,SF_Data!B:B,0))="Greater(FH/FC)",IF(INDEX(SF_Data!M:M,MATCH(PBH_RR!D73,SF_Data!B:B,0))="FC",INDEX(SF_Data!R:R,MATCH(PBH_RR!D73,SF_Data!B:B,0)),""),IF(PBH_RR!E73="Both(FH+FC)",IF(PBH_RR!L73="FC",PBH_RR!H73,""),INDEX(SF_Data!R:R,MATCH(PBH_RR!D73,SF_Data!B:B,0))))))</f>
        <v/>
      </c>
      <c r="D73" t="str">
        <f>IF(PBH_RR!A73="","",IF(OR(PBH_RR!E73="Hourly",PBH_RR!E73="Cycle"),IF(INDEX(SF_Data!M:M,MATCH(PBH_RR!D73,SF_Data!B:B,0))="FH",INDEX(SF_Data!G:G,MATCH(PBH_RR!D73,SF_Data!B:B,0)),""),IF(PBH_RR!E73="Both(FH+FC)",IF(PBH_RR!L73="FH",PBH_RR!M73-PBH_RR!G73,""),IF(PBH_RR!E73="Greater(FH/FC)",IF(INDEX(SF_Data!M:M,MATCH(PBH_RR!D73,SF_Data!B:B,0))="FH",INDEX(SF_Data!G:G,MATCH(PBH_RR!D73,SF_Data!B:B,0))-INDEX(SF_Data!Q:Q,MATCH(PBH_RR!D73,SF_Data!B:B,0)),""),IF(INDEX(SF_Data!M:M,MATCH(PBH_RR!D73,SF_Data!B:B,0))="FH",INDEX(PBH_Lines!K:K,MATCH(PBH_RR!A73,PBH_Lines!M:M,0)),"")))))</f>
        <v/>
      </c>
      <c r="E73" t="str">
        <f>IF(PBH_RR!A73="","",IF(OR(PBH_RR!E73="Hourly",PBH_RR!E73="Cycle"),IF(INDEX(SF_Data!M:M,MATCH(PBH_RR!D73,SF_Data!B:B,0))="FC",INDEX(SF_Data!G:G,MATCH(PBH_RR!D73,SF_Data!B:B,0)),""),IF(PBH_RR!E73="Both(FH+FC)",IF(PBH_RR!L73="FC",PBH_RR!M73-PBH_RR!H73,""),IF(PBH_RR!E73="Greater(FH/FC)",IF(INDEX(SF_Data!M:M,MATCH(PBH_RR!D73,SF_Data!B:B,0))="FC",INDEX(SF_Data!G:G,MATCH(PBH_RR!D73,SF_Data!B:B,0))-INDEX(SF_Data!R:R,MATCH(PBH_RR!D73,SF_Data!B:B,0)),""),IF(INDEX(SF_Data!M:M,MATCH(PBH_RR!D73,SF_Data!B:B,0))="FC",INDEX(PBH_Lines!K:K,MATCH(PBH_RR!A73,PBH_Lines!M:M,0)),"")))))</f>
        <v/>
      </c>
      <c r="F73" t="str">
        <f>IF(PBH_RR!A73="","",IF(OR(PBH_RR!E73="FH Matrix",PBH_RR!E73="FC Matrix"),PBH_RR!I73,IF(INDEX(SF_Data!F:F,MATCH(PBH_RR!D73,SF_Data!B:B,0))="Greater(FH/FC)",IF(INDEX(SF_Data!M:M,MATCH(PBH_RR!D73,SF_Data!B:B,0))="FH",INDEX(SF_Data!S:S,MATCH(PBH_RR!D73,SF_Data!B:B,0)),""),IF(PBH_RR!E73="Both(FH+FC)",IF(PBH_RR!L73="FH",PBH_RR!I73,""),INDEX(SF_Data!S:S,MATCH(PBH_RR!D73,SF_Data!B:B,0))))))</f>
        <v/>
      </c>
      <c r="G73" t="str">
        <f>IF(PBH_RR!A73="","",IF(OR(PBH_RR!E73="FH Matrix",PBH_RR!E73="FC Matrix"),PBH_RR!J73,IF(INDEX(SF_Data!F:F,MATCH(PBH_RR!D73,SF_Data!B:B,0))="Greater(FH/FC)",IF(INDEX(SF_Data!M:M,MATCH(PBH_RR!D73,SF_Data!B:B,0))="FC",INDEX(SF_Data!T:T,MATCH(PBH_RR!D73,SF_Data!B:B,0)),""),IF(PBH_RR!E73="Both(FH+FC)",IF(PBH_RR!L73="FC",PBH_RR!J73,""),INDEX(SF_Data!T:T,MATCH(PBH_RR!D73,SF_Data!B:B,0))))))</f>
        <v/>
      </c>
      <c r="H73" t="str">
        <f>IF(PBH_RR!A73="","",IF(PBH_RR!E73="Both(FH+FC)",PBH_RR!P73,IF(OR(PBH_RR!E73="FH Matrix",PBH_RR!E73="FC Matrix"),INDEX(PBH_Lines!O:O,MATCH(PBH_RR!A73,PBH_Lines!M:M,0)),INDEX(SF_Data!U:U,MATCH(PBH_RR!D73,SF_Data!B:B,0)))))</f>
        <v/>
      </c>
      <c r="J73" t="str">
        <f t="shared" si="9"/>
        <v/>
      </c>
      <c r="K73" t="str">
        <f t="shared" si="10"/>
        <v/>
      </c>
      <c r="L73" t="str">
        <f t="shared" si="11"/>
        <v/>
      </c>
      <c r="M73" t="str">
        <f t="shared" si="12"/>
        <v/>
      </c>
      <c r="N73" t="str">
        <f t="shared" si="13"/>
        <v/>
      </c>
      <c r="O73" t="str">
        <f t="shared" si="14"/>
        <v/>
      </c>
      <c r="P73" t="str">
        <f t="shared" si="15"/>
        <v/>
      </c>
      <c r="Q73" t="str">
        <f t="shared" si="16"/>
        <v/>
      </c>
    </row>
    <row r="74" spans="1:17" x14ac:dyDescent="0.35">
      <c r="A74" t="str">
        <f>IF(PBH_RR!A74="","",IF(OR(PBH_RR!E74="FH Matrix", PBH_RR!E74="FC Matrix"),PBH_RR!C74,INDEX(SF_Data!D:D, MATCH(PBH_RR!D74, SF_Data!B:B, 0))))</f>
        <v/>
      </c>
      <c r="B74" t="str">
        <f>IF(PBH_RR!A74="","",IF(OR(PBH_RR!E74="FH Matrix",PBH_RR!E74="FC Matrix"),PBH_RR!G74,IF(INDEX(SF_Data!F:F,MATCH(PBH_RR!D74,SF_Data!B:B,0))="Greater(FH/FC)",IF(INDEX(SF_Data!M:M,MATCH(PBH_RR!D74,SF_Data!B:B,0))="FH",INDEX(SF_Data!Q:Q,MATCH(PBH_RR!D74,SF_Data!B:B,0)),""),IF(PBH_RR!E74="Both(FH+FC)",IF(PBH_RR!L74="FH",PBH_RR!G74,""),INDEX(SF_Data!Q:Q,MATCH(PBH_RR!D74,SF_Data!B:B,0))))))</f>
        <v/>
      </c>
      <c r="C74" t="str">
        <f>IF(PBH_RR!A74="","",IF(OR(PBH_RR!E74="FH Matrix",PBH_RR!E74="FC Matrix"),PBH_RR!H74,IF(INDEX(SF_Data!F:F,MATCH(PBH_RR!D74,SF_Data!B:B,0))="Greater(FH/FC)",IF(INDEX(SF_Data!M:M,MATCH(PBH_RR!D74,SF_Data!B:B,0))="FC",INDEX(SF_Data!R:R,MATCH(PBH_RR!D74,SF_Data!B:B,0)),""),IF(PBH_RR!E74="Both(FH+FC)",IF(PBH_RR!L74="FC",PBH_RR!H74,""),INDEX(SF_Data!R:R,MATCH(PBH_RR!D74,SF_Data!B:B,0))))))</f>
        <v/>
      </c>
      <c r="D74" t="str">
        <f>IF(PBH_RR!A74="","",IF(OR(PBH_RR!E74="Hourly",PBH_RR!E74="Cycle"),IF(INDEX(SF_Data!M:M,MATCH(PBH_RR!D74,SF_Data!B:B,0))="FH",INDEX(SF_Data!G:G,MATCH(PBH_RR!D74,SF_Data!B:B,0)),""),IF(PBH_RR!E74="Both(FH+FC)",IF(PBH_RR!L74="FH",PBH_RR!M74-PBH_RR!G74,""),IF(PBH_RR!E74="Greater(FH/FC)",IF(INDEX(SF_Data!M:M,MATCH(PBH_RR!D74,SF_Data!B:B,0))="FH",INDEX(SF_Data!G:G,MATCH(PBH_RR!D74,SF_Data!B:B,0))-INDEX(SF_Data!Q:Q,MATCH(PBH_RR!D74,SF_Data!B:B,0)),""),IF(INDEX(SF_Data!M:M,MATCH(PBH_RR!D74,SF_Data!B:B,0))="FH",INDEX(PBH_Lines!K:K,MATCH(PBH_RR!A74,PBH_Lines!M:M,0)),"")))))</f>
        <v/>
      </c>
      <c r="E74" t="str">
        <f>IF(PBH_RR!A74="","",IF(OR(PBH_RR!E74="Hourly",PBH_RR!E74="Cycle"),IF(INDEX(SF_Data!M:M,MATCH(PBH_RR!D74,SF_Data!B:B,0))="FC",INDEX(SF_Data!G:G,MATCH(PBH_RR!D74,SF_Data!B:B,0)),""),IF(PBH_RR!E74="Both(FH+FC)",IF(PBH_RR!L74="FC",PBH_RR!M74-PBH_RR!H74,""),IF(PBH_RR!E74="Greater(FH/FC)",IF(INDEX(SF_Data!M:M,MATCH(PBH_RR!D74,SF_Data!B:B,0))="FC",INDEX(SF_Data!G:G,MATCH(PBH_RR!D74,SF_Data!B:B,0))-INDEX(SF_Data!R:R,MATCH(PBH_RR!D74,SF_Data!B:B,0)),""),IF(INDEX(SF_Data!M:M,MATCH(PBH_RR!D74,SF_Data!B:B,0))="FC",INDEX(PBH_Lines!K:K,MATCH(PBH_RR!A74,PBH_Lines!M:M,0)),"")))))</f>
        <v/>
      </c>
      <c r="F74" t="str">
        <f>IF(PBH_RR!A74="","",IF(OR(PBH_RR!E74="FH Matrix",PBH_RR!E74="FC Matrix"),PBH_RR!I74,IF(INDEX(SF_Data!F:F,MATCH(PBH_RR!D74,SF_Data!B:B,0))="Greater(FH/FC)",IF(INDEX(SF_Data!M:M,MATCH(PBH_RR!D74,SF_Data!B:B,0))="FH",INDEX(SF_Data!S:S,MATCH(PBH_RR!D74,SF_Data!B:B,0)),""),IF(PBH_RR!E74="Both(FH+FC)",IF(PBH_RR!L74="FH",PBH_RR!I74,""),INDEX(SF_Data!S:S,MATCH(PBH_RR!D74,SF_Data!B:B,0))))))</f>
        <v/>
      </c>
      <c r="G74" t="str">
        <f>IF(PBH_RR!A74="","",IF(OR(PBH_RR!E74="FH Matrix",PBH_RR!E74="FC Matrix"),PBH_RR!J74,IF(INDEX(SF_Data!F:F,MATCH(PBH_RR!D74,SF_Data!B:B,0))="Greater(FH/FC)",IF(INDEX(SF_Data!M:M,MATCH(PBH_RR!D74,SF_Data!B:B,0))="FC",INDEX(SF_Data!T:T,MATCH(PBH_RR!D74,SF_Data!B:B,0)),""),IF(PBH_RR!E74="Both(FH+FC)",IF(PBH_RR!L74="FC",PBH_RR!J74,""),INDEX(SF_Data!T:T,MATCH(PBH_RR!D74,SF_Data!B:B,0))))))</f>
        <v/>
      </c>
      <c r="H74" t="str">
        <f>IF(PBH_RR!A74="","",IF(PBH_RR!E74="Both(FH+FC)",PBH_RR!P74,IF(OR(PBH_RR!E74="FH Matrix",PBH_RR!E74="FC Matrix"),INDEX(PBH_Lines!O:O,MATCH(PBH_RR!A74,PBH_Lines!M:M,0)),INDEX(SF_Data!U:U,MATCH(PBH_RR!D74,SF_Data!B:B,0)))))</f>
        <v/>
      </c>
      <c r="J74" t="str">
        <f t="shared" si="9"/>
        <v/>
      </c>
      <c r="K74" t="str">
        <f t="shared" si="10"/>
        <v/>
      </c>
      <c r="L74" t="str">
        <f t="shared" si="11"/>
        <v/>
      </c>
      <c r="M74" t="str">
        <f t="shared" si="12"/>
        <v/>
      </c>
      <c r="N74" t="str">
        <f t="shared" si="13"/>
        <v/>
      </c>
      <c r="O74" t="str">
        <f t="shared" si="14"/>
        <v/>
      </c>
      <c r="P74" t="str">
        <f t="shared" si="15"/>
        <v/>
      </c>
      <c r="Q74" t="str">
        <f t="shared" si="16"/>
        <v/>
      </c>
    </row>
    <row r="75" spans="1:17" x14ac:dyDescent="0.35">
      <c r="A75" t="str">
        <f>IF(PBH_RR!A75="","",IF(OR(PBH_RR!E75="FH Matrix", PBH_RR!E75="FC Matrix"),PBH_RR!C75,INDEX(SF_Data!D:D, MATCH(PBH_RR!D75, SF_Data!B:B, 0))))</f>
        <v/>
      </c>
      <c r="B75" t="str">
        <f>IF(PBH_RR!A75="","",IF(OR(PBH_RR!E75="FH Matrix",PBH_RR!E75="FC Matrix"),PBH_RR!G75,IF(INDEX(SF_Data!F:F,MATCH(PBH_RR!D75,SF_Data!B:B,0))="Greater(FH/FC)",IF(INDEX(SF_Data!M:M,MATCH(PBH_RR!D75,SF_Data!B:B,0))="FH",INDEX(SF_Data!Q:Q,MATCH(PBH_RR!D75,SF_Data!B:B,0)),""),IF(PBH_RR!E75="Both(FH+FC)",IF(PBH_RR!L75="FH",PBH_RR!G75,""),INDEX(SF_Data!Q:Q,MATCH(PBH_RR!D75,SF_Data!B:B,0))))))</f>
        <v/>
      </c>
      <c r="C75" t="str">
        <f>IF(PBH_RR!A75="","",IF(OR(PBH_RR!E75="FH Matrix",PBH_RR!E75="FC Matrix"),PBH_RR!H75,IF(INDEX(SF_Data!F:F,MATCH(PBH_RR!D75,SF_Data!B:B,0))="Greater(FH/FC)",IF(INDEX(SF_Data!M:M,MATCH(PBH_RR!D75,SF_Data!B:B,0))="FC",INDEX(SF_Data!R:R,MATCH(PBH_RR!D75,SF_Data!B:B,0)),""),IF(PBH_RR!E75="Both(FH+FC)",IF(PBH_RR!L75="FC",PBH_RR!H75,""),INDEX(SF_Data!R:R,MATCH(PBH_RR!D75,SF_Data!B:B,0))))))</f>
        <v/>
      </c>
      <c r="D75" t="str">
        <f>IF(PBH_RR!A75="","",IF(OR(PBH_RR!E75="Hourly",PBH_RR!E75="Cycle"),IF(INDEX(SF_Data!M:M,MATCH(PBH_RR!D75,SF_Data!B:B,0))="FH",INDEX(SF_Data!G:G,MATCH(PBH_RR!D75,SF_Data!B:B,0)),""),IF(PBH_RR!E75="Both(FH+FC)",IF(PBH_RR!L75="FH",PBH_RR!M75-PBH_RR!G75,""),IF(PBH_RR!E75="Greater(FH/FC)",IF(INDEX(SF_Data!M:M,MATCH(PBH_RR!D75,SF_Data!B:B,0))="FH",INDEX(SF_Data!G:G,MATCH(PBH_RR!D75,SF_Data!B:B,0))-INDEX(SF_Data!Q:Q,MATCH(PBH_RR!D75,SF_Data!B:B,0)),""),IF(INDEX(SF_Data!M:M,MATCH(PBH_RR!D75,SF_Data!B:B,0))="FH",INDEX(PBH_Lines!K:K,MATCH(PBH_RR!A75,PBH_Lines!M:M,0)),"")))))</f>
        <v/>
      </c>
      <c r="E75" t="str">
        <f>IF(PBH_RR!A75="","",IF(OR(PBH_RR!E75="Hourly",PBH_RR!E75="Cycle"),IF(INDEX(SF_Data!M:M,MATCH(PBH_RR!D75,SF_Data!B:B,0))="FC",INDEX(SF_Data!G:G,MATCH(PBH_RR!D75,SF_Data!B:B,0)),""),IF(PBH_RR!E75="Both(FH+FC)",IF(PBH_RR!L75="FC",PBH_RR!M75-PBH_RR!H75,""),IF(PBH_RR!E75="Greater(FH/FC)",IF(INDEX(SF_Data!M:M,MATCH(PBH_RR!D75,SF_Data!B:B,0))="FC",INDEX(SF_Data!G:G,MATCH(PBH_RR!D75,SF_Data!B:B,0))-INDEX(SF_Data!R:R,MATCH(PBH_RR!D75,SF_Data!B:B,0)),""),IF(INDEX(SF_Data!M:M,MATCH(PBH_RR!D75,SF_Data!B:B,0))="FC",INDEX(PBH_Lines!K:K,MATCH(PBH_RR!A75,PBH_Lines!M:M,0)),"")))))</f>
        <v/>
      </c>
      <c r="F75" t="str">
        <f>IF(PBH_RR!A75="","",IF(OR(PBH_RR!E75="FH Matrix",PBH_RR!E75="FC Matrix"),PBH_RR!I75,IF(INDEX(SF_Data!F:F,MATCH(PBH_RR!D75,SF_Data!B:B,0))="Greater(FH/FC)",IF(INDEX(SF_Data!M:M,MATCH(PBH_RR!D75,SF_Data!B:B,0))="FH",INDEX(SF_Data!S:S,MATCH(PBH_RR!D75,SF_Data!B:B,0)),""),IF(PBH_RR!E75="Both(FH+FC)",IF(PBH_RR!L75="FH",PBH_RR!I75,""),INDEX(SF_Data!S:S,MATCH(PBH_RR!D75,SF_Data!B:B,0))))))</f>
        <v/>
      </c>
      <c r="G75" t="str">
        <f>IF(PBH_RR!A75="","",IF(OR(PBH_RR!E75="FH Matrix",PBH_RR!E75="FC Matrix"),PBH_RR!J75,IF(INDEX(SF_Data!F:F,MATCH(PBH_RR!D75,SF_Data!B:B,0))="Greater(FH/FC)",IF(INDEX(SF_Data!M:M,MATCH(PBH_RR!D75,SF_Data!B:B,0))="FC",INDEX(SF_Data!T:T,MATCH(PBH_RR!D75,SF_Data!B:B,0)),""),IF(PBH_RR!E75="Both(FH+FC)",IF(PBH_RR!L75="FC",PBH_RR!J75,""),INDEX(SF_Data!T:T,MATCH(PBH_RR!D75,SF_Data!B:B,0))))))</f>
        <v/>
      </c>
      <c r="H75" t="str">
        <f>IF(PBH_RR!A75="","",IF(PBH_RR!E75="Both(FH+FC)",PBH_RR!P75,IF(OR(PBH_RR!E75="FH Matrix",PBH_RR!E75="FC Matrix"),INDEX(PBH_Lines!O:O,MATCH(PBH_RR!A75,PBH_Lines!M:M,0)),INDEX(SF_Data!U:U,MATCH(PBH_RR!D75,SF_Data!B:B,0)))))</f>
        <v/>
      </c>
      <c r="J75" t="str">
        <f t="shared" si="9"/>
        <v/>
      </c>
      <c r="K75" t="str">
        <f t="shared" si="10"/>
        <v/>
      </c>
      <c r="L75" t="str">
        <f t="shared" si="11"/>
        <v/>
      </c>
      <c r="M75" t="str">
        <f t="shared" si="12"/>
        <v/>
      </c>
      <c r="N75" t="str">
        <f t="shared" si="13"/>
        <v/>
      </c>
      <c r="O75" t="str">
        <f t="shared" si="14"/>
        <v/>
      </c>
      <c r="P75" t="str">
        <f t="shared" si="15"/>
        <v/>
      </c>
      <c r="Q75" t="str">
        <f t="shared" si="16"/>
        <v/>
      </c>
    </row>
    <row r="76" spans="1:17" x14ac:dyDescent="0.35">
      <c r="A76" t="str">
        <f>IF(PBH_RR!A76="","",IF(OR(PBH_RR!E76="FH Matrix", PBH_RR!E76="FC Matrix"),PBH_RR!C76,INDEX(SF_Data!D:D, MATCH(PBH_RR!D76, SF_Data!B:B, 0))))</f>
        <v/>
      </c>
      <c r="B76" t="str">
        <f>IF(PBH_RR!A76="","",IF(OR(PBH_RR!E76="FH Matrix",PBH_RR!E76="FC Matrix"),PBH_RR!G76,IF(INDEX(SF_Data!F:F,MATCH(PBH_RR!D76,SF_Data!B:B,0))="Greater(FH/FC)",IF(INDEX(SF_Data!M:M,MATCH(PBH_RR!D76,SF_Data!B:B,0))="FH",INDEX(SF_Data!Q:Q,MATCH(PBH_RR!D76,SF_Data!B:B,0)),""),IF(PBH_RR!E76="Both(FH+FC)",IF(PBH_RR!L76="FH",PBH_RR!G76,""),INDEX(SF_Data!Q:Q,MATCH(PBH_RR!D76,SF_Data!B:B,0))))))</f>
        <v/>
      </c>
      <c r="C76" t="str">
        <f>IF(PBH_RR!A76="","",IF(OR(PBH_RR!E76="FH Matrix",PBH_RR!E76="FC Matrix"),PBH_RR!H76,IF(INDEX(SF_Data!F:F,MATCH(PBH_RR!D76,SF_Data!B:B,0))="Greater(FH/FC)",IF(INDEX(SF_Data!M:M,MATCH(PBH_RR!D76,SF_Data!B:B,0))="FC",INDEX(SF_Data!R:R,MATCH(PBH_RR!D76,SF_Data!B:B,0)),""),IF(PBH_RR!E76="Both(FH+FC)",IF(PBH_RR!L76="FC",PBH_RR!H76,""),INDEX(SF_Data!R:R,MATCH(PBH_RR!D76,SF_Data!B:B,0))))))</f>
        <v/>
      </c>
      <c r="D76" t="str">
        <f>IF(PBH_RR!A76="","",IF(OR(PBH_RR!E76="Hourly",PBH_RR!E76="Cycle"),IF(INDEX(SF_Data!M:M,MATCH(PBH_RR!D76,SF_Data!B:B,0))="FH",INDEX(SF_Data!G:G,MATCH(PBH_RR!D76,SF_Data!B:B,0)),""),IF(PBH_RR!E76="Both(FH+FC)",IF(PBH_RR!L76="FH",PBH_RR!M76-PBH_RR!G76,""),IF(PBH_RR!E76="Greater(FH/FC)",IF(INDEX(SF_Data!M:M,MATCH(PBH_RR!D76,SF_Data!B:B,0))="FH",INDEX(SF_Data!G:G,MATCH(PBH_RR!D76,SF_Data!B:B,0))-INDEX(SF_Data!Q:Q,MATCH(PBH_RR!D76,SF_Data!B:B,0)),""),IF(INDEX(SF_Data!M:M,MATCH(PBH_RR!D76,SF_Data!B:B,0))="FH",INDEX(PBH_Lines!K:K,MATCH(PBH_RR!A76,PBH_Lines!M:M,0)),"")))))</f>
        <v/>
      </c>
      <c r="E76" t="str">
        <f>IF(PBH_RR!A76="","",IF(OR(PBH_RR!E76="Hourly",PBH_RR!E76="Cycle"),IF(INDEX(SF_Data!M:M,MATCH(PBH_RR!D76,SF_Data!B:B,0))="FC",INDEX(SF_Data!G:G,MATCH(PBH_RR!D76,SF_Data!B:B,0)),""),IF(PBH_RR!E76="Both(FH+FC)",IF(PBH_RR!L76="FC",PBH_RR!M76-PBH_RR!H76,""),IF(PBH_RR!E76="Greater(FH/FC)",IF(INDEX(SF_Data!M:M,MATCH(PBH_RR!D76,SF_Data!B:B,0))="FC",INDEX(SF_Data!G:G,MATCH(PBH_RR!D76,SF_Data!B:B,0))-INDEX(SF_Data!R:R,MATCH(PBH_RR!D76,SF_Data!B:B,0)),""),IF(INDEX(SF_Data!M:M,MATCH(PBH_RR!D76,SF_Data!B:B,0))="FC",INDEX(PBH_Lines!K:K,MATCH(PBH_RR!A76,PBH_Lines!M:M,0)),"")))))</f>
        <v/>
      </c>
      <c r="F76" t="str">
        <f>IF(PBH_RR!A76="","",IF(OR(PBH_RR!E76="FH Matrix",PBH_RR!E76="FC Matrix"),PBH_RR!I76,IF(INDEX(SF_Data!F:F,MATCH(PBH_RR!D76,SF_Data!B:B,0))="Greater(FH/FC)",IF(INDEX(SF_Data!M:M,MATCH(PBH_RR!D76,SF_Data!B:B,0))="FH",INDEX(SF_Data!S:S,MATCH(PBH_RR!D76,SF_Data!B:B,0)),""),IF(PBH_RR!E76="Both(FH+FC)",IF(PBH_RR!L76="FH",PBH_RR!I76,""),INDEX(SF_Data!S:S,MATCH(PBH_RR!D76,SF_Data!B:B,0))))))</f>
        <v/>
      </c>
      <c r="G76" t="str">
        <f>IF(PBH_RR!A76="","",IF(OR(PBH_RR!E76="FH Matrix",PBH_RR!E76="FC Matrix"),PBH_RR!J76,IF(INDEX(SF_Data!F:F,MATCH(PBH_RR!D76,SF_Data!B:B,0))="Greater(FH/FC)",IF(INDEX(SF_Data!M:M,MATCH(PBH_RR!D76,SF_Data!B:B,0))="FC",INDEX(SF_Data!T:T,MATCH(PBH_RR!D76,SF_Data!B:B,0)),""),IF(PBH_RR!E76="Both(FH+FC)",IF(PBH_RR!L76="FC",PBH_RR!J76,""),INDEX(SF_Data!T:T,MATCH(PBH_RR!D76,SF_Data!B:B,0))))))</f>
        <v/>
      </c>
      <c r="H76" t="str">
        <f>IF(PBH_RR!A76="","",IF(PBH_RR!E76="Both(FH+FC)",PBH_RR!P76,IF(OR(PBH_RR!E76="FH Matrix",PBH_RR!E76="FC Matrix"),INDEX(PBH_Lines!O:O,MATCH(PBH_RR!A76,PBH_Lines!M:M,0)),INDEX(SF_Data!U:U,MATCH(PBH_RR!D76,SF_Data!B:B,0)))))</f>
        <v/>
      </c>
      <c r="J76" t="str">
        <f t="shared" si="9"/>
        <v/>
      </c>
      <c r="K76" t="str">
        <f t="shared" si="10"/>
        <v/>
      </c>
      <c r="L76" t="str">
        <f t="shared" si="11"/>
        <v/>
      </c>
      <c r="M76" t="str">
        <f t="shared" si="12"/>
        <v/>
      </c>
      <c r="N76" t="str">
        <f t="shared" si="13"/>
        <v/>
      </c>
      <c r="O76" t="str">
        <f t="shared" si="14"/>
        <v/>
      </c>
      <c r="P76" t="str">
        <f t="shared" si="15"/>
        <v/>
      </c>
      <c r="Q76" t="str">
        <f t="shared" si="16"/>
        <v/>
      </c>
    </row>
    <row r="77" spans="1:17" x14ac:dyDescent="0.35">
      <c r="A77" t="str">
        <f>IF(PBH_RR!A77="","",IF(OR(PBH_RR!E77="FH Matrix", PBH_RR!E77="FC Matrix"),PBH_RR!C77,INDEX(SF_Data!D:D, MATCH(PBH_RR!D77, SF_Data!B:B, 0))))</f>
        <v/>
      </c>
      <c r="B77" t="str">
        <f>IF(PBH_RR!A77="","",IF(OR(PBH_RR!E77="FH Matrix",PBH_RR!E77="FC Matrix"),PBH_RR!G77,IF(INDEX(SF_Data!F:F,MATCH(PBH_RR!D77,SF_Data!B:B,0))="Greater(FH/FC)",IF(INDEX(SF_Data!M:M,MATCH(PBH_RR!D77,SF_Data!B:B,0))="FH",INDEX(SF_Data!Q:Q,MATCH(PBH_RR!D77,SF_Data!B:B,0)),""),IF(PBH_RR!E77="Both(FH+FC)",IF(PBH_RR!L77="FH",PBH_RR!G77,""),INDEX(SF_Data!Q:Q,MATCH(PBH_RR!D77,SF_Data!B:B,0))))))</f>
        <v/>
      </c>
      <c r="C77" t="str">
        <f>IF(PBH_RR!A77="","",IF(OR(PBH_RR!E77="FH Matrix",PBH_RR!E77="FC Matrix"),PBH_RR!H77,IF(INDEX(SF_Data!F:F,MATCH(PBH_RR!D77,SF_Data!B:B,0))="Greater(FH/FC)",IF(INDEX(SF_Data!M:M,MATCH(PBH_RR!D77,SF_Data!B:B,0))="FC",INDEX(SF_Data!R:R,MATCH(PBH_RR!D77,SF_Data!B:B,0)),""),IF(PBH_RR!E77="Both(FH+FC)",IF(PBH_RR!L77="FC",PBH_RR!H77,""),INDEX(SF_Data!R:R,MATCH(PBH_RR!D77,SF_Data!B:B,0))))))</f>
        <v/>
      </c>
      <c r="D77" t="str">
        <f>IF(PBH_RR!A77="","",IF(OR(PBH_RR!E77="Hourly",PBH_RR!E77="Cycle"),IF(INDEX(SF_Data!M:M,MATCH(PBH_RR!D77,SF_Data!B:B,0))="FH",INDEX(SF_Data!G:G,MATCH(PBH_RR!D77,SF_Data!B:B,0)),""),IF(PBH_RR!E77="Both(FH+FC)",IF(PBH_RR!L77="FH",PBH_RR!M77-PBH_RR!G77,""),IF(PBH_RR!E77="Greater(FH/FC)",IF(INDEX(SF_Data!M:M,MATCH(PBH_RR!D77,SF_Data!B:B,0))="FH",INDEX(SF_Data!G:G,MATCH(PBH_RR!D77,SF_Data!B:B,0))-INDEX(SF_Data!Q:Q,MATCH(PBH_RR!D77,SF_Data!B:B,0)),""),IF(INDEX(SF_Data!M:M,MATCH(PBH_RR!D77,SF_Data!B:B,0))="FH",INDEX(PBH_Lines!K:K,MATCH(PBH_RR!A77,PBH_Lines!M:M,0)),"")))))</f>
        <v/>
      </c>
      <c r="E77" t="str">
        <f>IF(PBH_RR!A77="","",IF(OR(PBH_RR!E77="Hourly",PBH_RR!E77="Cycle"),IF(INDEX(SF_Data!M:M,MATCH(PBH_RR!D77,SF_Data!B:B,0))="FC",INDEX(SF_Data!G:G,MATCH(PBH_RR!D77,SF_Data!B:B,0)),""),IF(PBH_RR!E77="Both(FH+FC)",IF(PBH_RR!L77="FC",PBH_RR!M77-PBH_RR!H77,""),IF(PBH_RR!E77="Greater(FH/FC)",IF(INDEX(SF_Data!M:M,MATCH(PBH_RR!D77,SF_Data!B:B,0))="FC",INDEX(SF_Data!G:G,MATCH(PBH_RR!D77,SF_Data!B:B,0))-INDEX(SF_Data!R:R,MATCH(PBH_RR!D77,SF_Data!B:B,0)),""),IF(INDEX(SF_Data!M:M,MATCH(PBH_RR!D77,SF_Data!B:B,0))="FC",INDEX(PBH_Lines!K:K,MATCH(PBH_RR!A77,PBH_Lines!M:M,0)),"")))))</f>
        <v/>
      </c>
      <c r="F77" t="str">
        <f>IF(PBH_RR!A77="","",IF(OR(PBH_RR!E77="FH Matrix",PBH_RR!E77="FC Matrix"),PBH_RR!I77,IF(INDEX(SF_Data!F:F,MATCH(PBH_RR!D77,SF_Data!B:B,0))="Greater(FH/FC)",IF(INDEX(SF_Data!M:M,MATCH(PBH_RR!D77,SF_Data!B:B,0))="FH",INDEX(SF_Data!S:S,MATCH(PBH_RR!D77,SF_Data!B:B,0)),""),IF(PBH_RR!E77="Both(FH+FC)",IF(PBH_RR!L77="FH",PBH_RR!I77,""),INDEX(SF_Data!S:S,MATCH(PBH_RR!D77,SF_Data!B:B,0))))))</f>
        <v/>
      </c>
      <c r="G77" t="str">
        <f>IF(PBH_RR!A77="","",IF(OR(PBH_RR!E77="FH Matrix",PBH_RR!E77="FC Matrix"),PBH_RR!J77,IF(INDEX(SF_Data!F:F,MATCH(PBH_RR!D77,SF_Data!B:B,0))="Greater(FH/FC)",IF(INDEX(SF_Data!M:M,MATCH(PBH_RR!D77,SF_Data!B:B,0))="FC",INDEX(SF_Data!T:T,MATCH(PBH_RR!D77,SF_Data!B:B,0)),""),IF(PBH_RR!E77="Both(FH+FC)",IF(PBH_RR!L77="FC",PBH_RR!J77,""),INDEX(SF_Data!T:T,MATCH(PBH_RR!D77,SF_Data!B:B,0))))))</f>
        <v/>
      </c>
      <c r="H77" t="str">
        <f>IF(PBH_RR!A77="","",IF(PBH_RR!E77="Both(FH+FC)",PBH_RR!P77,IF(OR(PBH_RR!E77="FH Matrix",PBH_RR!E77="FC Matrix"),INDEX(PBH_Lines!O:O,MATCH(PBH_RR!A77,PBH_Lines!M:M,0)),INDEX(SF_Data!U:U,MATCH(PBH_RR!D77,SF_Data!B:B,0)))))</f>
        <v/>
      </c>
      <c r="J77" t="str">
        <f t="shared" si="9"/>
        <v/>
      </c>
      <c r="K77" t="str">
        <f t="shared" si="10"/>
        <v/>
      </c>
      <c r="L77" t="str">
        <f t="shared" si="11"/>
        <v/>
      </c>
      <c r="M77" t="str">
        <f t="shared" si="12"/>
        <v/>
      </c>
      <c r="N77" t="str">
        <f t="shared" si="13"/>
        <v/>
      </c>
      <c r="O77" t="str">
        <f t="shared" si="14"/>
        <v/>
      </c>
      <c r="P77" t="str">
        <f t="shared" si="15"/>
        <v/>
      </c>
      <c r="Q77" t="str">
        <f t="shared" si="16"/>
        <v/>
      </c>
    </row>
    <row r="78" spans="1:17" x14ac:dyDescent="0.35">
      <c r="A78" t="str">
        <f>IF(PBH_RR!A78="","",IF(OR(PBH_RR!E78="FH Matrix", PBH_RR!E78="FC Matrix"),PBH_RR!C78,INDEX(SF_Data!D:D, MATCH(PBH_RR!D78, SF_Data!B:B, 0))))</f>
        <v/>
      </c>
      <c r="B78" t="str">
        <f>IF(PBH_RR!A78="","",IF(OR(PBH_RR!E78="FH Matrix",PBH_RR!E78="FC Matrix"),PBH_RR!G78,IF(INDEX(SF_Data!F:F,MATCH(PBH_RR!D78,SF_Data!B:B,0))="Greater(FH/FC)",IF(INDEX(SF_Data!M:M,MATCH(PBH_RR!D78,SF_Data!B:B,0))="FH",INDEX(SF_Data!Q:Q,MATCH(PBH_RR!D78,SF_Data!B:B,0)),""),IF(PBH_RR!E78="Both(FH+FC)",IF(PBH_RR!L78="FH",PBH_RR!G78,""),INDEX(SF_Data!Q:Q,MATCH(PBH_RR!D78,SF_Data!B:B,0))))))</f>
        <v/>
      </c>
      <c r="C78" t="str">
        <f>IF(PBH_RR!A78="","",IF(OR(PBH_RR!E78="FH Matrix",PBH_RR!E78="FC Matrix"),PBH_RR!H78,IF(INDEX(SF_Data!F:F,MATCH(PBH_RR!D78,SF_Data!B:B,0))="Greater(FH/FC)",IF(INDEX(SF_Data!M:M,MATCH(PBH_RR!D78,SF_Data!B:B,0))="FC",INDEX(SF_Data!R:R,MATCH(PBH_RR!D78,SF_Data!B:B,0)),""),IF(PBH_RR!E78="Both(FH+FC)",IF(PBH_RR!L78="FC",PBH_RR!H78,""),INDEX(SF_Data!R:R,MATCH(PBH_RR!D78,SF_Data!B:B,0))))))</f>
        <v/>
      </c>
      <c r="D78" t="str">
        <f>IF(PBH_RR!A78="","",IF(OR(PBH_RR!E78="Hourly",PBH_RR!E78="Cycle"),IF(INDEX(SF_Data!M:M,MATCH(PBH_RR!D78,SF_Data!B:B,0))="FH",INDEX(SF_Data!G:G,MATCH(PBH_RR!D78,SF_Data!B:B,0)),""),IF(PBH_RR!E78="Both(FH+FC)",IF(PBH_RR!L78="FH",PBH_RR!M78-PBH_RR!G78,""),IF(PBH_RR!E78="Greater(FH/FC)",IF(INDEX(SF_Data!M:M,MATCH(PBH_RR!D78,SF_Data!B:B,0))="FH",INDEX(SF_Data!G:G,MATCH(PBH_RR!D78,SF_Data!B:B,0))-INDEX(SF_Data!Q:Q,MATCH(PBH_RR!D78,SF_Data!B:B,0)),""),IF(INDEX(SF_Data!M:M,MATCH(PBH_RR!D78,SF_Data!B:B,0))="FH",INDEX(PBH_Lines!K:K,MATCH(PBH_RR!A78,PBH_Lines!M:M,0)),"")))))</f>
        <v/>
      </c>
      <c r="E78" t="str">
        <f>IF(PBH_RR!A78="","",IF(OR(PBH_RR!E78="Hourly",PBH_RR!E78="Cycle"),IF(INDEX(SF_Data!M:M,MATCH(PBH_RR!D78,SF_Data!B:B,0))="FC",INDEX(SF_Data!G:G,MATCH(PBH_RR!D78,SF_Data!B:B,0)),""),IF(PBH_RR!E78="Both(FH+FC)",IF(PBH_RR!L78="FC",PBH_RR!M78-PBH_RR!H78,""),IF(PBH_RR!E78="Greater(FH/FC)",IF(INDEX(SF_Data!M:M,MATCH(PBH_RR!D78,SF_Data!B:B,0))="FC",INDEX(SF_Data!G:G,MATCH(PBH_RR!D78,SF_Data!B:B,0))-INDEX(SF_Data!R:R,MATCH(PBH_RR!D78,SF_Data!B:B,0)),""),IF(INDEX(SF_Data!M:M,MATCH(PBH_RR!D78,SF_Data!B:B,0))="FC",INDEX(PBH_Lines!K:K,MATCH(PBH_RR!A78,PBH_Lines!M:M,0)),"")))))</f>
        <v/>
      </c>
      <c r="F78" t="str">
        <f>IF(PBH_RR!A78="","",IF(OR(PBH_RR!E78="FH Matrix",PBH_RR!E78="FC Matrix"),PBH_RR!I78,IF(INDEX(SF_Data!F:F,MATCH(PBH_RR!D78,SF_Data!B:B,0))="Greater(FH/FC)",IF(INDEX(SF_Data!M:M,MATCH(PBH_RR!D78,SF_Data!B:B,0))="FH",INDEX(SF_Data!S:S,MATCH(PBH_RR!D78,SF_Data!B:B,0)),""),IF(PBH_RR!E78="Both(FH+FC)",IF(PBH_RR!L78="FH",PBH_RR!I78,""),INDEX(SF_Data!S:S,MATCH(PBH_RR!D78,SF_Data!B:B,0))))))</f>
        <v/>
      </c>
      <c r="G78" t="str">
        <f>IF(PBH_RR!A78="","",IF(OR(PBH_RR!E78="FH Matrix",PBH_RR!E78="FC Matrix"),PBH_RR!J78,IF(INDEX(SF_Data!F:F,MATCH(PBH_RR!D78,SF_Data!B:B,0))="Greater(FH/FC)",IF(INDEX(SF_Data!M:M,MATCH(PBH_RR!D78,SF_Data!B:B,0))="FC",INDEX(SF_Data!T:T,MATCH(PBH_RR!D78,SF_Data!B:B,0)),""),IF(PBH_RR!E78="Both(FH+FC)",IF(PBH_RR!L78="FC",PBH_RR!J78,""),INDEX(SF_Data!T:T,MATCH(PBH_RR!D78,SF_Data!B:B,0))))))</f>
        <v/>
      </c>
      <c r="H78" t="str">
        <f>IF(PBH_RR!A78="","",IF(PBH_RR!E78="Both(FH+FC)",PBH_RR!P78,IF(OR(PBH_RR!E78="FH Matrix",PBH_RR!E78="FC Matrix"),INDEX(PBH_Lines!O:O,MATCH(PBH_RR!A78,PBH_Lines!M:M,0)),INDEX(SF_Data!U:U,MATCH(PBH_RR!D78,SF_Data!B:B,0)))))</f>
        <v/>
      </c>
      <c r="J78" t="str">
        <f t="shared" si="9"/>
        <v/>
      </c>
      <c r="K78" t="str">
        <f t="shared" si="10"/>
        <v/>
      </c>
      <c r="L78" t="str">
        <f t="shared" si="11"/>
        <v/>
      </c>
      <c r="M78" t="str">
        <f t="shared" si="12"/>
        <v/>
      </c>
      <c r="N78" t="str">
        <f t="shared" si="13"/>
        <v/>
      </c>
      <c r="O78" t="str">
        <f t="shared" si="14"/>
        <v/>
      </c>
      <c r="P78" t="str">
        <f t="shared" si="15"/>
        <v/>
      </c>
      <c r="Q78" t="str">
        <f t="shared" si="16"/>
        <v/>
      </c>
    </row>
    <row r="79" spans="1:17" x14ac:dyDescent="0.35">
      <c r="A79" t="str">
        <f>IF(PBH_RR!A79="","",IF(OR(PBH_RR!E79="FH Matrix", PBH_RR!E79="FC Matrix"),PBH_RR!C79,INDEX(SF_Data!D:D, MATCH(PBH_RR!D79, SF_Data!B:B, 0))))</f>
        <v/>
      </c>
      <c r="B79" t="str">
        <f>IF(PBH_RR!A79="","",IF(OR(PBH_RR!E79="FH Matrix",PBH_RR!E79="FC Matrix"),PBH_RR!G79,IF(INDEX(SF_Data!F:F,MATCH(PBH_RR!D79,SF_Data!B:B,0))="Greater(FH/FC)",IF(INDEX(SF_Data!M:M,MATCH(PBH_RR!D79,SF_Data!B:B,0))="FH",INDEX(SF_Data!Q:Q,MATCH(PBH_RR!D79,SF_Data!B:B,0)),""),IF(PBH_RR!E79="Both(FH+FC)",IF(PBH_RR!L79="FH",PBH_RR!G79,""),INDEX(SF_Data!Q:Q,MATCH(PBH_RR!D79,SF_Data!B:B,0))))))</f>
        <v/>
      </c>
      <c r="C79" t="str">
        <f>IF(PBH_RR!A79="","",IF(OR(PBH_RR!E79="FH Matrix",PBH_RR!E79="FC Matrix"),PBH_RR!H79,IF(INDEX(SF_Data!F:F,MATCH(PBH_RR!D79,SF_Data!B:B,0))="Greater(FH/FC)",IF(INDEX(SF_Data!M:M,MATCH(PBH_RR!D79,SF_Data!B:B,0))="FC",INDEX(SF_Data!R:R,MATCH(PBH_RR!D79,SF_Data!B:B,0)),""),IF(PBH_RR!E79="Both(FH+FC)",IF(PBH_RR!L79="FC",PBH_RR!H79,""),INDEX(SF_Data!R:R,MATCH(PBH_RR!D79,SF_Data!B:B,0))))))</f>
        <v/>
      </c>
      <c r="D79" t="str">
        <f>IF(PBH_RR!A79="","",IF(OR(PBH_RR!E79="Hourly",PBH_RR!E79="Cycle"),IF(INDEX(SF_Data!M:M,MATCH(PBH_RR!D79,SF_Data!B:B,0))="FH",INDEX(SF_Data!G:G,MATCH(PBH_RR!D79,SF_Data!B:B,0)),""),IF(PBH_RR!E79="Both(FH+FC)",IF(PBH_RR!L79="FH",PBH_RR!M79-PBH_RR!G79,""),IF(PBH_RR!E79="Greater(FH/FC)",IF(INDEX(SF_Data!M:M,MATCH(PBH_RR!D79,SF_Data!B:B,0))="FH",INDEX(SF_Data!G:G,MATCH(PBH_RR!D79,SF_Data!B:B,0))-INDEX(SF_Data!Q:Q,MATCH(PBH_RR!D79,SF_Data!B:B,0)),""),IF(INDEX(SF_Data!M:M,MATCH(PBH_RR!D79,SF_Data!B:B,0))="FH",INDEX(PBH_Lines!K:K,MATCH(PBH_RR!A79,PBH_Lines!M:M,0)),"")))))</f>
        <v/>
      </c>
      <c r="E79" t="str">
        <f>IF(PBH_RR!A79="","",IF(OR(PBH_RR!E79="Hourly",PBH_RR!E79="Cycle"),IF(INDEX(SF_Data!M:M,MATCH(PBH_RR!D79,SF_Data!B:B,0))="FC",INDEX(SF_Data!G:G,MATCH(PBH_RR!D79,SF_Data!B:B,0)),""),IF(PBH_RR!E79="Both(FH+FC)",IF(PBH_RR!L79="FC",PBH_RR!M79-PBH_RR!H79,""),IF(PBH_RR!E79="Greater(FH/FC)",IF(INDEX(SF_Data!M:M,MATCH(PBH_RR!D79,SF_Data!B:B,0))="FC",INDEX(SF_Data!G:G,MATCH(PBH_RR!D79,SF_Data!B:B,0))-INDEX(SF_Data!R:R,MATCH(PBH_RR!D79,SF_Data!B:B,0)),""),IF(INDEX(SF_Data!M:M,MATCH(PBH_RR!D79,SF_Data!B:B,0))="FC",INDEX(PBH_Lines!K:K,MATCH(PBH_RR!A79,PBH_Lines!M:M,0)),"")))))</f>
        <v/>
      </c>
      <c r="F79" t="str">
        <f>IF(PBH_RR!A79="","",IF(OR(PBH_RR!E79="FH Matrix",PBH_RR!E79="FC Matrix"),PBH_RR!I79,IF(INDEX(SF_Data!F:F,MATCH(PBH_RR!D79,SF_Data!B:B,0))="Greater(FH/FC)",IF(INDEX(SF_Data!M:M,MATCH(PBH_RR!D79,SF_Data!B:B,0))="FH",INDEX(SF_Data!S:S,MATCH(PBH_RR!D79,SF_Data!B:B,0)),""),IF(PBH_RR!E79="Both(FH+FC)",IF(PBH_RR!L79="FH",PBH_RR!I79,""),INDEX(SF_Data!S:S,MATCH(PBH_RR!D79,SF_Data!B:B,0))))))</f>
        <v/>
      </c>
      <c r="G79" t="str">
        <f>IF(PBH_RR!A79="","",IF(OR(PBH_RR!E79="FH Matrix",PBH_RR!E79="FC Matrix"),PBH_RR!J79,IF(INDEX(SF_Data!F:F,MATCH(PBH_RR!D79,SF_Data!B:B,0))="Greater(FH/FC)",IF(INDEX(SF_Data!M:M,MATCH(PBH_RR!D79,SF_Data!B:B,0))="FC",INDEX(SF_Data!T:T,MATCH(PBH_RR!D79,SF_Data!B:B,0)),""),IF(PBH_RR!E79="Both(FH+FC)",IF(PBH_RR!L79="FC",PBH_RR!J79,""),INDEX(SF_Data!T:T,MATCH(PBH_RR!D79,SF_Data!B:B,0))))))</f>
        <v/>
      </c>
      <c r="H79" t="str">
        <f>IF(PBH_RR!A79="","",IF(PBH_RR!E79="Both(FH+FC)",PBH_RR!P79,IF(OR(PBH_RR!E79="FH Matrix",PBH_RR!E79="FC Matrix"),INDEX(PBH_Lines!O:O,MATCH(PBH_RR!A79,PBH_Lines!M:M,0)),INDEX(SF_Data!U:U,MATCH(PBH_RR!D79,SF_Data!B:B,0)))))</f>
        <v/>
      </c>
      <c r="J79" t="str">
        <f t="shared" si="9"/>
        <v/>
      </c>
      <c r="K79" t="str">
        <f t="shared" si="10"/>
        <v/>
      </c>
      <c r="L79" t="str">
        <f t="shared" si="11"/>
        <v/>
      </c>
      <c r="M79" t="str">
        <f t="shared" si="12"/>
        <v/>
      </c>
      <c r="N79" t="str">
        <f t="shared" si="13"/>
        <v/>
      </c>
      <c r="O79" t="str">
        <f t="shared" si="14"/>
        <v/>
      </c>
      <c r="P79" t="str">
        <f t="shared" si="15"/>
        <v/>
      </c>
      <c r="Q79" t="str">
        <f t="shared" si="16"/>
        <v/>
      </c>
    </row>
    <row r="80" spans="1:17" x14ac:dyDescent="0.35">
      <c r="A80" t="str">
        <f>IF(PBH_RR!A80="","",IF(OR(PBH_RR!E80="FH Matrix", PBH_RR!E80="FC Matrix"),PBH_RR!C80,INDEX(SF_Data!D:D, MATCH(PBH_RR!D80, SF_Data!B:B, 0))))</f>
        <v/>
      </c>
      <c r="B80" t="str">
        <f>IF(PBH_RR!A80="","",IF(OR(PBH_RR!E80="FH Matrix",PBH_RR!E80="FC Matrix"),PBH_RR!G80,IF(INDEX(SF_Data!F:F,MATCH(PBH_RR!D80,SF_Data!B:B,0))="Greater(FH/FC)",IF(INDEX(SF_Data!M:M,MATCH(PBH_RR!D80,SF_Data!B:B,0))="FH",INDEX(SF_Data!Q:Q,MATCH(PBH_RR!D80,SF_Data!B:B,0)),""),IF(PBH_RR!E80="Both(FH+FC)",IF(PBH_RR!L80="FH",PBH_RR!G80,""),INDEX(SF_Data!Q:Q,MATCH(PBH_RR!D80,SF_Data!B:B,0))))))</f>
        <v/>
      </c>
      <c r="C80" t="str">
        <f>IF(PBH_RR!A80="","",IF(OR(PBH_RR!E80="FH Matrix",PBH_RR!E80="FC Matrix"),PBH_RR!H80,IF(INDEX(SF_Data!F:F,MATCH(PBH_RR!D80,SF_Data!B:B,0))="Greater(FH/FC)",IF(INDEX(SF_Data!M:M,MATCH(PBH_RR!D80,SF_Data!B:B,0))="FC",INDEX(SF_Data!R:R,MATCH(PBH_RR!D80,SF_Data!B:B,0)),""),IF(PBH_RR!E80="Both(FH+FC)",IF(PBH_RR!L80="FC",PBH_RR!H80,""),INDEX(SF_Data!R:R,MATCH(PBH_RR!D80,SF_Data!B:B,0))))))</f>
        <v/>
      </c>
      <c r="D80" t="str">
        <f>IF(PBH_RR!A80="","",IF(OR(PBH_RR!E80="Hourly",PBH_RR!E80="Cycle"),IF(INDEX(SF_Data!M:M,MATCH(PBH_RR!D80,SF_Data!B:B,0))="FH",INDEX(SF_Data!G:G,MATCH(PBH_RR!D80,SF_Data!B:B,0)),""),IF(PBH_RR!E80="Both(FH+FC)",IF(PBH_RR!L80="FH",PBH_RR!M80-PBH_RR!G80,""),IF(PBH_RR!E80="Greater(FH/FC)",IF(INDEX(SF_Data!M:M,MATCH(PBH_RR!D80,SF_Data!B:B,0))="FH",INDEX(SF_Data!G:G,MATCH(PBH_RR!D80,SF_Data!B:B,0))-INDEX(SF_Data!Q:Q,MATCH(PBH_RR!D80,SF_Data!B:B,0)),""),IF(INDEX(SF_Data!M:M,MATCH(PBH_RR!D80,SF_Data!B:B,0))="FH",INDEX(PBH_Lines!K:K,MATCH(PBH_RR!A80,PBH_Lines!M:M,0)),"")))))</f>
        <v/>
      </c>
      <c r="E80" t="str">
        <f>IF(PBH_RR!A80="","",IF(OR(PBH_RR!E80="Hourly",PBH_RR!E80="Cycle"),IF(INDEX(SF_Data!M:M,MATCH(PBH_RR!D80,SF_Data!B:B,0))="FC",INDEX(SF_Data!G:G,MATCH(PBH_RR!D80,SF_Data!B:B,0)),""),IF(PBH_RR!E80="Both(FH+FC)",IF(PBH_RR!L80="FC",PBH_RR!M80-PBH_RR!H80,""),IF(PBH_RR!E80="Greater(FH/FC)",IF(INDEX(SF_Data!M:M,MATCH(PBH_RR!D80,SF_Data!B:B,0))="FC",INDEX(SF_Data!G:G,MATCH(PBH_RR!D80,SF_Data!B:B,0))-INDEX(SF_Data!R:R,MATCH(PBH_RR!D80,SF_Data!B:B,0)),""),IF(INDEX(SF_Data!M:M,MATCH(PBH_RR!D80,SF_Data!B:B,0))="FC",INDEX(PBH_Lines!K:K,MATCH(PBH_RR!A80,PBH_Lines!M:M,0)),"")))))</f>
        <v/>
      </c>
      <c r="F80" t="str">
        <f>IF(PBH_RR!A80="","",IF(OR(PBH_RR!E80="FH Matrix",PBH_RR!E80="FC Matrix"),PBH_RR!I80,IF(INDEX(SF_Data!F:F,MATCH(PBH_RR!D80,SF_Data!B:B,0))="Greater(FH/FC)",IF(INDEX(SF_Data!M:M,MATCH(PBH_RR!D80,SF_Data!B:B,0))="FH",INDEX(SF_Data!S:S,MATCH(PBH_RR!D80,SF_Data!B:B,0)),""),IF(PBH_RR!E80="Both(FH+FC)",IF(PBH_RR!L80="FH",PBH_RR!I80,""),INDEX(SF_Data!S:S,MATCH(PBH_RR!D80,SF_Data!B:B,0))))))</f>
        <v/>
      </c>
      <c r="G80" t="str">
        <f>IF(PBH_RR!A80="","",IF(OR(PBH_RR!E80="FH Matrix",PBH_RR!E80="FC Matrix"),PBH_RR!J80,IF(INDEX(SF_Data!F:F,MATCH(PBH_RR!D80,SF_Data!B:B,0))="Greater(FH/FC)",IF(INDEX(SF_Data!M:M,MATCH(PBH_RR!D80,SF_Data!B:B,0))="FC",INDEX(SF_Data!T:T,MATCH(PBH_RR!D80,SF_Data!B:B,0)),""),IF(PBH_RR!E80="Both(FH+FC)",IF(PBH_RR!L80="FC",PBH_RR!J80,""),INDEX(SF_Data!T:T,MATCH(PBH_RR!D80,SF_Data!B:B,0))))))</f>
        <v/>
      </c>
      <c r="H80" t="str">
        <f>IF(PBH_RR!A80="","",IF(PBH_RR!E80="Both(FH+FC)",PBH_RR!P80,IF(OR(PBH_RR!E80="FH Matrix",PBH_RR!E80="FC Matrix"),INDEX(PBH_Lines!O:O,MATCH(PBH_RR!A80,PBH_Lines!M:M,0)),INDEX(SF_Data!U:U,MATCH(PBH_RR!D80,SF_Data!B:B,0)))))</f>
        <v/>
      </c>
      <c r="J80" t="str">
        <f t="shared" si="9"/>
        <v/>
      </c>
      <c r="K80" t="str">
        <f t="shared" si="10"/>
        <v/>
      </c>
      <c r="L80" t="str">
        <f t="shared" si="11"/>
        <v/>
      </c>
      <c r="M80" t="str">
        <f t="shared" si="12"/>
        <v/>
      </c>
      <c r="N80" t="str">
        <f t="shared" si="13"/>
        <v/>
      </c>
      <c r="O80" t="str">
        <f t="shared" si="14"/>
        <v/>
      </c>
      <c r="P80" t="str">
        <f t="shared" si="15"/>
        <v/>
      </c>
      <c r="Q80" t="str">
        <f t="shared" si="16"/>
        <v/>
      </c>
    </row>
    <row r="81" spans="1:17" x14ac:dyDescent="0.35">
      <c r="A81" t="str">
        <f>IF(PBH_RR!A81="","",IF(OR(PBH_RR!E81="FH Matrix", PBH_RR!E81="FC Matrix"),PBH_RR!C81,INDEX(SF_Data!D:D, MATCH(PBH_RR!D81, SF_Data!B:B, 0))))</f>
        <v/>
      </c>
      <c r="B81" t="str">
        <f>IF(PBH_RR!A81="","",IF(OR(PBH_RR!E81="FH Matrix",PBH_RR!E81="FC Matrix"),PBH_RR!G81,IF(INDEX(SF_Data!F:F,MATCH(PBH_RR!D81,SF_Data!B:B,0))="Greater(FH/FC)",IF(INDEX(SF_Data!M:M,MATCH(PBH_RR!D81,SF_Data!B:B,0))="FH",INDEX(SF_Data!Q:Q,MATCH(PBH_RR!D81,SF_Data!B:B,0)),""),IF(PBH_RR!E81="Both(FH+FC)",IF(PBH_RR!L81="FH",PBH_RR!G81,""),INDEX(SF_Data!Q:Q,MATCH(PBH_RR!D81,SF_Data!B:B,0))))))</f>
        <v/>
      </c>
      <c r="C81" t="str">
        <f>IF(PBH_RR!A81="","",IF(OR(PBH_RR!E81="FH Matrix",PBH_RR!E81="FC Matrix"),PBH_RR!H81,IF(INDEX(SF_Data!F:F,MATCH(PBH_RR!D81,SF_Data!B:B,0))="Greater(FH/FC)",IF(INDEX(SF_Data!M:M,MATCH(PBH_RR!D81,SF_Data!B:B,0))="FC",INDEX(SF_Data!R:R,MATCH(PBH_RR!D81,SF_Data!B:B,0)),""),IF(PBH_RR!E81="Both(FH+FC)",IF(PBH_RR!L81="FC",PBH_RR!H81,""),INDEX(SF_Data!R:R,MATCH(PBH_RR!D81,SF_Data!B:B,0))))))</f>
        <v/>
      </c>
      <c r="D81" t="str">
        <f>IF(PBH_RR!A81="","",IF(OR(PBH_RR!E81="Hourly",PBH_RR!E81="Cycle"),IF(INDEX(SF_Data!M:M,MATCH(PBH_RR!D81,SF_Data!B:B,0))="FH",INDEX(SF_Data!G:G,MATCH(PBH_RR!D81,SF_Data!B:B,0)),""),IF(PBH_RR!E81="Both(FH+FC)",IF(PBH_RR!L81="FH",PBH_RR!M81-PBH_RR!G81,""),IF(PBH_RR!E81="Greater(FH/FC)",IF(INDEX(SF_Data!M:M,MATCH(PBH_RR!D81,SF_Data!B:B,0))="FH",INDEX(SF_Data!G:G,MATCH(PBH_RR!D81,SF_Data!B:B,0))-INDEX(SF_Data!Q:Q,MATCH(PBH_RR!D81,SF_Data!B:B,0)),""),IF(INDEX(SF_Data!M:M,MATCH(PBH_RR!D81,SF_Data!B:B,0))="FH",INDEX(PBH_Lines!K:K,MATCH(PBH_RR!A81,PBH_Lines!M:M,0)),"")))))</f>
        <v/>
      </c>
      <c r="E81" t="str">
        <f>IF(PBH_RR!A81="","",IF(OR(PBH_RR!E81="Hourly",PBH_RR!E81="Cycle"),IF(INDEX(SF_Data!M:M,MATCH(PBH_RR!D81,SF_Data!B:B,0))="FC",INDEX(SF_Data!G:G,MATCH(PBH_RR!D81,SF_Data!B:B,0)),""),IF(PBH_RR!E81="Both(FH+FC)",IF(PBH_RR!L81="FC",PBH_RR!M81-PBH_RR!H81,""),IF(PBH_RR!E81="Greater(FH/FC)",IF(INDEX(SF_Data!M:M,MATCH(PBH_RR!D81,SF_Data!B:B,0))="FC",INDEX(SF_Data!G:G,MATCH(PBH_RR!D81,SF_Data!B:B,0))-INDEX(SF_Data!R:R,MATCH(PBH_RR!D81,SF_Data!B:B,0)),""),IF(INDEX(SF_Data!M:M,MATCH(PBH_RR!D81,SF_Data!B:B,0))="FC",INDEX(PBH_Lines!K:K,MATCH(PBH_RR!A81,PBH_Lines!M:M,0)),"")))))</f>
        <v/>
      </c>
      <c r="F81" t="str">
        <f>IF(PBH_RR!A81="","",IF(OR(PBH_RR!E81="FH Matrix",PBH_RR!E81="FC Matrix"),PBH_RR!I81,IF(INDEX(SF_Data!F:F,MATCH(PBH_RR!D81,SF_Data!B:B,0))="Greater(FH/FC)",IF(INDEX(SF_Data!M:M,MATCH(PBH_RR!D81,SF_Data!B:B,0))="FH",INDEX(SF_Data!S:S,MATCH(PBH_RR!D81,SF_Data!B:B,0)),""),IF(PBH_RR!E81="Both(FH+FC)",IF(PBH_RR!L81="FH",PBH_RR!I81,""),INDEX(SF_Data!S:S,MATCH(PBH_RR!D81,SF_Data!B:B,0))))))</f>
        <v/>
      </c>
      <c r="G81" t="str">
        <f>IF(PBH_RR!A81="","",IF(OR(PBH_RR!E81="FH Matrix",PBH_RR!E81="FC Matrix"),PBH_RR!J81,IF(INDEX(SF_Data!F:F,MATCH(PBH_RR!D81,SF_Data!B:B,0))="Greater(FH/FC)",IF(INDEX(SF_Data!M:M,MATCH(PBH_RR!D81,SF_Data!B:B,0))="FC",INDEX(SF_Data!T:T,MATCH(PBH_RR!D81,SF_Data!B:B,0)),""),IF(PBH_RR!E81="Both(FH+FC)",IF(PBH_RR!L81="FC",PBH_RR!J81,""),INDEX(SF_Data!T:T,MATCH(PBH_RR!D81,SF_Data!B:B,0))))))</f>
        <v/>
      </c>
      <c r="H81" t="str">
        <f>IF(PBH_RR!A81="","",IF(PBH_RR!E81="Both(FH+FC)",PBH_RR!P81,IF(OR(PBH_RR!E81="FH Matrix",PBH_RR!E81="FC Matrix"),INDEX(PBH_Lines!O:O,MATCH(PBH_RR!A81,PBH_Lines!M:M,0)),INDEX(SF_Data!U:U,MATCH(PBH_RR!D81,SF_Data!B:B,0)))))</f>
        <v/>
      </c>
      <c r="J81" t="str">
        <f t="shared" si="9"/>
        <v/>
      </c>
      <c r="K81" t="str">
        <f t="shared" si="10"/>
        <v/>
      </c>
      <c r="L81" t="str">
        <f t="shared" si="11"/>
        <v/>
      </c>
      <c r="M81" t="str">
        <f t="shared" si="12"/>
        <v/>
      </c>
      <c r="N81" t="str">
        <f t="shared" si="13"/>
        <v/>
      </c>
      <c r="O81" t="str">
        <f t="shared" si="14"/>
        <v/>
      </c>
      <c r="P81" t="str">
        <f t="shared" si="15"/>
        <v/>
      </c>
      <c r="Q81" t="str">
        <f t="shared" si="16"/>
        <v/>
      </c>
    </row>
    <row r="82" spans="1:17" x14ac:dyDescent="0.35">
      <c r="A82" t="str">
        <f>IF(PBH_RR!A82="","",IF(OR(PBH_RR!E82="FH Matrix", PBH_RR!E82="FC Matrix"),PBH_RR!C82,INDEX(SF_Data!D:D, MATCH(PBH_RR!D82, SF_Data!B:B, 0))))</f>
        <v/>
      </c>
      <c r="B82" t="str">
        <f>IF(PBH_RR!A82="","",IF(OR(PBH_RR!E82="FH Matrix",PBH_RR!E82="FC Matrix"),PBH_RR!G82,IF(INDEX(SF_Data!F:F,MATCH(PBH_RR!D82,SF_Data!B:B,0))="Greater(FH/FC)",IF(INDEX(SF_Data!M:M,MATCH(PBH_RR!D82,SF_Data!B:B,0))="FH",INDEX(SF_Data!Q:Q,MATCH(PBH_RR!D82,SF_Data!B:B,0)),""),IF(PBH_RR!E82="Both(FH+FC)",IF(PBH_RR!L82="FH",PBH_RR!G82,""),INDEX(SF_Data!Q:Q,MATCH(PBH_RR!D82,SF_Data!B:B,0))))))</f>
        <v/>
      </c>
      <c r="C82" t="str">
        <f>IF(PBH_RR!A82="","",IF(OR(PBH_RR!E82="FH Matrix",PBH_RR!E82="FC Matrix"),PBH_RR!H82,IF(INDEX(SF_Data!F:F,MATCH(PBH_RR!D82,SF_Data!B:B,0))="Greater(FH/FC)",IF(INDEX(SF_Data!M:M,MATCH(PBH_RR!D82,SF_Data!B:B,0))="FC",INDEX(SF_Data!R:R,MATCH(PBH_RR!D82,SF_Data!B:B,0)),""),IF(PBH_RR!E82="Both(FH+FC)",IF(PBH_RR!L82="FC",PBH_RR!H82,""),INDEX(SF_Data!R:R,MATCH(PBH_RR!D82,SF_Data!B:B,0))))))</f>
        <v/>
      </c>
      <c r="D82" t="str">
        <f>IF(PBH_RR!A82="","",IF(OR(PBH_RR!E82="Hourly",PBH_RR!E82="Cycle"),IF(INDEX(SF_Data!M:M,MATCH(PBH_RR!D82,SF_Data!B:B,0))="FH",INDEX(SF_Data!G:G,MATCH(PBH_RR!D82,SF_Data!B:B,0)),""),IF(PBH_RR!E82="Both(FH+FC)",IF(PBH_RR!L82="FH",PBH_RR!M82-PBH_RR!G82,""),IF(PBH_RR!E82="Greater(FH/FC)",IF(INDEX(SF_Data!M:M,MATCH(PBH_RR!D82,SF_Data!B:B,0))="FH",INDEX(SF_Data!G:G,MATCH(PBH_RR!D82,SF_Data!B:B,0))-INDEX(SF_Data!Q:Q,MATCH(PBH_RR!D82,SF_Data!B:B,0)),""),IF(INDEX(SF_Data!M:M,MATCH(PBH_RR!D82,SF_Data!B:B,0))="FH",INDEX(PBH_Lines!K:K,MATCH(PBH_RR!A82,PBH_Lines!M:M,0)),"")))))</f>
        <v/>
      </c>
      <c r="E82" t="str">
        <f>IF(PBH_RR!A82="","",IF(OR(PBH_RR!E82="Hourly",PBH_RR!E82="Cycle"),IF(INDEX(SF_Data!M:M,MATCH(PBH_RR!D82,SF_Data!B:B,0))="FC",INDEX(SF_Data!G:G,MATCH(PBH_RR!D82,SF_Data!B:B,0)),""),IF(PBH_RR!E82="Both(FH+FC)",IF(PBH_RR!L82="FC",PBH_RR!M82-PBH_RR!H82,""),IF(PBH_RR!E82="Greater(FH/FC)",IF(INDEX(SF_Data!M:M,MATCH(PBH_RR!D82,SF_Data!B:B,0))="FC",INDEX(SF_Data!G:G,MATCH(PBH_RR!D82,SF_Data!B:B,0))-INDEX(SF_Data!R:R,MATCH(PBH_RR!D82,SF_Data!B:B,0)),""),IF(INDEX(SF_Data!M:M,MATCH(PBH_RR!D82,SF_Data!B:B,0))="FC",INDEX(PBH_Lines!K:K,MATCH(PBH_RR!A82,PBH_Lines!M:M,0)),"")))))</f>
        <v/>
      </c>
      <c r="F82" t="str">
        <f>IF(PBH_RR!A82="","",IF(OR(PBH_RR!E82="FH Matrix",PBH_RR!E82="FC Matrix"),PBH_RR!I82,IF(INDEX(SF_Data!F:F,MATCH(PBH_RR!D82,SF_Data!B:B,0))="Greater(FH/FC)",IF(INDEX(SF_Data!M:M,MATCH(PBH_RR!D82,SF_Data!B:B,0))="FH",INDEX(SF_Data!S:S,MATCH(PBH_RR!D82,SF_Data!B:B,0)),""),IF(PBH_RR!E82="Both(FH+FC)",IF(PBH_RR!L82="FH",PBH_RR!I82,""),INDEX(SF_Data!S:S,MATCH(PBH_RR!D82,SF_Data!B:B,0))))))</f>
        <v/>
      </c>
      <c r="G82" t="str">
        <f>IF(PBH_RR!A82="","",IF(OR(PBH_RR!E82="FH Matrix",PBH_RR!E82="FC Matrix"),PBH_RR!J82,IF(INDEX(SF_Data!F:F,MATCH(PBH_RR!D82,SF_Data!B:B,0))="Greater(FH/FC)",IF(INDEX(SF_Data!M:M,MATCH(PBH_RR!D82,SF_Data!B:B,0))="FC",INDEX(SF_Data!T:T,MATCH(PBH_RR!D82,SF_Data!B:B,0)),""),IF(PBH_RR!E82="Both(FH+FC)",IF(PBH_RR!L82="FC",PBH_RR!J82,""),INDEX(SF_Data!T:T,MATCH(PBH_RR!D82,SF_Data!B:B,0))))))</f>
        <v/>
      </c>
      <c r="H82" t="str">
        <f>IF(PBH_RR!A82="","",IF(PBH_RR!E82="Both(FH+FC)",PBH_RR!P82,IF(OR(PBH_RR!E82="FH Matrix",PBH_RR!E82="FC Matrix"),INDEX(PBH_Lines!O:O,MATCH(PBH_RR!A82,PBH_Lines!M:M,0)),INDEX(SF_Data!U:U,MATCH(PBH_RR!D82,SF_Data!B:B,0)))))</f>
        <v/>
      </c>
      <c r="J82" t="str">
        <f t="shared" si="9"/>
        <v/>
      </c>
      <c r="K82" t="str">
        <f t="shared" si="10"/>
        <v/>
      </c>
      <c r="L82" t="str">
        <f t="shared" si="11"/>
        <v/>
      </c>
      <c r="M82" t="str">
        <f t="shared" si="12"/>
        <v/>
      </c>
      <c r="N82" t="str">
        <f t="shared" si="13"/>
        <v/>
      </c>
      <c r="O82" t="str">
        <f t="shared" si="14"/>
        <v/>
      </c>
      <c r="P82" t="str">
        <f t="shared" si="15"/>
        <v/>
      </c>
      <c r="Q82" t="str">
        <f t="shared" si="16"/>
        <v/>
      </c>
    </row>
    <row r="83" spans="1:17" x14ac:dyDescent="0.35">
      <c r="A83" t="str">
        <f>IF(PBH_RR!A83="","",IF(OR(PBH_RR!E83="FH Matrix", PBH_RR!E83="FC Matrix"),PBH_RR!C83,INDEX(SF_Data!D:D, MATCH(PBH_RR!D83, SF_Data!B:B, 0))))</f>
        <v/>
      </c>
      <c r="B83" t="str">
        <f>IF(PBH_RR!A83="","",IF(OR(PBH_RR!E83="FH Matrix",PBH_RR!E83="FC Matrix"),PBH_RR!G83,IF(INDEX(SF_Data!F:F,MATCH(PBH_RR!D83,SF_Data!B:B,0))="Greater(FH/FC)",IF(INDEX(SF_Data!M:M,MATCH(PBH_RR!D83,SF_Data!B:B,0))="FH",INDEX(SF_Data!Q:Q,MATCH(PBH_RR!D83,SF_Data!B:B,0)),""),IF(PBH_RR!E83="Both(FH+FC)",IF(PBH_RR!L83="FH",PBH_RR!G83,""),INDEX(SF_Data!Q:Q,MATCH(PBH_RR!D83,SF_Data!B:B,0))))))</f>
        <v/>
      </c>
      <c r="C83" t="str">
        <f>IF(PBH_RR!A83="","",IF(OR(PBH_RR!E83="FH Matrix",PBH_RR!E83="FC Matrix"),PBH_RR!H83,IF(INDEX(SF_Data!F:F,MATCH(PBH_RR!D83,SF_Data!B:B,0))="Greater(FH/FC)",IF(INDEX(SF_Data!M:M,MATCH(PBH_RR!D83,SF_Data!B:B,0))="FC",INDEX(SF_Data!R:R,MATCH(PBH_RR!D83,SF_Data!B:B,0)),""),IF(PBH_RR!E83="Both(FH+FC)",IF(PBH_RR!L83="FC",PBH_RR!H83,""),INDEX(SF_Data!R:R,MATCH(PBH_RR!D83,SF_Data!B:B,0))))))</f>
        <v/>
      </c>
      <c r="D83" t="str">
        <f>IF(PBH_RR!A83="","",IF(OR(PBH_RR!E83="Hourly",PBH_RR!E83="Cycle"),IF(INDEX(SF_Data!M:M,MATCH(PBH_RR!D83,SF_Data!B:B,0))="FH",INDEX(SF_Data!G:G,MATCH(PBH_RR!D83,SF_Data!B:B,0)),""),IF(PBH_RR!E83="Both(FH+FC)",IF(PBH_RR!L83="FH",PBH_RR!M83-PBH_RR!G83,""),IF(PBH_RR!E83="Greater(FH/FC)",IF(INDEX(SF_Data!M:M,MATCH(PBH_RR!D83,SF_Data!B:B,0))="FH",INDEX(SF_Data!G:G,MATCH(PBH_RR!D83,SF_Data!B:B,0))-INDEX(SF_Data!Q:Q,MATCH(PBH_RR!D83,SF_Data!B:B,0)),""),IF(INDEX(SF_Data!M:M,MATCH(PBH_RR!D83,SF_Data!B:B,0))="FH",INDEX(PBH_Lines!K:K,MATCH(PBH_RR!A83,PBH_Lines!M:M,0)),"")))))</f>
        <v/>
      </c>
      <c r="E83" t="str">
        <f>IF(PBH_RR!A83="","",IF(OR(PBH_RR!E83="Hourly",PBH_RR!E83="Cycle"),IF(INDEX(SF_Data!M:M,MATCH(PBH_RR!D83,SF_Data!B:B,0))="FC",INDEX(SF_Data!G:G,MATCH(PBH_RR!D83,SF_Data!B:B,0)),""),IF(PBH_RR!E83="Both(FH+FC)",IF(PBH_RR!L83="FC",PBH_RR!M83-PBH_RR!H83,""),IF(PBH_RR!E83="Greater(FH/FC)",IF(INDEX(SF_Data!M:M,MATCH(PBH_RR!D83,SF_Data!B:B,0))="FC",INDEX(SF_Data!G:G,MATCH(PBH_RR!D83,SF_Data!B:B,0))-INDEX(SF_Data!R:R,MATCH(PBH_RR!D83,SF_Data!B:B,0)),""),IF(INDEX(SF_Data!M:M,MATCH(PBH_RR!D83,SF_Data!B:B,0))="FC",INDEX(PBH_Lines!K:K,MATCH(PBH_RR!A83,PBH_Lines!M:M,0)),"")))))</f>
        <v/>
      </c>
      <c r="F83" t="str">
        <f>IF(PBH_RR!A83="","",IF(OR(PBH_RR!E83="FH Matrix",PBH_RR!E83="FC Matrix"),PBH_RR!I83,IF(INDEX(SF_Data!F:F,MATCH(PBH_RR!D83,SF_Data!B:B,0))="Greater(FH/FC)",IF(INDEX(SF_Data!M:M,MATCH(PBH_RR!D83,SF_Data!B:B,0))="FH",INDEX(SF_Data!S:S,MATCH(PBH_RR!D83,SF_Data!B:B,0)),""),IF(PBH_RR!E83="Both(FH+FC)",IF(PBH_RR!L83="FH",PBH_RR!I83,""),INDEX(SF_Data!S:S,MATCH(PBH_RR!D83,SF_Data!B:B,0))))))</f>
        <v/>
      </c>
      <c r="G83" t="str">
        <f>IF(PBH_RR!A83="","",IF(OR(PBH_RR!E83="FH Matrix",PBH_RR!E83="FC Matrix"),PBH_RR!J83,IF(INDEX(SF_Data!F:F,MATCH(PBH_RR!D83,SF_Data!B:B,0))="Greater(FH/FC)",IF(INDEX(SF_Data!M:M,MATCH(PBH_RR!D83,SF_Data!B:B,0))="FC",INDEX(SF_Data!T:T,MATCH(PBH_RR!D83,SF_Data!B:B,0)),""),IF(PBH_RR!E83="Both(FH+FC)",IF(PBH_RR!L83="FC",PBH_RR!J83,""),INDEX(SF_Data!T:T,MATCH(PBH_RR!D83,SF_Data!B:B,0))))))</f>
        <v/>
      </c>
      <c r="H83" t="str">
        <f>IF(PBH_RR!A83="","",IF(PBH_RR!E83="Both(FH+FC)",PBH_RR!P83,IF(OR(PBH_RR!E83="FH Matrix",PBH_RR!E83="FC Matrix"),INDEX(PBH_Lines!O:O,MATCH(PBH_RR!A83,PBH_Lines!M:M,0)),INDEX(SF_Data!U:U,MATCH(PBH_RR!D83,SF_Data!B:B,0)))))</f>
        <v/>
      </c>
      <c r="J83" t="str">
        <f t="shared" si="9"/>
        <v/>
      </c>
      <c r="K83" t="str">
        <f t="shared" si="10"/>
        <v/>
      </c>
      <c r="L83" t="str">
        <f t="shared" si="11"/>
        <v/>
      </c>
      <c r="M83" t="str">
        <f t="shared" si="12"/>
        <v/>
      </c>
      <c r="N83" t="str">
        <f t="shared" si="13"/>
        <v/>
      </c>
      <c r="O83" t="str">
        <f t="shared" si="14"/>
        <v/>
      </c>
      <c r="P83" t="str">
        <f t="shared" si="15"/>
        <v/>
      </c>
      <c r="Q83" t="str">
        <f t="shared" si="16"/>
        <v/>
      </c>
    </row>
    <row r="84" spans="1:17" x14ac:dyDescent="0.35">
      <c r="A84" t="str">
        <f>IF(PBH_RR!A84="","",IF(OR(PBH_RR!E84="FH Matrix", PBH_RR!E84="FC Matrix"),PBH_RR!C84,INDEX(SF_Data!D:D, MATCH(PBH_RR!D84, SF_Data!B:B, 0))))</f>
        <v/>
      </c>
      <c r="B84" t="str">
        <f>IF(PBH_RR!A84="","",IF(OR(PBH_RR!E84="FH Matrix",PBH_RR!E84="FC Matrix"),PBH_RR!G84,IF(INDEX(SF_Data!F:F,MATCH(PBH_RR!D84,SF_Data!B:B,0))="Greater(FH/FC)",IF(INDEX(SF_Data!M:M,MATCH(PBH_RR!D84,SF_Data!B:B,0))="FH",INDEX(SF_Data!Q:Q,MATCH(PBH_RR!D84,SF_Data!B:B,0)),""),IF(PBH_RR!E84="Both(FH+FC)",IF(PBH_RR!L84="FH",PBH_RR!G84,""),INDEX(SF_Data!Q:Q,MATCH(PBH_RR!D84,SF_Data!B:B,0))))))</f>
        <v/>
      </c>
      <c r="C84" t="str">
        <f>IF(PBH_RR!A84="","",IF(OR(PBH_RR!E84="FH Matrix",PBH_RR!E84="FC Matrix"),PBH_RR!H84,IF(INDEX(SF_Data!F:F,MATCH(PBH_RR!D84,SF_Data!B:B,0))="Greater(FH/FC)",IF(INDEX(SF_Data!M:M,MATCH(PBH_RR!D84,SF_Data!B:B,0))="FC",INDEX(SF_Data!R:R,MATCH(PBH_RR!D84,SF_Data!B:B,0)),""),IF(PBH_RR!E84="Both(FH+FC)",IF(PBH_RR!L84="FC",PBH_RR!H84,""),INDEX(SF_Data!R:R,MATCH(PBH_RR!D84,SF_Data!B:B,0))))))</f>
        <v/>
      </c>
      <c r="D84" t="str">
        <f>IF(PBH_RR!A84="","",IF(OR(PBH_RR!E84="Hourly",PBH_RR!E84="Cycle"),IF(INDEX(SF_Data!M:M,MATCH(PBH_RR!D84,SF_Data!B:B,0))="FH",INDEX(SF_Data!G:G,MATCH(PBH_RR!D84,SF_Data!B:B,0)),""),IF(PBH_RR!E84="Both(FH+FC)",IF(PBH_RR!L84="FH",PBH_RR!M84-PBH_RR!G84,""),IF(PBH_RR!E84="Greater(FH/FC)",IF(INDEX(SF_Data!M:M,MATCH(PBH_RR!D84,SF_Data!B:B,0))="FH",INDEX(SF_Data!G:G,MATCH(PBH_RR!D84,SF_Data!B:B,0))-INDEX(SF_Data!Q:Q,MATCH(PBH_RR!D84,SF_Data!B:B,0)),""),IF(INDEX(SF_Data!M:M,MATCH(PBH_RR!D84,SF_Data!B:B,0))="FH",INDEX(PBH_Lines!K:K,MATCH(PBH_RR!A84,PBH_Lines!M:M,0)),"")))))</f>
        <v/>
      </c>
      <c r="E84" t="str">
        <f>IF(PBH_RR!A84="","",IF(OR(PBH_RR!E84="Hourly",PBH_RR!E84="Cycle"),IF(INDEX(SF_Data!M:M,MATCH(PBH_RR!D84,SF_Data!B:B,0))="FC",INDEX(SF_Data!G:G,MATCH(PBH_RR!D84,SF_Data!B:B,0)),""),IF(PBH_RR!E84="Both(FH+FC)",IF(PBH_RR!L84="FC",PBH_RR!M84-PBH_RR!H84,""),IF(PBH_RR!E84="Greater(FH/FC)",IF(INDEX(SF_Data!M:M,MATCH(PBH_RR!D84,SF_Data!B:B,0))="FC",INDEX(SF_Data!G:G,MATCH(PBH_RR!D84,SF_Data!B:B,0))-INDEX(SF_Data!R:R,MATCH(PBH_RR!D84,SF_Data!B:B,0)),""),IF(INDEX(SF_Data!M:M,MATCH(PBH_RR!D84,SF_Data!B:B,0))="FC",INDEX(PBH_Lines!K:K,MATCH(PBH_RR!A84,PBH_Lines!M:M,0)),"")))))</f>
        <v/>
      </c>
      <c r="F84" t="str">
        <f>IF(PBH_RR!A84="","",IF(OR(PBH_RR!E84="FH Matrix",PBH_RR!E84="FC Matrix"),PBH_RR!I84,IF(INDEX(SF_Data!F:F,MATCH(PBH_RR!D84,SF_Data!B:B,0))="Greater(FH/FC)",IF(INDEX(SF_Data!M:M,MATCH(PBH_RR!D84,SF_Data!B:B,0))="FH",INDEX(SF_Data!S:S,MATCH(PBH_RR!D84,SF_Data!B:B,0)),""),IF(PBH_RR!E84="Both(FH+FC)",IF(PBH_RR!L84="FH",PBH_RR!I84,""),INDEX(SF_Data!S:S,MATCH(PBH_RR!D84,SF_Data!B:B,0))))))</f>
        <v/>
      </c>
      <c r="G84" t="str">
        <f>IF(PBH_RR!A84="","",IF(OR(PBH_RR!E84="FH Matrix",PBH_RR!E84="FC Matrix"),PBH_RR!J84,IF(INDEX(SF_Data!F:F,MATCH(PBH_RR!D84,SF_Data!B:B,0))="Greater(FH/FC)",IF(INDEX(SF_Data!M:M,MATCH(PBH_RR!D84,SF_Data!B:B,0))="FC",INDEX(SF_Data!T:T,MATCH(PBH_RR!D84,SF_Data!B:B,0)),""),IF(PBH_RR!E84="Both(FH+FC)",IF(PBH_RR!L84="FC",PBH_RR!J84,""),INDEX(SF_Data!T:T,MATCH(PBH_RR!D84,SF_Data!B:B,0))))))</f>
        <v/>
      </c>
      <c r="H84" t="str">
        <f>IF(PBH_RR!A84="","",IF(PBH_RR!E84="Both(FH+FC)",PBH_RR!P84,IF(OR(PBH_RR!E84="FH Matrix",PBH_RR!E84="FC Matrix"),INDEX(PBH_Lines!O:O,MATCH(PBH_RR!A84,PBH_Lines!M:M,0)),INDEX(SF_Data!U:U,MATCH(PBH_RR!D84,SF_Data!B:B,0)))))</f>
        <v/>
      </c>
      <c r="J84" t="str">
        <f t="shared" si="9"/>
        <v/>
      </c>
      <c r="K84" t="str">
        <f t="shared" si="10"/>
        <v/>
      </c>
      <c r="L84" t="str">
        <f t="shared" si="11"/>
        <v/>
      </c>
      <c r="M84" t="str">
        <f t="shared" si="12"/>
        <v/>
      </c>
      <c r="N84" t="str">
        <f t="shared" si="13"/>
        <v/>
      </c>
      <c r="O84" t="str">
        <f t="shared" si="14"/>
        <v/>
      </c>
      <c r="P84" t="str">
        <f t="shared" si="15"/>
        <v/>
      </c>
      <c r="Q84" t="str">
        <f t="shared" si="16"/>
        <v/>
      </c>
    </row>
    <row r="85" spans="1:17" x14ac:dyDescent="0.35">
      <c r="A85" t="str">
        <f>IF(PBH_RR!A85="","",IF(OR(PBH_RR!E85="FH Matrix", PBH_RR!E85="FC Matrix"),PBH_RR!C85,INDEX(SF_Data!D:D, MATCH(PBH_RR!D85, SF_Data!B:B, 0))))</f>
        <v/>
      </c>
      <c r="B85" t="str">
        <f>IF(PBH_RR!A85="","",IF(OR(PBH_RR!E85="FH Matrix",PBH_RR!E85="FC Matrix"),PBH_RR!G85,IF(INDEX(SF_Data!F:F,MATCH(PBH_RR!D85,SF_Data!B:B,0))="Greater(FH/FC)",IF(INDEX(SF_Data!M:M,MATCH(PBH_RR!D85,SF_Data!B:B,0))="FH",INDEX(SF_Data!Q:Q,MATCH(PBH_RR!D85,SF_Data!B:B,0)),""),IF(PBH_RR!E85="Both(FH+FC)",IF(PBH_RR!L85="FH",PBH_RR!G85,""),INDEX(SF_Data!Q:Q,MATCH(PBH_RR!D85,SF_Data!B:B,0))))))</f>
        <v/>
      </c>
      <c r="C85" t="str">
        <f>IF(PBH_RR!A85="","",IF(OR(PBH_RR!E85="FH Matrix",PBH_RR!E85="FC Matrix"),PBH_RR!H85,IF(INDEX(SF_Data!F:F,MATCH(PBH_RR!D85,SF_Data!B:B,0))="Greater(FH/FC)",IF(INDEX(SF_Data!M:M,MATCH(PBH_RR!D85,SF_Data!B:B,0))="FC",INDEX(SF_Data!R:R,MATCH(PBH_RR!D85,SF_Data!B:B,0)),""),IF(PBH_RR!E85="Both(FH+FC)",IF(PBH_RR!L85="FC",PBH_RR!H85,""),INDEX(SF_Data!R:R,MATCH(PBH_RR!D85,SF_Data!B:B,0))))))</f>
        <v/>
      </c>
      <c r="D85" t="str">
        <f>IF(PBH_RR!A85="","",IF(OR(PBH_RR!E85="Hourly",PBH_RR!E85="Cycle"),IF(INDEX(SF_Data!M:M,MATCH(PBH_RR!D85,SF_Data!B:B,0))="FH",INDEX(SF_Data!G:G,MATCH(PBH_RR!D85,SF_Data!B:B,0)),""),IF(PBH_RR!E85="Both(FH+FC)",IF(PBH_RR!L85="FH",PBH_RR!M85-PBH_RR!G85,""),IF(PBH_RR!E85="Greater(FH/FC)",IF(INDEX(SF_Data!M:M,MATCH(PBH_RR!D85,SF_Data!B:B,0))="FH",INDEX(SF_Data!G:G,MATCH(PBH_RR!D85,SF_Data!B:B,0))-INDEX(SF_Data!Q:Q,MATCH(PBH_RR!D85,SF_Data!B:B,0)),""),IF(INDEX(SF_Data!M:M,MATCH(PBH_RR!D85,SF_Data!B:B,0))="FH",INDEX(PBH_Lines!K:K,MATCH(PBH_RR!A85,PBH_Lines!M:M,0)),"")))))</f>
        <v/>
      </c>
      <c r="E85" t="str">
        <f>IF(PBH_RR!A85="","",IF(OR(PBH_RR!E85="Hourly",PBH_RR!E85="Cycle"),IF(INDEX(SF_Data!M:M,MATCH(PBH_RR!D85,SF_Data!B:B,0))="FC",INDEX(SF_Data!G:G,MATCH(PBH_RR!D85,SF_Data!B:B,0)),""),IF(PBH_RR!E85="Both(FH+FC)",IF(PBH_RR!L85="FC",PBH_RR!M85-PBH_RR!H85,""),IF(PBH_RR!E85="Greater(FH/FC)",IF(INDEX(SF_Data!M:M,MATCH(PBH_RR!D85,SF_Data!B:B,0))="FC",INDEX(SF_Data!G:G,MATCH(PBH_RR!D85,SF_Data!B:B,0))-INDEX(SF_Data!R:R,MATCH(PBH_RR!D85,SF_Data!B:B,0)),""),IF(INDEX(SF_Data!M:M,MATCH(PBH_RR!D85,SF_Data!B:B,0))="FC",INDEX(PBH_Lines!K:K,MATCH(PBH_RR!A85,PBH_Lines!M:M,0)),"")))))</f>
        <v/>
      </c>
      <c r="F85" t="str">
        <f>IF(PBH_RR!A85="","",IF(OR(PBH_RR!E85="FH Matrix",PBH_RR!E85="FC Matrix"),PBH_RR!I85,IF(INDEX(SF_Data!F:F,MATCH(PBH_RR!D85,SF_Data!B:B,0))="Greater(FH/FC)",IF(INDEX(SF_Data!M:M,MATCH(PBH_RR!D85,SF_Data!B:B,0))="FH",INDEX(SF_Data!S:S,MATCH(PBH_RR!D85,SF_Data!B:B,0)),""),IF(PBH_RR!E85="Both(FH+FC)",IF(PBH_RR!L85="FH",PBH_RR!I85,""),INDEX(SF_Data!S:S,MATCH(PBH_RR!D85,SF_Data!B:B,0))))))</f>
        <v/>
      </c>
      <c r="G85" t="str">
        <f>IF(PBH_RR!A85="","",IF(OR(PBH_RR!E85="FH Matrix",PBH_RR!E85="FC Matrix"),PBH_RR!J85,IF(INDEX(SF_Data!F:F,MATCH(PBH_RR!D85,SF_Data!B:B,0))="Greater(FH/FC)",IF(INDEX(SF_Data!M:M,MATCH(PBH_RR!D85,SF_Data!B:B,0))="FC",INDEX(SF_Data!T:T,MATCH(PBH_RR!D85,SF_Data!B:B,0)),""),IF(PBH_RR!E85="Both(FH+FC)",IF(PBH_RR!L85="FC",PBH_RR!J85,""),INDEX(SF_Data!T:T,MATCH(PBH_RR!D85,SF_Data!B:B,0))))))</f>
        <v/>
      </c>
      <c r="H85" t="str">
        <f>IF(PBH_RR!A85="","",IF(PBH_RR!E85="Both(FH+FC)",PBH_RR!P85,IF(OR(PBH_RR!E85="FH Matrix",PBH_RR!E85="FC Matrix"),INDEX(PBH_Lines!O:O,MATCH(PBH_RR!A85,PBH_Lines!M:M,0)),INDEX(SF_Data!U:U,MATCH(PBH_RR!D85,SF_Data!B:B,0)))))</f>
        <v/>
      </c>
      <c r="J85" t="str">
        <f t="shared" si="9"/>
        <v/>
      </c>
      <c r="K85" t="str">
        <f t="shared" si="10"/>
        <v/>
      </c>
      <c r="L85" t="str">
        <f t="shared" si="11"/>
        <v/>
      </c>
      <c r="M85" t="str">
        <f t="shared" si="12"/>
        <v/>
      </c>
      <c r="N85" t="str">
        <f t="shared" si="13"/>
        <v/>
      </c>
      <c r="O85" t="str">
        <f t="shared" si="14"/>
        <v/>
      </c>
      <c r="P85" t="str">
        <f t="shared" si="15"/>
        <v/>
      </c>
      <c r="Q85" t="str">
        <f t="shared" si="16"/>
        <v/>
      </c>
    </row>
    <row r="86" spans="1:17" x14ac:dyDescent="0.35">
      <c r="A86" t="str">
        <f>IF(PBH_RR!A86="","",IF(OR(PBH_RR!E86="FH Matrix", PBH_RR!E86="FC Matrix"),PBH_RR!C86,INDEX(SF_Data!D:D, MATCH(PBH_RR!D86, SF_Data!B:B, 0))))</f>
        <v/>
      </c>
      <c r="B86" t="str">
        <f>IF(PBH_RR!A86="","",IF(OR(PBH_RR!E86="FH Matrix",PBH_RR!E86="FC Matrix"),PBH_RR!G86,IF(INDEX(SF_Data!F:F,MATCH(PBH_RR!D86,SF_Data!B:B,0))="Greater(FH/FC)",IF(INDEX(SF_Data!M:M,MATCH(PBH_RR!D86,SF_Data!B:B,0))="FH",INDEX(SF_Data!Q:Q,MATCH(PBH_RR!D86,SF_Data!B:B,0)),""),IF(PBH_RR!E86="Both(FH+FC)",IF(PBH_RR!L86="FH",PBH_RR!G86,""),INDEX(SF_Data!Q:Q,MATCH(PBH_RR!D86,SF_Data!B:B,0))))))</f>
        <v/>
      </c>
      <c r="C86" t="str">
        <f>IF(PBH_RR!A86="","",IF(OR(PBH_RR!E86="FH Matrix",PBH_RR!E86="FC Matrix"),PBH_RR!H86,IF(INDEX(SF_Data!F:F,MATCH(PBH_RR!D86,SF_Data!B:B,0))="Greater(FH/FC)",IF(INDEX(SF_Data!M:M,MATCH(PBH_RR!D86,SF_Data!B:B,0))="FC",INDEX(SF_Data!R:R,MATCH(PBH_RR!D86,SF_Data!B:B,0)),""),IF(PBH_RR!E86="Both(FH+FC)",IF(PBH_RR!L86="FC",PBH_RR!H86,""),INDEX(SF_Data!R:R,MATCH(PBH_RR!D86,SF_Data!B:B,0))))))</f>
        <v/>
      </c>
      <c r="D86" t="str">
        <f>IF(PBH_RR!A86="","",IF(OR(PBH_RR!E86="Hourly",PBH_RR!E86="Cycle"),IF(INDEX(SF_Data!M:M,MATCH(PBH_RR!D86,SF_Data!B:B,0))="FH",INDEX(SF_Data!G:G,MATCH(PBH_RR!D86,SF_Data!B:B,0)),""),IF(PBH_RR!E86="Both(FH+FC)",IF(PBH_RR!L86="FH",PBH_RR!M86-PBH_RR!G86,""),IF(PBH_RR!E86="Greater(FH/FC)",IF(INDEX(SF_Data!M:M,MATCH(PBH_RR!D86,SF_Data!B:B,0))="FH",INDEX(SF_Data!G:G,MATCH(PBH_RR!D86,SF_Data!B:B,0))-INDEX(SF_Data!Q:Q,MATCH(PBH_RR!D86,SF_Data!B:B,0)),""),IF(INDEX(SF_Data!M:M,MATCH(PBH_RR!D86,SF_Data!B:B,0))="FH",INDEX(PBH_Lines!K:K,MATCH(PBH_RR!A86,PBH_Lines!M:M,0)),"")))))</f>
        <v/>
      </c>
      <c r="E86" t="str">
        <f>IF(PBH_RR!A86="","",IF(OR(PBH_RR!E86="Hourly",PBH_RR!E86="Cycle"),IF(INDEX(SF_Data!M:M,MATCH(PBH_RR!D86,SF_Data!B:B,0))="FC",INDEX(SF_Data!G:G,MATCH(PBH_RR!D86,SF_Data!B:B,0)),""),IF(PBH_RR!E86="Both(FH+FC)",IF(PBH_RR!L86="FC",PBH_RR!M86-PBH_RR!H86,""),IF(PBH_RR!E86="Greater(FH/FC)",IF(INDEX(SF_Data!M:M,MATCH(PBH_RR!D86,SF_Data!B:B,0))="FC",INDEX(SF_Data!G:G,MATCH(PBH_RR!D86,SF_Data!B:B,0))-INDEX(SF_Data!R:R,MATCH(PBH_RR!D86,SF_Data!B:B,0)),""),IF(INDEX(SF_Data!M:M,MATCH(PBH_RR!D86,SF_Data!B:B,0))="FC",INDEX(PBH_Lines!K:K,MATCH(PBH_RR!A86,PBH_Lines!M:M,0)),"")))))</f>
        <v/>
      </c>
      <c r="F86" t="str">
        <f>IF(PBH_RR!A86="","",IF(OR(PBH_RR!E86="FH Matrix",PBH_RR!E86="FC Matrix"),PBH_RR!I86,IF(INDEX(SF_Data!F:F,MATCH(PBH_RR!D86,SF_Data!B:B,0))="Greater(FH/FC)",IF(INDEX(SF_Data!M:M,MATCH(PBH_RR!D86,SF_Data!B:B,0))="FH",INDEX(SF_Data!S:S,MATCH(PBH_RR!D86,SF_Data!B:B,0)),""),IF(PBH_RR!E86="Both(FH+FC)",IF(PBH_RR!L86="FH",PBH_RR!I86,""),INDEX(SF_Data!S:S,MATCH(PBH_RR!D86,SF_Data!B:B,0))))))</f>
        <v/>
      </c>
      <c r="G86" t="str">
        <f>IF(PBH_RR!A86="","",IF(OR(PBH_RR!E86="FH Matrix",PBH_RR!E86="FC Matrix"),PBH_RR!J86,IF(INDEX(SF_Data!F:F,MATCH(PBH_RR!D86,SF_Data!B:B,0))="Greater(FH/FC)",IF(INDEX(SF_Data!M:M,MATCH(PBH_RR!D86,SF_Data!B:B,0))="FC",INDEX(SF_Data!T:T,MATCH(PBH_RR!D86,SF_Data!B:B,0)),""),IF(PBH_RR!E86="Both(FH+FC)",IF(PBH_RR!L86="FC",PBH_RR!J86,""),INDEX(SF_Data!T:T,MATCH(PBH_RR!D86,SF_Data!B:B,0))))))</f>
        <v/>
      </c>
      <c r="H86" t="str">
        <f>IF(PBH_RR!A86="","",IF(PBH_RR!E86="Both(FH+FC)",PBH_RR!P86,IF(OR(PBH_RR!E86="FH Matrix",PBH_RR!E86="FC Matrix"),INDEX(PBH_Lines!O:O,MATCH(PBH_RR!A86,PBH_Lines!M:M,0)),INDEX(SF_Data!U:U,MATCH(PBH_RR!D86,SF_Data!B:B,0)))))</f>
        <v/>
      </c>
      <c r="J86" t="str">
        <f t="shared" si="9"/>
        <v/>
      </c>
      <c r="K86" t="str">
        <f t="shared" si="10"/>
        <v/>
      </c>
      <c r="L86" t="str">
        <f t="shared" si="11"/>
        <v/>
      </c>
      <c r="M86" t="str">
        <f t="shared" si="12"/>
        <v/>
      </c>
      <c r="N86" t="str">
        <f t="shared" si="13"/>
        <v/>
      </c>
      <c r="O86" t="str">
        <f t="shared" si="14"/>
        <v/>
      </c>
      <c r="P86" t="str">
        <f t="shared" si="15"/>
        <v/>
      </c>
      <c r="Q86" t="str">
        <f t="shared" si="16"/>
        <v/>
      </c>
    </row>
    <row r="87" spans="1:17" x14ac:dyDescent="0.35">
      <c r="A87" t="str">
        <f>IF(PBH_RR!A87="","",IF(OR(PBH_RR!E87="FH Matrix", PBH_RR!E87="FC Matrix"),PBH_RR!C87,INDEX(SF_Data!D:D, MATCH(PBH_RR!D87, SF_Data!B:B, 0))))</f>
        <v/>
      </c>
      <c r="B87" t="str">
        <f>IF(PBH_RR!A87="","",IF(OR(PBH_RR!E87="FH Matrix",PBH_RR!E87="FC Matrix"),PBH_RR!G87,IF(INDEX(SF_Data!F:F,MATCH(PBH_RR!D87,SF_Data!B:B,0))="Greater(FH/FC)",IF(INDEX(SF_Data!M:M,MATCH(PBH_RR!D87,SF_Data!B:B,0))="FH",INDEX(SF_Data!Q:Q,MATCH(PBH_RR!D87,SF_Data!B:B,0)),""),IF(PBH_RR!E87="Both(FH+FC)",IF(PBH_RR!L87="FH",PBH_RR!G87,""),INDEX(SF_Data!Q:Q,MATCH(PBH_RR!D87,SF_Data!B:B,0))))))</f>
        <v/>
      </c>
      <c r="C87" t="str">
        <f>IF(PBH_RR!A87="","",IF(OR(PBH_RR!E87="FH Matrix",PBH_RR!E87="FC Matrix"),PBH_RR!H87,IF(INDEX(SF_Data!F:F,MATCH(PBH_RR!D87,SF_Data!B:B,0))="Greater(FH/FC)",IF(INDEX(SF_Data!M:M,MATCH(PBH_RR!D87,SF_Data!B:B,0))="FC",INDEX(SF_Data!R:R,MATCH(PBH_RR!D87,SF_Data!B:B,0)),""),IF(PBH_RR!E87="Both(FH+FC)",IF(PBH_RR!L87="FC",PBH_RR!H87,""),INDEX(SF_Data!R:R,MATCH(PBH_RR!D87,SF_Data!B:B,0))))))</f>
        <v/>
      </c>
      <c r="D87" t="str">
        <f>IF(PBH_RR!A87="","",IF(OR(PBH_RR!E87="Hourly",PBH_RR!E87="Cycle"),IF(INDEX(SF_Data!M:M,MATCH(PBH_RR!D87,SF_Data!B:B,0))="FH",INDEX(SF_Data!G:G,MATCH(PBH_RR!D87,SF_Data!B:B,0)),""),IF(PBH_RR!E87="Both(FH+FC)",IF(PBH_RR!L87="FH",PBH_RR!M87-PBH_RR!G87,""),IF(PBH_RR!E87="Greater(FH/FC)",IF(INDEX(SF_Data!M:M,MATCH(PBH_RR!D87,SF_Data!B:B,0))="FH",INDEX(SF_Data!G:G,MATCH(PBH_RR!D87,SF_Data!B:B,0))-INDEX(SF_Data!Q:Q,MATCH(PBH_RR!D87,SF_Data!B:B,0)),""),IF(INDEX(SF_Data!M:M,MATCH(PBH_RR!D87,SF_Data!B:B,0))="FH",INDEX(PBH_Lines!K:K,MATCH(PBH_RR!A87,PBH_Lines!M:M,0)),"")))))</f>
        <v/>
      </c>
      <c r="E87" t="str">
        <f>IF(PBH_RR!A87="","",IF(OR(PBH_RR!E87="Hourly",PBH_RR!E87="Cycle"),IF(INDEX(SF_Data!M:M,MATCH(PBH_RR!D87,SF_Data!B:B,0))="FC",INDEX(SF_Data!G:G,MATCH(PBH_RR!D87,SF_Data!B:B,0)),""),IF(PBH_RR!E87="Both(FH+FC)",IF(PBH_RR!L87="FC",PBH_RR!M87-PBH_RR!H87,""),IF(PBH_RR!E87="Greater(FH/FC)",IF(INDEX(SF_Data!M:M,MATCH(PBH_RR!D87,SF_Data!B:B,0))="FC",INDEX(SF_Data!G:G,MATCH(PBH_RR!D87,SF_Data!B:B,0))-INDEX(SF_Data!R:R,MATCH(PBH_RR!D87,SF_Data!B:B,0)),""),IF(INDEX(SF_Data!M:M,MATCH(PBH_RR!D87,SF_Data!B:B,0))="FC",INDEX(PBH_Lines!K:K,MATCH(PBH_RR!A87,PBH_Lines!M:M,0)),"")))))</f>
        <v/>
      </c>
      <c r="F87" t="str">
        <f>IF(PBH_RR!A87="","",IF(OR(PBH_RR!E87="FH Matrix",PBH_RR!E87="FC Matrix"),PBH_RR!I87,IF(INDEX(SF_Data!F:F,MATCH(PBH_RR!D87,SF_Data!B:B,0))="Greater(FH/FC)",IF(INDEX(SF_Data!M:M,MATCH(PBH_RR!D87,SF_Data!B:B,0))="FH",INDEX(SF_Data!S:S,MATCH(PBH_RR!D87,SF_Data!B:B,0)),""),IF(PBH_RR!E87="Both(FH+FC)",IF(PBH_RR!L87="FH",PBH_RR!I87,""),INDEX(SF_Data!S:S,MATCH(PBH_RR!D87,SF_Data!B:B,0))))))</f>
        <v/>
      </c>
      <c r="G87" t="str">
        <f>IF(PBH_RR!A87="","",IF(OR(PBH_RR!E87="FH Matrix",PBH_RR!E87="FC Matrix"),PBH_RR!J87,IF(INDEX(SF_Data!F:F,MATCH(PBH_RR!D87,SF_Data!B:B,0))="Greater(FH/FC)",IF(INDEX(SF_Data!M:M,MATCH(PBH_RR!D87,SF_Data!B:B,0))="FC",INDEX(SF_Data!T:T,MATCH(PBH_RR!D87,SF_Data!B:B,0)),""),IF(PBH_RR!E87="Both(FH+FC)",IF(PBH_RR!L87="FC",PBH_RR!J87,""),INDEX(SF_Data!T:T,MATCH(PBH_RR!D87,SF_Data!B:B,0))))))</f>
        <v/>
      </c>
      <c r="H87" t="str">
        <f>IF(PBH_RR!A87="","",IF(PBH_RR!E87="Both(FH+FC)",PBH_RR!P87,IF(OR(PBH_RR!E87="FH Matrix",PBH_RR!E87="FC Matrix"),INDEX(PBH_Lines!O:O,MATCH(PBH_RR!A87,PBH_Lines!M:M,0)),INDEX(SF_Data!U:U,MATCH(PBH_RR!D87,SF_Data!B:B,0)))))</f>
        <v/>
      </c>
      <c r="J87" t="str">
        <f t="shared" si="9"/>
        <v/>
      </c>
      <c r="K87" t="str">
        <f t="shared" si="10"/>
        <v/>
      </c>
      <c r="L87" t="str">
        <f t="shared" si="11"/>
        <v/>
      </c>
      <c r="M87" t="str">
        <f t="shared" si="12"/>
        <v/>
      </c>
      <c r="N87" t="str">
        <f t="shared" si="13"/>
        <v/>
      </c>
      <c r="O87" t="str">
        <f t="shared" si="14"/>
        <v/>
      </c>
      <c r="P87" t="str">
        <f t="shared" si="15"/>
        <v/>
      </c>
      <c r="Q87" t="str">
        <f t="shared" si="16"/>
        <v/>
      </c>
    </row>
    <row r="88" spans="1:17" x14ac:dyDescent="0.35">
      <c r="A88" t="str">
        <f>IF(PBH_RR!A88="","",IF(OR(PBH_RR!E88="FH Matrix", PBH_RR!E88="FC Matrix"),PBH_RR!C88,INDEX(SF_Data!D:D, MATCH(PBH_RR!D88, SF_Data!B:B, 0))))</f>
        <v/>
      </c>
      <c r="B88" t="str">
        <f>IF(PBH_RR!A88="","",IF(OR(PBH_RR!E88="FH Matrix",PBH_RR!E88="FC Matrix"),PBH_RR!G88,IF(INDEX(SF_Data!F:F,MATCH(PBH_RR!D88,SF_Data!B:B,0))="Greater(FH/FC)",IF(INDEX(SF_Data!M:M,MATCH(PBH_RR!D88,SF_Data!B:B,0))="FH",INDEX(SF_Data!Q:Q,MATCH(PBH_RR!D88,SF_Data!B:B,0)),""),IF(PBH_RR!E88="Both(FH+FC)",IF(PBH_RR!L88="FH",PBH_RR!G88,""),INDEX(SF_Data!Q:Q,MATCH(PBH_RR!D88,SF_Data!B:B,0))))))</f>
        <v/>
      </c>
      <c r="C88" t="str">
        <f>IF(PBH_RR!A88="","",IF(OR(PBH_RR!E88="FH Matrix",PBH_RR!E88="FC Matrix"),PBH_RR!H88,IF(INDEX(SF_Data!F:F,MATCH(PBH_RR!D88,SF_Data!B:B,0))="Greater(FH/FC)",IF(INDEX(SF_Data!M:M,MATCH(PBH_RR!D88,SF_Data!B:B,0))="FC",INDEX(SF_Data!R:R,MATCH(PBH_RR!D88,SF_Data!B:B,0)),""),IF(PBH_RR!E88="Both(FH+FC)",IF(PBH_RR!L88="FC",PBH_RR!H88,""),INDEX(SF_Data!R:R,MATCH(PBH_RR!D88,SF_Data!B:B,0))))))</f>
        <v/>
      </c>
      <c r="D88" t="str">
        <f>IF(PBH_RR!A88="","",IF(OR(PBH_RR!E88="Hourly",PBH_RR!E88="Cycle"),IF(INDEX(SF_Data!M:M,MATCH(PBH_RR!D88,SF_Data!B:B,0))="FH",INDEX(SF_Data!G:G,MATCH(PBH_RR!D88,SF_Data!B:B,0)),""),IF(PBH_RR!E88="Both(FH+FC)",IF(PBH_RR!L88="FH",PBH_RR!M88-PBH_RR!G88,""),IF(PBH_RR!E88="Greater(FH/FC)",IF(INDEX(SF_Data!M:M,MATCH(PBH_RR!D88,SF_Data!B:B,0))="FH",INDEX(SF_Data!G:G,MATCH(PBH_RR!D88,SF_Data!B:B,0))-INDEX(SF_Data!Q:Q,MATCH(PBH_RR!D88,SF_Data!B:B,0)),""),IF(INDEX(SF_Data!M:M,MATCH(PBH_RR!D88,SF_Data!B:B,0))="FH",INDEX(PBH_Lines!K:K,MATCH(PBH_RR!A88,PBH_Lines!M:M,0)),"")))))</f>
        <v/>
      </c>
      <c r="E88" t="str">
        <f>IF(PBH_RR!A88="","",IF(OR(PBH_RR!E88="Hourly",PBH_RR!E88="Cycle"),IF(INDEX(SF_Data!M:M,MATCH(PBH_RR!D88,SF_Data!B:B,0))="FC",INDEX(SF_Data!G:G,MATCH(PBH_RR!D88,SF_Data!B:B,0)),""),IF(PBH_RR!E88="Both(FH+FC)",IF(PBH_RR!L88="FC",PBH_RR!M88-PBH_RR!H88,""),IF(PBH_RR!E88="Greater(FH/FC)",IF(INDEX(SF_Data!M:M,MATCH(PBH_RR!D88,SF_Data!B:B,0))="FC",INDEX(SF_Data!G:G,MATCH(PBH_RR!D88,SF_Data!B:B,0))-INDEX(SF_Data!R:R,MATCH(PBH_RR!D88,SF_Data!B:B,0)),""),IF(INDEX(SF_Data!M:M,MATCH(PBH_RR!D88,SF_Data!B:B,0))="FC",INDEX(PBH_Lines!K:K,MATCH(PBH_RR!A88,PBH_Lines!M:M,0)),"")))))</f>
        <v/>
      </c>
      <c r="F88" t="str">
        <f>IF(PBH_RR!A88="","",IF(OR(PBH_RR!E88="FH Matrix",PBH_RR!E88="FC Matrix"),PBH_RR!I88,IF(INDEX(SF_Data!F:F,MATCH(PBH_RR!D88,SF_Data!B:B,0))="Greater(FH/FC)",IF(INDEX(SF_Data!M:M,MATCH(PBH_RR!D88,SF_Data!B:B,0))="FH",INDEX(SF_Data!S:S,MATCH(PBH_RR!D88,SF_Data!B:B,0)),""),IF(PBH_RR!E88="Both(FH+FC)",IF(PBH_RR!L88="FH",PBH_RR!I88,""),INDEX(SF_Data!S:S,MATCH(PBH_RR!D88,SF_Data!B:B,0))))))</f>
        <v/>
      </c>
      <c r="G88" t="str">
        <f>IF(PBH_RR!A88="","",IF(OR(PBH_RR!E88="FH Matrix",PBH_RR!E88="FC Matrix"),PBH_RR!J88,IF(INDEX(SF_Data!F:F,MATCH(PBH_RR!D88,SF_Data!B:B,0))="Greater(FH/FC)",IF(INDEX(SF_Data!M:M,MATCH(PBH_RR!D88,SF_Data!B:B,0))="FC",INDEX(SF_Data!T:T,MATCH(PBH_RR!D88,SF_Data!B:B,0)),""),IF(PBH_RR!E88="Both(FH+FC)",IF(PBH_RR!L88="FC",PBH_RR!J88,""),INDEX(SF_Data!T:T,MATCH(PBH_RR!D88,SF_Data!B:B,0))))))</f>
        <v/>
      </c>
      <c r="H88" t="str">
        <f>IF(PBH_RR!A88="","",IF(PBH_RR!E88="Both(FH+FC)",PBH_RR!P88,IF(OR(PBH_RR!E88="FH Matrix",PBH_RR!E88="FC Matrix"),INDEX(PBH_Lines!O:O,MATCH(PBH_RR!A88,PBH_Lines!M:M,0)),INDEX(SF_Data!U:U,MATCH(PBH_RR!D88,SF_Data!B:B,0)))))</f>
        <v/>
      </c>
      <c r="J88" t="str">
        <f t="shared" si="9"/>
        <v/>
      </c>
      <c r="K88" t="str">
        <f t="shared" si="10"/>
        <v/>
      </c>
      <c r="L88" t="str">
        <f t="shared" si="11"/>
        <v/>
      </c>
      <c r="M88" t="str">
        <f t="shared" si="12"/>
        <v/>
      </c>
      <c r="N88" t="str">
        <f t="shared" si="13"/>
        <v/>
      </c>
      <c r="O88" t="str">
        <f t="shared" si="14"/>
        <v/>
      </c>
      <c r="P88" t="str">
        <f t="shared" si="15"/>
        <v/>
      </c>
      <c r="Q88" t="str">
        <f t="shared" si="16"/>
        <v/>
      </c>
    </row>
    <row r="89" spans="1:17" x14ac:dyDescent="0.35">
      <c r="A89" t="str">
        <f>IF(PBH_RR!A89="","",IF(OR(PBH_RR!E89="FH Matrix", PBH_RR!E89="FC Matrix"),PBH_RR!C89,INDEX(SF_Data!D:D, MATCH(PBH_RR!D89, SF_Data!B:B, 0))))</f>
        <v/>
      </c>
      <c r="B89" t="str">
        <f>IF(PBH_RR!A89="","",IF(OR(PBH_RR!E89="FH Matrix",PBH_RR!E89="FC Matrix"),PBH_RR!G89,IF(INDEX(SF_Data!F:F,MATCH(PBH_RR!D89,SF_Data!B:B,0))="Greater(FH/FC)",IF(INDEX(SF_Data!M:M,MATCH(PBH_RR!D89,SF_Data!B:B,0))="FH",INDEX(SF_Data!Q:Q,MATCH(PBH_RR!D89,SF_Data!B:B,0)),""),IF(PBH_RR!E89="Both(FH+FC)",IF(PBH_RR!L89="FH",PBH_RR!G89,""),INDEX(SF_Data!Q:Q,MATCH(PBH_RR!D89,SF_Data!B:B,0))))))</f>
        <v/>
      </c>
      <c r="C89" t="str">
        <f>IF(PBH_RR!A89="","",IF(OR(PBH_RR!E89="FH Matrix",PBH_RR!E89="FC Matrix"),PBH_RR!H89,IF(INDEX(SF_Data!F:F,MATCH(PBH_RR!D89,SF_Data!B:B,0))="Greater(FH/FC)",IF(INDEX(SF_Data!M:M,MATCH(PBH_RR!D89,SF_Data!B:B,0))="FC",INDEX(SF_Data!R:R,MATCH(PBH_RR!D89,SF_Data!B:B,0)),""),IF(PBH_RR!E89="Both(FH+FC)",IF(PBH_RR!L89="FC",PBH_RR!H89,""),INDEX(SF_Data!R:R,MATCH(PBH_RR!D89,SF_Data!B:B,0))))))</f>
        <v/>
      </c>
      <c r="D89" t="str">
        <f>IF(PBH_RR!A89="","",IF(OR(PBH_RR!E89="Hourly",PBH_RR!E89="Cycle"),IF(INDEX(SF_Data!M:M,MATCH(PBH_RR!D89,SF_Data!B:B,0))="FH",INDEX(SF_Data!G:G,MATCH(PBH_RR!D89,SF_Data!B:B,0)),""),IF(PBH_RR!E89="Both(FH+FC)",IF(PBH_RR!L89="FH",PBH_RR!M89-PBH_RR!G89,""),IF(PBH_RR!E89="Greater(FH/FC)",IF(INDEX(SF_Data!M:M,MATCH(PBH_RR!D89,SF_Data!B:B,0))="FH",INDEX(SF_Data!G:G,MATCH(PBH_RR!D89,SF_Data!B:B,0))-INDEX(SF_Data!Q:Q,MATCH(PBH_RR!D89,SF_Data!B:B,0)),""),IF(INDEX(SF_Data!M:M,MATCH(PBH_RR!D89,SF_Data!B:B,0))="FH",INDEX(PBH_Lines!K:K,MATCH(PBH_RR!A89,PBH_Lines!M:M,0)),"")))))</f>
        <v/>
      </c>
      <c r="E89" t="str">
        <f>IF(PBH_RR!A89="","",IF(OR(PBH_RR!E89="Hourly",PBH_RR!E89="Cycle"),IF(INDEX(SF_Data!M:M,MATCH(PBH_RR!D89,SF_Data!B:B,0))="FC",INDEX(SF_Data!G:G,MATCH(PBH_RR!D89,SF_Data!B:B,0)),""),IF(PBH_RR!E89="Both(FH+FC)",IF(PBH_RR!L89="FC",PBH_RR!M89-PBH_RR!H89,""),IF(PBH_RR!E89="Greater(FH/FC)",IF(INDEX(SF_Data!M:M,MATCH(PBH_RR!D89,SF_Data!B:B,0))="FC",INDEX(SF_Data!G:G,MATCH(PBH_RR!D89,SF_Data!B:B,0))-INDEX(SF_Data!R:R,MATCH(PBH_RR!D89,SF_Data!B:B,0)),""),IF(INDEX(SF_Data!M:M,MATCH(PBH_RR!D89,SF_Data!B:B,0))="FC",INDEX(PBH_Lines!K:K,MATCH(PBH_RR!A89,PBH_Lines!M:M,0)),"")))))</f>
        <v/>
      </c>
      <c r="F89" t="str">
        <f>IF(PBH_RR!A89="","",IF(OR(PBH_RR!E89="FH Matrix",PBH_RR!E89="FC Matrix"),PBH_RR!I89,IF(INDEX(SF_Data!F:F,MATCH(PBH_RR!D89,SF_Data!B:B,0))="Greater(FH/FC)",IF(INDEX(SF_Data!M:M,MATCH(PBH_RR!D89,SF_Data!B:B,0))="FH",INDEX(SF_Data!S:S,MATCH(PBH_RR!D89,SF_Data!B:B,0)),""),IF(PBH_RR!E89="Both(FH+FC)",IF(PBH_RR!L89="FH",PBH_RR!I89,""),INDEX(SF_Data!S:S,MATCH(PBH_RR!D89,SF_Data!B:B,0))))))</f>
        <v/>
      </c>
      <c r="G89" t="str">
        <f>IF(PBH_RR!A89="","",IF(OR(PBH_RR!E89="FH Matrix",PBH_RR!E89="FC Matrix"),PBH_RR!J89,IF(INDEX(SF_Data!F:F,MATCH(PBH_RR!D89,SF_Data!B:B,0))="Greater(FH/FC)",IF(INDEX(SF_Data!M:M,MATCH(PBH_RR!D89,SF_Data!B:B,0))="FC",INDEX(SF_Data!T:T,MATCH(PBH_RR!D89,SF_Data!B:B,0)),""),IF(PBH_RR!E89="Both(FH+FC)",IF(PBH_RR!L89="FC",PBH_RR!J89,""),INDEX(SF_Data!T:T,MATCH(PBH_RR!D89,SF_Data!B:B,0))))))</f>
        <v/>
      </c>
      <c r="H89" t="str">
        <f>IF(PBH_RR!A89="","",IF(PBH_RR!E89="Both(FH+FC)",PBH_RR!P89,IF(OR(PBH_RR!E89="FH Matrix",PBH_RR!E89="FC Matrix"),INDEX(PBH_Lines!O:O,MATCH(PBH_RR!A89,PBH_Lines!M:M,0)),INDEX(SF_Data!U:U,MATCH(PBH_RR!D89,SF_Data!B:B,0)))))</f>
        <v/>
      </c>
      <c r="J89" t="str">
        <f t="shared" si="9"/>
        <v/>
      </c>
      <c r="K89" t="str">
        <f t="shared" si="10"/>
        <v/>
      </c>
      <c r="L89" t="str">
        <f t="shared" si="11"/>
        <v/>
      </c>
      <c r="M89" t="str">
        <f t="shared" si="12"/>
        <v/>
      </c>
      <c r="N89" t="str">
        <f t="shared" si="13"/>
        <v/>
      </c>
      <c r="O89" t="str">
        <f t="shared" si="14"/>
        <v/>
      </c>
      <c r="P89" t="str">
        <f t="shared" si="15"/>
        <v/>
      </c>
      <c r="Q89" t="str">
        <f t="shared" si="16"/>
        <v/>
      </c>
    </row>
    <row r="90" spans="1:17" x14ac:dyDescent="0.35">
      <c r="A90" t="str">
        <f>IF(PBH_RR!A90="","",IF(OR(PBH_RR!E90="FH Matrix", PBH_RR!E90="FC Matrix"),PBH_RR!C90,INDEX(SF_Data!D:D, MATCH(PBH_RR!D90, SF_Data!B:B, 0))))</f>
        <v/>
      </c>
      <c r="B90" t="str">
        <f>IF(PBH_RR!A90="","",IF(OR(PBH_RR!E90="FH Matrix",PBH_RR!E90="FC Matrix"),PBH_RR!G90,IF(INDEX(SF_Data!F:F,MATCH(PBH_RR!D90,SF_Data!B:B,0))="Greater(FH/FC)",IF(INDEX(SF_Data!M:M,MATCH(PBH_RR!D90,SF_Data!B:B,0))="FH",INDEX(SF_Data!Q:Q,MATCH(PBH_RR!D90,SF_Data!B:B,0)),""),IF(PBH_RR!E90="Both(FH+FC)",IF(PBH_RR!L90="FH",PBH_RR!G90,""),INDEX(SF_Data!Q:Q,MATCH(PBH_RR!D90,SF_Data!B:B,0))))))</f>
        <v/>
      </c>
      <c r="C90" t="str">
        <f>IF(PBH_RR!A90="","",IF(OR(PBH_RR!E90="FH Matrix",PBH_RR!E90="FC Matrix"),PBH_RR!H90,IF(INDEX(SF_Data!F:F,MATCH(PBH_RR!D90,SF_Data!B:B,0))="Greater(FH/FC)",IF(INDEX(SF_Data!M:M,MATCH(PBH_RR!D90,SF_Data!B:B,0))="FC",INDEX(SF_Data!R:R,MATCH(PBH_RR!D90,SF_Data!B:B,0)),""),IF(PBH_RR!E90="Both(FH+FC)",IF(PBH_RR!L90="FC",PBH_RR!H90,""),INDEX(SF_Data!R:R,MATCH(PBH_RR!D90,SF_Data!B:B,0))))))</f>
        <v/>
      </c>
      <c r="D90" t="str">
        <f>IF(PBH_RR!A90="","",IF(OR(PBH_RR!E90="Hourly",PBH_RR!E90="Cycle"),IF(INDEX(SF_Data!M:M,MATCH(PBH_RR!D90,SF_Data!B:B,0))="FH",INDEX(SF_Data!G:G,MATCH(PBH_RR!D90,SF_Data!B:B,0)),""),IF(PBH_RR!E90="Both(FH+FC)",IF(PBH_RR!L90="FH",PBH_RR!M90-PBH_RR!G90,""),IF(PBH_RR!E90="Greater(FH/FC)",IF(INDEX(SF_Data!M:M,MATCH(PBH_RR!D90,SF_Data!B:B,0))="FH",INDEX(SF_Data!G:G,MATCH(PBH_RR!D90,SF_Data!B:B,0))-INDEX(SF_Data!Q:Q,MATCH(PBH_RR!D90,SF_Data!B:B,0)),""),IF(INDEX(SF_Data!M:M,MATCH(PBH_RR!D90,SF_Data!B:B,0))="FH",INDEX(PBH_Lines!K:K,MATCH(PBH_RR!A90,PBH_Lines!M:M,0)),"")))))</f>
        <v/>
      </c>
      <c r="E90" t="str">
        <f>IF(PBH_RR!A90="","",IF(OR(PBH_RR!E90="Hourly",PBH_RR!E90="Cycle"),IF(INDEX(SF_Data!M:M,MATCH(PBH_RR!D90,SF_Data!B:B,0))="FC",INDEX(SF_Data!G:G,MATCH(PBH_RR!D90,SF_Data!B:B,0)),""),IF(PBH_RR!E90="Both(FH+FC)",IF(PBH_RR!L90="FC",PBH_RR!M90-PBH_RR!H90,""),IF(PBH_RR!E90="Greater(FH/FC)",IF(INDEX(SF_Data!M:M,MATCH(PBH_RR!D90,SF_Data!B:B,0))="FC",INDEX(SF_Data!G:G,MATCH(PBH_RR!D90,SF_Data!B:B,0))-INDEX(SF_Data!R:R,MATCH(PBH_RR!D90,SF_Data!B:B,0)),""),IF(INDEX(SF_Data!M:M,MATCH(PBH_RR!D90,SF_Data!B:B,0))="FC",INDEX(PBH_Lines!K:K,MATCH(PBH_RR!A90,PBH_Lines!M:M,0)),"")))))</f>
        <v/>
      </c>
      <c r="F90" t="str">
        <f>IF(PBH_RR!A90="","",IF(OR(PBH_RR!E90="FH Matrix",PBH_RR!E90="FC Matrix"),PBH_RR!I90,IF(INDEX(SF_Data!F:F,MATCH(PBH_RR!D90,SF_Data!B:B,0))="Greater(FH/FC)",IF(INDEX(SF_Data!M:M,MATCH(PBH_RR!D90,SF_Data!B:B,0))="FH",INDEX(SF_Data!S:S,MATCH(PBH_RR!D90,SF_Data!B:B,0)),""),IF(PBH_RR!E90="Both(FH+FC)",IF(PBH_RR!L90="FH",PBH_RR!I90,""),INDEX(SF_Data!S:S,MATCH(PBH_RR!D90,SF_Data!B:B,0))))))</f>
        <v/>
      </c>
      <c r="G90" t="str">
        <f>IF(PBH_RR!A90="","",IF(OR(PBH_RR!E90="FH Matrix",PBH_RR!E90="FC Matrix"),PBH_RR!J90,IF(INDEX(SF_Data!F:F,MATCH(PBH_RR!D90,SF_Data!B:B,0))="Greater(FH/FC)",IF(INDEX(SF_Data!M:M,MATCH(PBH_RR!D90,SF_Data!B:B,0))="FC",INDEX(SF_Data!T:T,MATCH(PBH_RR!D90,SF_Data!B:B,0)),""),IF(PBH_RR!E90="Both(FH+FC)",IF(PBH_RR!L90="FC",PBH_RR!J90,""),INDEX(SF_Data!T:T,MATCH(PBH_RR!D90,SF_Data!B:B,0))))))</f>
        <v/>
      </c>
      <c r="H90" t="str">
        <f>IF(PBH_RR!A90="","",IF(PBH_RR!E90="Both(FH+FC)",PBH_RR!P90,IF(OR(PBH_RR!E90="FH Matrix",PBH_RR!E90="FC Matrix"),INDEX(PBH_Lines!O:O,MATCH(PBH_RR!A90,PBH_Lines!M:M,0)),INDEX(SF_Data!U:U,MATCH(PBH_RR!D90,SF_Data!B:B,0)))))</f>
        <v/>
      </c>
      <c r="J90" t="str">
        <f t="shared" si="9"/>
        <v/>
      </c>
      <c r="K90" t="str">
        <f t="shared" si="10"/>
        <v/>
      </c>
      <c r="L90" t="str">
        <f t="shared" si="11"/>
        <v/>
      </c>
      <c r="M90" t="str">
        <f t="shared" si="12"/>
        <v/>
      </c>
      <c r="N90" t="str">
        <f t="shared" si="13"/>
        <v/>
      </c>
      <c r="O90" t="str">
        <f t="shared" si="14"/>
        <v/>
      </c>
      <c r="P90" t="str">
        <f t="shared" si="15"/>
        <v/>
      </c>
      <c r="Q90" t="str">
        <f t="shared" si="16"/>
        <v/>
      </c>
    </row>
    <row r="91" spans="1:17" x14ac:dyDescent="0.35">
      <c r="A91" t="str">
        <f>IF(PBH_RR!A91="","",IF(OR(PBH_RR!E91="FH Matrix", PBH_RR!E91="FC Matrix"),PBH_RR!C91,INDEX(SF_Data!D:D, MATCH(PBH_RR!D91, SF_Data!B:B, 0))))</f>
        <v/>
      </c>
      <c r="B91" t="str">
        <f>IF(PBH_RR!A91="","",IF(OR(PBH_RR!E91="FH Matrix",PBH_RR!E91="FC Matrix"),PBH_RR!G91,IF(INDEX(SF_Data!F:F,MATCH(PBH_RR!D91,SF_Data!B:B,0))="Greater(FH/FC)",IF(INDEX(SF_Data!M:M,MATCH(PBH_RR!D91,SF_Data!B:B,0))="FH",INDEX(SF_Data!Q:Q,MATCH(PBH_RR!D91,SF_Data!B:B,0)),""),IF(PBH_RR!E91="Both(FH+FC)",IF(PBH_RR!L91="FH",PBH_RR!G91,""),INDEX(SF_Data!Q:Q,MATCH(PBH_RR!D91,SF_Data!B:B,0))))))</f>
        <v/>
      </c>
      <c r="C91" t="str">
        <f>IF(PBH_RR!A91="","",IF(OR(PBH_RR!E91="FH Matrix",PBH_RR!E91="FC Matrix"),PBH_RR!H91,IF(INDEX(SF_Data!F:F,MATCH(PBH_RR!D91,SF_Data!B:B,0))="Greater(FH/FC)",IF(INDEX(SF_Data!M:M,MATCH(PBH_RR!D91,SF_Data!B:B,0))="FC",INDEX(SF_Data!R:R,MATCH(PBH_RR!D91,SF_Data!B:B,0)),""),IF(PBH_RR!E91="Both(FH+FC)",IF(PBH_RR!L91="FC",PBH_RR!H91,""),INDEX(SF_Data!R:R,MATCH(PBH_RR!D91,SF_Data!B:B,0))))))</f>
        <v/>
      </c>
      <c r="D91" t="str">
        <f>IF(PBH_RR!A91="","",IF(OR(PBH_RR!E91="Hourly",PBH_RR!E91="Cycle"),IF(INDEX(SF_Data!M:M,MATCH(PBH_RR!D91,SF_Data!B:B,0))="FH",INDEX(SF_Data!G:G,MATCH(PBH_RR!D91,SF_Data!B:B,0)),""),IF(PBH_RR!E91="Both(FH+FC)",IF(PBH_RR!L91="FH",PBH_RR!M91-PBH_RR!G91,""),IF(PBH_RR!E91="Greater(FH/FC)",IF(INDEX(SF_Data!M:M,MATCH(PBH_RR!D91,SF_Data!B:B,0))="FH",INDEX(SF_Data!G:G,MATCH(PBH_RR!D91,SF_Data!B:B,0))-INDEX(SF_Data!Q:Q,MATCH(PBH_RR!D91,SF_Data!B:B,0)),""),IF(INDEX(SF_Data!M:M,MATCH(PBH_RR!D91,SF_Data!B:B,0))="FH",INDEX(PBH_Lines!K:K,MATCH(PBH_RR!A91,PBH_Lines!M:M,0)),"")))))</f>
        <v/>
      </c>
      <c r="E91" t="str">
        <f>IF(PBH_RR!A91="","",IF(OR(PBH_RR!E91="Hourly",PBH_RR!E91="Cycle"),IF(INDEX(SF_Data!M:M,MATCH(PBH_RR!D91,SF_Data!B:B,0))="FC",INDEX(SF_Data!G:G,MATCH(PBH_RR!D91,SF_Data!B:B,0)),""),IF(PBH_RR!E91="Both(FH+FC)",IF(PBH_RR!L91="FC",PBH_RR!M91-PBH_RR!H91,""),IF(PBH_RR!E91="Greater(FH/FC)",IF(INDEX(SF_Data!M:M,MATCH(PBH_RR!D91,SF_Data!B:B,0))="FC",INDEX(SF_Data!G:G,MATCH(PBH_RR!D91,SF_Data!B:B,0))-INDEX(SF_Data!R:R,MATCH(PBH_RR!D91,SF_Data!B:B,0)),""),IF(INDEX(SF_Data!M:M,MATCH(PBH_RR!D91,SF_Data!B:B,0))="FC",INDEX(PBH_Lines!K:K,MATCH(PBH_RR!A91,PBH_Lines!M:M,0)),"")))))</f>
        <v/>
      </c>
      <c r="F91" t="str">
        <f>IF(PBH_RR!A91="","",IF(OR(PBH_RR!E91="FH Matrix",PBH_RR!E91="FC Matrix"),PBH_RR!I91,IF(INDEX(SF_Data!F:F,MATCH(PBH_RR!D91,SF_Data!B:B,0))="Greater(FH/FC)",IF(INDEX(SF_Data!M:M,MATCH(PBH_RR!D91,SF_Data!B:B,0))="FH",INDEX(SF_Data!S:S,MATCH(PBH_RR!D91,SF_Data!B:B,0)),""),IF(PBH_RR!E91="Both(FH+FC)",IF(PBH_RR!L91="FH",PBH_RR!I91,""),INDEX(SF_Data!S:S,MATCH(PBH_RR!D91,SF_Data!B:B,0))))))</f>
        <v/>
      </c>
      <c r="G91" t="str">
        <f>IF(PBH_RR!A91="","",IF(OR(PBH_RR!E91="FH Matrix",PBH_RR!E91="FC Matrix"),PBH_RR!J91,IF(INDEX(SF_Data!F:F,MATCH(PBH_RR!D91,SF_Data!B:B,0))="Greater(FH/FC)",IF(INDEX(SF_Data!M:M,MATCH(PBH_RR!D91,SF_Data!B:B,0))="FC",INDEX(SF_Data!T:T,MATCH(PBH_RR!D91,SF_Data!B:B,0)),""),IF(PBH_RR!E91="Both(FH+FC)",IF(PBH_RR!L91="FC",PBH_RR!J91,""),INDEX(SF_Data!T:T,MATCH(PBH_RR!D91,SF_Data!B:B,0))))))</f>
        <v/>
      </c>
      <c r="H91" t="str">
        <f>IF(PBH_RR!A91="","",IF(PBH_RR!E91="Both(FH+FC)",PBH_RR!P91,IF(OR(PBH_RR!E91="FH Matrix",PBH_RR!E91="FC Matrix"),INDEX(PBH_Lines!O:O,MATCH(PBH_RR!A91,PBH_Lines!M:M,0)),INDEX(SF_Data!U:U,MATCH(PBH_RR!D91,SF_Data!B:B,0)))))</f>
        <v/>
      </c>
      <c r="J91" t="str">
        <f t="shared" si="9"/>
        <v/>
      </c>
      <c r="K91" t="str">
        <f t="shared" si="10"/>
        <v/>
      </c>
      <c r="L91" t="str">
        <f t="shared" si="11"/>
        <v/>
      </c>
      <c r="M91" t="str">
        <f t="shared" si="12"/>
        <v/>
      </c>
      <c r="N91" t="str">
        <f t="shared" si="13"/>
        <v/>
      </c>
      <c r="O91" t="str">
        <f t="shared" si="14"/>
        <v/>
      </c>
      <c r="P91" t="str">
        <f t="shared" si="15"/>
        <v/>
      </c>
      <c r="Q91" t="str">
        <f t="shared" si="16"/>
        <v/>
      </c>
    </row>
    <row r="92" spans="1:17" x14ac:dyDescent="0.35">
      <c r="A92" t="str">
        <f>IF(PBH_RR!A92="","",IF(OR(PBH_RR!E92="FH Matrix", PBH_RR!E92="FC Matrix"),PBH_RR!C92,INDEX(SF_Data!D:D, MATCH(PBH_RR!D92, SF_Data!B:B, 0))))</f>
        <v/>
      </c>
      <c r="B92" t="str">
        <f>IF(PBH_RR!A92="","",IF(OR(PBH_RR!E92="FH Matrix",PBH_RR!E92="FC Matrix"),PBH_RR!G92,IF(INDEX(SF_Data!F:F,MATCH(PBH_RR!D92,SF_Data!B:B,0))="Greater(FH/FC)",IF(INDEX(SF_Data!M:M,MATCH(PBH_RR!D92,SF_Data!B:B,0))="FH",INDEX(SF_Data!Q:Q,MATCH(PBH_RR!D92,SF_Data!B:B,0)),""),IF(PBH_RR!E92="Both(FH+FC)",IF(PBH_RR!L92="FH",PBH_RR!G92,""),INDEX(SF_Data!Q:Q,MATCH(PBH_RR!D92,SF_Data!B:B,0))))))</f>
        <v/>
      </c>
      <c r="C92" t="str">
        <f>IF(PBH_RR!A92="","",IF(OR(PBH_RR!E92="FH Matrix",PBH_RR!E92="FC Matrix"),PBH_RR!H92,IF(INDEX(SF_Data!F:F,MATCH(PBH_RR!D92,SF_Data!B:B,0))="Greater(FH/FC)",IF(INDEX(SF_Data!M:M,MATCH(PBH_RR!D92,SF_Data!B:B,0))="FC",INDEX(SF_Data!R:R,MATCH(PBH_RR!D92,SF_Data!B:B,0)),""),IF(PBH_RR!E92="Both(FH+FC)",IF(PBH_RR!L92="FC",PBH_RR!H92,""),INDEX(SF_Data!R:R,MATCH(PBH_RR!D92,SF_Data!B:B,0))))))</f>
        <v/>
      </c>
      <c r="D92" t="str">
        <f>IF(PBH_RR!A92="","",IF(OR(PBH_RR!E92="Hourly",PBH_RR!E92="Cycle"),IF(INDEX(SF_Data!M:M,MATCH(PBH_RR!D92,SF_Data!B:B,0))="FH",INDEX(SF_Data!G:G,MATCH(PBH_RR!D92,SF_Data!B:B,0)),""),IF(PBH_RR!E92="Both(FH+FC)",IF(PBH_RR!L92="FH",PBH_RR!M92-PBH_RR!G92,""),IF(PBH_RR!E92="Greater(FH/FC)",IF(INDEX(SF_Data!M:M,MATCH(PBH_RR!D92,SF_Data!B:B,0))="FH",INDEX(SF_Data!G:G,MATCH(PBH_RR!D92,SF_Data!B:B,0))-INDEX(SF_Data!Q:Q,MATCH(PBH_RR!D92,SF_Data!B:B,0)),""),IF(INDEX(SF_Data!M:M,MATCH(PBH_RR!D92,SF_Data!B:B,0))="FH",INDEX(PBH_Lines!K:K,MATCH(PBH_RR!A92,PBH_Lines!M:M,0)),"")))))</f>
        <v/>
      </c>
      <c r="E92" t="str">
        <f>IF(PBH_RR!A92="","",IF(OR(PBH_RR!E92="Hourly",PBH_RR!E92="Cycle"),IF(INDEX(SF_Data!M:M,MATCH(PBH_RR!D92,SF_Data!B:B,0))="FC",INDEX(SF_Data!G:G,MATCH(PBH_RR!D92,SF_Data!B:B,0)),""),IF(PBH_RR!E92="Both(FH+FC)",IF(PBH_RR!L92="FC",PBH_RR!M92-PBH_RR!H92,""),IF(PBH_RR!E92="Greater(FH/FC)",IF(INDEX(SF_Data!M:M,MATCH(PBH_RR!D92,SF_Data!B:B,0))="FC",INDEX(SF_Data!G:G,MATCH(PBH_RR!D92,SF_Data!B:B,0))-INDEX(SF_Data!R:R,MATCH(PBH_RR!D92,SF_Data!B:B,0)),""),IF(INDEX(SF_Data!M:M,MATCH(PBH_RR!D92,SF_Data!B:B,0))="FC",INDEX(PBH_Lines!K:K,MATCH(PBH_RR!A92,PBH_Lines!M:M,0)),"")))))</f>
        <v/>
      </c>
      <c r="F92" t="str">
        <f>IF(PBH_RR!A92="","",IF(OR(PBH_RR!E92="FH Matrix",PBH_RR!E92="FC Matrix"),PBH_RR!I92,IF(INDEX(SF_Data!F:F,MATCH(PBH_RR!D92,SF_Data!B:B,0))="Greater(FH/FC)",IF(INDEX(SF_Data!M:M,MATCH(PBH_RR!D92,SF_Data!B:B,0))="FH",INDEX(SF_Data!S:S,MATCH(PBH_RR!D92,SF_Data!B:B,0)),""),IF(PBH_RR!E92="Both(FH+FC)",IF(PBH_RR!L92="FH",PBH_RR!I92,""),INDEX(SF_Data!S:S,MATCH(PBH_RR!D92,SF_Data!B:B,0))))))</f>
        <v/>
      </c>
      <c r="G92" t="str">
        <f>IF(PBH_RR!A92="","",IF(OR(PBH_RR!E92="FH Matrix",PBH_RR!E92="FC Matrix"),PBH_RR!J92,IF(INDEX(SF_Data!F:F,MATCH(PBH_RR!D92,SF_Data!B:B,0))="Greater(FH/FC)",IF(INDEX(SF_Data!M:M,MATCH(PBH_RR!D92,SF_Data!B:B,0))="FC",INDEX(SF_Data!T:T,MATCH(PBH_RR!D92,SF_Data!B:B,0)),""),IF(PBH_RR!E92="Both(FH+FC)",IF(PBH_RR!L92="FC",PBH_RR!J92,""),INDEX(SF_Data!T:T,MATCH(PBH_RR!D92,SF_Data!B:B,0))))))</f>
        <v/>
      </c>
      <c r="H92" t="str">
        <f>IF(PBH_RR!A92="","",IF(PBH_RR!E92="Both(FH+FC)",PBH_RR!P92,IF(OR(PBH_RR!E92="FH Matrix",PBH_RR!E92="FC Matrix"),INDEX(PBH_Lines!O:O,MATCH(PBH_RR!A92,PBH_Lines!M:M,0)),INDEX(SF_Data!U:U,MATCH(PBH_RR!D92,SF_Data!B:B,0)))))</f>
        <v/>
      </c>
      <c r="J92" t="str">
        <f t="shared" si="9"/>
        <v/>
      </c>
      <c r="K92" t="str">
        <f t="shared" si="10"/>
        <v/>
      </c>
      <c r="L92" t="str">
        <f t="shared" si="11"/>
        <v/>
      </c>
      <c r="M92" t="str">
        <f t="shared" si="12"/>
        <v/>
      </c>
      <c r="N92" t="str">
        <f t="shared" si="13"/>
        <v/>
      </c>
      <c r="O92" t="str">
        <f t="shared" si="14"/>
        <v/>
      </c>
      <c r="P92" t="str">
        <f t="shared" si="15"/>
        <v/>
      </c>
      <c r="Q92" t="str">
        <f t="shared" si="16"/>
        <v/>
      </c>
    </row>
    <row r="93" spans="1:17" x14ac:dyDescent="0.35">
      <c r="A93" t="str">
        <f>IF(PBH_RR!A93="","",IF(OR(PBH_RR!E93="FH Matrix", PBH_RR!E93="FC Matrix"),PBH_RR!C93,INDEX(SF_Data!D:D, MATCH(PBH_RR!D93, SF_Data!B:B, 0))))</f>
        <v/>
      </c>
      <c r="B93" t="str">
        <f>IF(PBH_RR!A93="","",IF(OR(PBH_RR!E93="FH Matrix",PBH_RR!E93="FC Matrix"),PBH_RR!G93,IF(INDEX(SF_Data!F:F,MATCH(PBH_RR!D93,SF_Data!B:B,0))="Greater(FH/FC)",IF(INDEX(SF_Data!M:M,MATCH(PBH_RR!D93,SF_Data!B:B,0))="FH",INDEX(SF_Data!Q:Q,MATCH(PBH_RR!D93,SF_Data!B:B,0)),""),IF(PBH_RR!E93="Both(FH+FC)",IF(PBH_RR!L93="FH",PBH_RR!G93,""),INDEX(SF_Data!Q:Q,MATCH(PBH_RR!D93,SF_Data!B:B,0))))))</f>
        <v/>
      </c>
      <c r="C93" t="str">
        <f>IF(PBH_RR!A93="","",IF(OR(PBH_RR!E93="FH Matrix",PBH_RR!E93="FC Matrix"),PBH_RR!H93,IF(INDEX(SF_Data!F:F,MATCH(PBH_RR!D93,SF_Data!B:B,0))="Greater(FH/FC)",IF(INDEX(SF_Data!M:M,MATCH(PBH_RR!D93,SF_Data!B:B,0))="FC",INDEX(SF_Data!R:R,MATCH(PBH_RR!D93,SF_Data!B:B,0)),""),IF(PBH_RR!E93="Both(FH+FC)",IF(PBH_RR!L93="FC",PBH_RR!H93,""),INDEX(SF_Data!R:R,MATCH(PBH_RR!D93,SF_Data!B:B,0))))))</f>
        <v/>
      </c>
      <c r="D93" t="str">
        <f>IF(PBH_RR!A93="","",IF(OR(PBH_RR!E93="Hourly",PBH_RR!E93="Cycle"),IF(INDEX(SF_Data!M:M,MATCH(PBH_RR!D93,SF_Data!B:B,0))="FH",INDEX(SF_Data!G:G,MATCH(PBH_RR!D93,SF_Data!B:B,0)),""),IF(PBH_RR!E93="Both(FH+FC)",IF(PBH_RR!L93="FH",PBH_RR!M93-PBH_RR!G93,""),IF(PBH_RR!E93="Greater(FH/FC)",IF(INDEX(SF_Data!M:M,MATCH(PBH_RR!D93,SF_Data!B:B,0))="FH",INDEX(SF_Data!G:G,MATCH(PBH_RR!D93,SF_Data!B:B,0))-INDEX(SF_Data!Q:Q,MATCH(PBH_RR!D93,SF_Data!B:B,0)),""),IF(INDEX(SF_Data!M:M,MATCH(PBH_RR!D93,SF_Data!B:B,0))="FH",INDEX(PBH_Lines!K:K,MATCH(PBH_RR!A93,PBH_Lines!M:M,0)),"")))))</f>
        <v/>
      </c>
      <c r="E93" t="str">
        <f>IF(PBH_RR!A93="","",IF(OR(PBH_RR!E93="Hourly",PBH_RR!E93="Cycle"),IF(INDEX(SF_Data!M:M,MATCH(PBH_RR!D93,SF_Data!B:B,0))="FC",INDEX(SF_Data!G:G,MATCH(PBH_RR!D93,SF_Data!B:B,0)),""),IF(PBH_RR!E93="Both(FH+FC)",IF(PBH_RR!L93="FC",PBH_RR!M93-PBH_RR!H93,""),IF(PBH_RR!E93="Greater(FH/FC)",IF(INDEX(SF_Data!M:M,MATCH(PBH_RR!D93,SF_Data!B:B,0))="FC",INDEX(SF_Data!G:G,MATCH(PBH_RR!D93,SF_Data!B:B,0))-INDEX(SF_Data!R:R,MATCH(PBH_RR!D93,SF_Data!B:B,0)),""),IF(INDEX(SF_Data!M:M,MATCH(PBH_RR!D93,SF_Data!B:B,0))="FC",INDEX(PBH_Lines!K:K,MATCH(PBH_RR!A93,PBH_Lines!M:M,0)),"")))))</f>
        <v/>
      </c>
      <c r="F93" t="str">
        <f>IF(PBH_RR!A93="","",IF(OR(PBH_RR!E93="FH Matrix",PBH_RR!E93="FC Matrix"),PBH_RR!I93,IF(INDEX(SF_Data!F:F,MATCH(PBH_RR!D93,SF_Data!B:B,0))="Greater(FH/FC)",IF(INDEX(SF_Data!M:M,MATCH(PBH_RR!D93,SF_Data!B:B,0))="FH",INDEX(SF_Data!S:S,MATCH(PBH_RR!D93,SF_Data!B:B,0)),""),IF(PBH_RR!E93="Both(FH+FC)",IF(PBH_RR!L93="FH",PBH_RR!I93,""),INDEX(SF_Data!S:S,MATCH(PBH_RR!D93,SF_Data!B:B,0))))))</f>
        <v/>
      </c>
      <c r="G93" t="str">
        <f>IF(PBH_RR!A93="","",IF(OR(PBH_RR!E93="FH Matrix",PBH_RR!E93="FC Matrix"),PBH_RR!J93,IF(INDEX(SF_Data!F:F,MATCH(PBH_RR!D93,SF_Data!B:B,0))="Greater(FH/FC)",IF(INDEX(SF_Data!M:M,MATCH(PBH_RR!D93,SF_Data!B:B,0))="FC",INDEX(SF_Data!T:T,MATCH(PBH_RR!D93,SF_Data!B:B,0)),""),IF(PBH_RR!E93="Both(FH+FC)",IF(PBH_RR!L93="FC",PBH_RR!J93,""),INDEX(SF_Data!T:T,MATCH(PBH_RR!D93,SF_Data!B:B,0))))))</f>
        <v/>
      </c>
      <c r="H93" t="str">
        <f>IF(PBH_RR!A93="","",IF(PBH_RR!E93="Both(FH+FC)",PBH_RR!P93,IF(OR(PBH_RR!E93="FH Matrix",PBH_RR!E93="FC Matrix"),INDEX(PBH_Lines!O:O,MATCH(PBH_RR!A93,PBH_Lines!M:M,0)),INDEX(SF_Data!U:U,MATCH(PBH_RR!D93,SF_Data!B:B,0)))))</f>
        <v/>
      </c>
      <c r="J93" t="str">
        <f t="shared" si="9"/>
        <v/>
      </c>
      <c r="K93" t="str">
        <f t="shared" si="10"/>
        <v/>
      </c>
      <c r="L93" t="str">
        <f t="shared" si="11"/>
        <v/>
      </c>
      <c r="M93" t="str">
        <f t="shared" si="12"/>
        <v/>
      </c>
      <c r="N93" t="str">
        <f t="shared" si="13"/>
        <v/>
      </c>
      <c r="O93" t="str">
        <f t="shared" si="14"/>
        <v/>
      </c>
      <c r="P93" t="str">
        <f t="shared" si="15"/>
        <v/>
      </c>
      <c r="Q93" t="str">
        <f t="shared" si="16"/>
        <v/>
      </c>
    </row>
    <row r="94" spans="1:17" x14ac:dyDescent="0.35">
      <c r="A94" t="str">
        <f>IF(PBH_RR!A94="","",IF(OR(PBH_RR!E94="FH Matrix", PBH_RR!E94="FC Matrix"),PBH_RR!C94,INDEX(SF_Data!D:D, MATCH(PBH_RR!D94, SF_Data!B:B, 0))))</f>
        <v/>
      </c>
      <c r="B94" t="str">
        <f>IF(PBH_RR!A94="","",IF(OR(PBH_RR!E94="FH Matrix",PBH_RR!E94="FC Matrix"),PBH_RR!G94,IF(INDEX(SF_Data!F:F,MATCH(PBH_RR!D94,SF_Data!B:B,0))="Greater(FH/FC)",IF(INDEX(SF_Data!M:M,MATCH(PBH_RR!D94,SF_Data!B:B,0))="FH",INDEX(SF_Data!Q:Q,MATCH(PBH_RR!D94,SF_Data!B:B,0)),""),IF(PBH_RR!E94="Both(FH+FC)",IF(PBH_RR!L94="FH",PBH_RR!G94,""),INDEX(SF_Data!Q:Q,MATCH(PBH_RR!D94,SF_Data!B:B,0))))))</f>
        <v/>
      </c>
      <c r="C94" t="str">
        <f>IF(PBH_RR!A94="","",IF(OR(PBH_RR!E94="FH Matrix",PBH_RR!E94="FC Matrix"),PBH_RR!H94,IF(INDEX(SF_Data!F:F,MATCH(PBH_RR!D94,SF_Data!B:B,0))="Greater(FH/FC)",IF(INDEX(SF_Data!M:M,MATCH(PBH_RR!D94,SF_Data!B:B,0))="FC",INDEX(SF_Data!R:R,MATCH(PBH_RR!D94,SF_Data!B:B,0)),""),IF(PBH_RR!E94="Both(FH+FC)",IF(PBH_RR!L94="FC",PBH_RR!H94,""),INDEX(SF_Data!R:R,MATCH(PBH_RR!D94,SF_Data!B:B,0))))))</f>
        <v/>
      </c>
      <c r="D94" t="str">
        <f>IF(PBH_RR!A94="","",IF(OR(PBH_RR!E94="Hourly",PBH_RR!E94="Cycle"),IF(INDEX(SF_Data!M:M,MATCH(PBH_RR!D94,SF_Data!B:B,0))="FH",INDEX(SF_Data!G:G,MATCH(PBH_RR!D94,SF_Data!B:B,0)),""),IF(PBH_RR!E94="Both(FH+FC)",IF(PBH_RR!L94="FH",PBH_RR!M94-PBH_RR!G94,""),IF(PBH_RR!E94="Greater(FH/FC)",IF(INDEX(SF_Data!M:M,MATCH(PBH_RR!D94,SF_Data!B:B,0))="FH",INDEX(SF_Data!G:G,MATCH(PBH_RR!D94,SF_Data!B:B,0))-INDEX(SF_Data!Q:Q,MATCH(PBH_RR!D94,SF_Data!B:B,0)),""),IF(INDEX(SF_Data!M:M,MATCH(PBH_RR!D94,SF_Data!B:B,0))="FH",INDEX(PBH_Lines!K:K,MATCH(PBH_RR!A94,PBH_Lines!M:M,0)),"")))))</f>
        <v/>
      </c>
      <c r="E94" t="str">
        <f>IF(PBH_RR!A94="","",IF(OR(PBH_RR!E94="Hourly",PBH_RR!E94="Cycle"),IF(INDEX(SF_Data!M:M,MATCH(PBH_RR!D94,SF_Data!B:B,0))="FC",INDEX(SF_Data!G:G,MATCH(PBH_RR!D94,SF_Data!B:B,0)),""),IF(PBH_RR!E94="Both(FH+FC)",IF(PBH_RR!L94="FC",PBH_RR!M94-PBH_RR!H94,""),IF(PBH_RR!E94="Greater(FH/FC)",IF(INDEX(SF_Data!M:M,MATCH(PBH_RR!D94,SF_Data!B:B,0))="FC",INDEX(SF_Data!G:G,MATCH(PBH_RR!D94,SF_Data!B:B,0))-INDEX(SF_Data!R:R,MATCH(PBH_RR!D94,SF_Data!B:B,0)),""),IF(INDEX(SF_Data!M:M,MATCH(PBH_RR!D94,SF_Data!B:B,0))="FC",INDEX(PBH_Lines!K:K,MATCH(PBH_RR!A94,PBH_Lines!M:M,0)),"")))))</f>
        <v/>
      </c>
      <c r="F94" t="str">
        <f>IF(PBH_RR!A94="","",IF(OR(PBH_RR!E94="FH Matrix",PBH_RR!E94="FC Matrix"),PBH_RR!I94,IF(INDEX(SF_Data!F:F,MATCH(PBH_RR!D94,SF_Data!B:B,0))="Greater(FH/FC)",IF(INDEX(SF_Data!M:M,MATCH(PBH_RR!D94,SF_Data!B:B,0))="FH",INDEX(SF_Data!S:S,MATCH(PBH_RR!D94,SF_Data!B:B,0)),""),IF(PBH_RR!E94="Both(FH+FC)",IF(PBH_RR!L94="FH",PBH_RR!I94,""),INDEX(SF_Data!S:S,MATCH(PBH_RR!D94,SF_Data!B:B,0))))))</f>
        <v/>
      </c>
      <c r="G94" t="str">
        <f>IF(PBH_RR!A94="","",IF(OR(PBH_RR!E94="FH Matrix",PBH_RR!E94="FC Matrix"),PBH_RR!J94,IF(INDEX(SF_Data!F:F,MATCH(PBH_RR!D94,SF_Data!B:B,0))="Greater(FH/FC)",IF(INDEX(SF_Data!M:M,MATCH(PBH_RR!D94,SF_Data!B:B,0))="FC",INDEX(SF_Data!T:T,MATCH(PBH_RR!D94,SF_Data!B:B,0)),""),IF(PBH_RR!E94="Both(FH+FC)",IF(PBH_RR!L94="FC",PBH_RR!J94,""),INDEX(SF_Data!T:T,MATCH(PBH_RR!D94,SF_Data!B:B,0))))))</f>
        <v/>
      </c>
      <c r="H94" t="str">
        <f>IF(PBH_RR!A94="","",IF(PBH_RR!E94="Both(FH+FC)",PBH_RR!P94,IF(OR(PBH_RR!E94="FH Matrix",PBH_RR!E94="FC Matrix"),INDEX(PBH_Lines!O:O,MATCH(PBH_RR!A94,PBH_Lines!M:M,0)),INDEX(SF_Data!U:U,MATCH(PBH_RR!D94,SF_Data!B:B,0)))))</f>
        <v/>
      </c>
      <c r="J94" t="str">
        <f t="shared" si="9"/>
        <v/>
      </c>
      <c r="K94" t="str">
        <f t="shared" si="10"/>
        <v/>
      </c>
      <c r="L94" t="str">
        <f t="shared" si="11"/>
        <v/>
      </c>
      <c r="M94" t="str">
        <f t="shared" si="12"/>
        <v/>
      </c>
      <c r="N94" t="str">
        <f t="shared" si="13"/>
        <v/>
      </c>
      <c r="O94" t="str">
        <f t="shared" si="14"/>
        <v/>
      </c>
      <c r="P94" t="str">
        <f t="shared" si="15"/>
        <v/>
      </c>
      <c r="Q94" t="str">
        <f t="shared" si="16"/>
        <v/>
      </c>
    </row>
    <row r="95" spans="1:17" x14ac:dyDescent="0.35">
      <c r="A95" t="str">
        <f>IF(PBH_RR!A95="","",IF(OR(PBH_RR!E95="FH Matrix", PBH_RR!E95="FC Matrix"),PBH_RR!C95,INDEX(SF_Data!D:D, MATCH(PBH_RR!D95, SF_Data!B:B, 0))))</f>
        <v/>
      </c>
      <c r="B95" t="str">
        <f>IF(PBH_RR!A95="","",IF(OR(PBH_RR!E95="FH Matrix",PBH_RR!E95="FC Matrix"),PBH_RR!G95,IF(INDEX(SF_Data!F:F,MATCH(PBH_RR!D95,SF_Data!B:B,0))="Greater(FH/FC)",IF(INDEX(SF_Data!M:M,MATCH(PBH_RR!D95,SF_Data!B:B,0))="FH",INDEX(SF_Data!Q:Q,MATCH(PBH_RR!D95,SF_Data!B:B,0)),""),IF(PBH_RR!E95="Both(FH+FC)",IF(PBH_RR!L95="FH",PBH_RR!G95,""),INDEX(SF_Data!Q:Q,MATCH(PBH_RR!D95,SF_Data!B:B,0))))))</f>
        <v/>
      </c>
      <c r="C95" t="str">
        <f>IF(PBH_RR!A95="","",IF(OR(PBH_RR!E95="FH Matrix",PBH_RR!E95="FC Matrix"),PBH_RR!H95,IF(INDEX(SF_Data!F:F,MATCH(PBH_RR!D95,SF_Data!B:B,0))="Greater(FH/FC)",IF(INDEX(SF_Data!M:M,MATCH(PBH_RR!D95,SF_Data!B:B,0))="FC",INDEX(SF_Data!R:R,MATCH(PBH_RR!D95,SF_Data!B:B,0)),""),IF(PBH_RR!E95="Both(FH+FC)",IF(PBH_RR!L95="FC",PBH_RR!H95,""),INDEX(SF_Data!R:R,MATCH(PBH_RR!D95,SF_Data!B:B,0))))))</f>
        <v/>
      </c>
      <c r="D95" t="str">
        <f>IF(PBH_RR!A95="","",IF(OR(PBH_RR!E95="Hourly",PBH_RR!E95="Cycle"),IF(INDEX(SF_Data!M:M,MATCH(PBH_RR!D95,SF_Data!B:B,0))="FH",INDEX(SF_Data!G:G,MATCH(PBH_RR!D95,SF_Data!B:B,0)),""),IF(PBH_RR!E95="Both(FH+FC)",IF(PBH_RR!L95="FH",PBH_RR!M95-PBH_RR!G95,""),IF(PBH_RR!E95="Greater(FH/FC)",IF(INDEX(SF_Data!M:M,MATCH(PBH_RR!D95,SF_Data!B:B,0))="FH",INDEX(SF_Data!G:G,MATCH(PBH_RR!D95,SF_Data!B:B,0))-INDEX(SF_Data!Q:Q,MATCH(PBH_RR!D95,SF_Data!B:B,0)),""),IF(INDEX(SF_Data!M:M,MATCH(PBH_RR!D95,SF_Data!B:B,0))="FH",INDEX(PBH_Lines!K:K,MATCH(PBH_RR!A95,PBH_Lines!M:M,0)),"")))))</f>
        <v/>
      </c>
      <c r="E95" t="str">
        <f>IF(PBH_RR!A95="","",IF(OR(PBH_RR!E95="Hourly",PBH_RR!E95="Cycle"),IF(INDEX(SF_Data!M:M,MATCH(PBH_RR!D95,SF_Data!B:B,0))="FC",INDEX(SF_Data!G:G,MATCH(PBH_RR!D95,SF_Data!B:B,0)),""),IF(PBH_RR!E95="Both(FH+FC)",IF(PBH_RR!L95="FC",PBH_RR!M95-PBH_RR!H95,""),IF(PBH_RR!E95="Greater(FH/FC)",IF(INDEX(SF_Data!M:M,MATCH(PBH_RR!D95,SF_Data!B:B,0))="FC",INDEX(SF_Data!G:G,MATCH(PBH_RR!D95,SF_Data!B:B,0))-INDEX(SF_Data!R:R,MATCH(PBH_RR!D95,SF_Data!B:B,0)),""),IF(INDEX(SF_Data!M:M,MATCH(PBH_RR!D95,SF_Data!B:B,0))="FC",INDEX(PBH_Lines!K:K,MATCH(PBH_RR!A95,PBH_Lines!M:M,0)),"")))))</f>
        <v/>
      </c>
      <c r="F95" t="str">
        <f>IF(PBH_RR!A95="","",IF(OR(PBH_RR!E95="FH Matrix",PBH_RR!E95="FC Matrix"),PBH_RR!I95,IF(INDEX(SF_Data!F:F,MATCH(PBH_RR!D95,SF_Data!B:B,0))="Greater(FH/FC)",IF(INDEX(SF_Data!M:M,MATCH(PBH_RR!D95,SF_Data!B:B,0))="FH",INDEX(SF_Data!S:S,MATCH(PBH_RR!D95,SF_Data!B:B,0)),""),IF(PBH_RR!E95="Both(FH+FC)",IF(PBH_RR!L95="FH",PBH_RR!I95,""),INDEX(SF_Data!S:S,MATCH(PBH_RR!D95,SF_Data!B:B,0))))))</f>
        <v/>
      </c>
      <c r="G95" t="str">
        <f>IF(PBH_RR!A95="","",IF(OR(PBH_RR!E95="FH Matrix",PBH_RR!E95="FC Matrix"),PBH_RR!J95,IF(INDEX(SF_Data!F:F,MATCH(PBH_RR!D95,SF_Data!B:B,0))="Greater(FH/FC)",IF(INDEX(SF_Data!M:M,MATCH(PBH_RR!D95,SF_Data!B:B,0))="FC",INDEX(SF_Data!T:T,MATCH(PBH_RR!D95,SF_Data!B:B,0)),""),IF(PBH_RR!E95="Both(FH+FC)",IF(PBH_RR!L95="FC",PBH_RR!J95,""),INDEX(SF_Data!T:T,MATCH(PBH_RR!D95,SF_Data!B:B,0))))))</f>
        <v/>
      </c>
      <c r="H95" t="str">
        <f>IF(PBH_RR!A95="","",IF(PBH_RR!E95="Both(FH+FC)",PBH_RR!P95,IF(OR(PBH_RR!E95="FH Matrix",PBH_RR!E95="FC Matrix"),INDEX(PBH_Lines!O:O,MATCH(PBH_RR!A95,PBH_Lines!M:M,0)),INDEX(SF_Data!U:U,MATCH(PBH_RR!D95,SF_Data!B:B,0)))))</f>
        <v/>
      </c>
      <c r="J95" t="str">
        <f t="shared" si="9"/>
        <v/>
      </c>
      <c r="K95" t="str">
        <f t="shared" si="10"/>
        <v/>
      </c>
      <c r="L95" t="str">
        <f t="shared" si="11"/>
        <v/>
      </c>
      <c r="M95" t="str">
        <f t="shared" si="12"/>
        <v/>
      </c>
      <c r="N95" t="str">
        <f t="shared" si="13"/>
        <v/>
      </c>
      <c r="O95" t="str">
        <f t="shared" si="14"/>
        <v/>
      </c>
      <c r="P95" t="str">
        <f t="shared" si="15"/>
        <v/>
      </c>
      <c r="Q95" t="str">
        <f t="shared" si="16"/>
        <v/>
      </c>
    </row>
    <row r="96" spans="1:17" x14ac:dyDescent="0.35">
      <c r="A96" t="str">
        <f>IF(PBH_RR!A96="","",IF(OR(PBH_RR!E96="FH Matrix", PBH_RR!E96="FC Matrix"),PBH_RR!C96,INDEX(SF_Data!D:D, MATCH(PBH_RR!D96, SF_Data!B:B, 0))))</f>
        <v/>
      </c>
      <c r="B96" t="str">
        <f>IF(PBH_RR!A96="","",IF(OR(PBH_RR!E96="FH Matrix",PBH_RR!E96="FC Matrix"),PBH_RR!G96,IF(INDEX(SF_Data!F:F,MATCH(PBH_RR!D96,SF_Data!B:B,0))="Greater(FH/FC)",IF(INDEX(SF_Data!M:M,MATCH(PBH_RR!D96,SF_Data!B:B,0))="FH",INDEX(SF_Data!Q:Q,MATCH(PBH_RR!D96,SF_Data!B:B,0)),""),IF(PBH_RR!E96="Both(FH+FC)",IF(PBH_RR!L96="FH",PBH_RR!G96,""),INDEX(SF_Data!Q:Q,MATCH(PBH_RR!D96,SF_Data!B:B,0))))))</f>
        <v/>
      </c>
      <c r="C96" t="str">
        <f>IF(PBH_RR!A96="","",IF(OR(PBH_RR!E96="FH Matrix",PBH_RR!E96="FC Matrix"),PBH_RR!H96,IF(INDEX(SF_Data!F:F,MATCH(PBH_RR!D96,SF_Data!B:B,0))="Greater(FH/FC)",IF(INDEX(SF_Data!M:M,MATCH(PBH_RR!D96,SF_Data!B:B,0))="FC",INDEX(SF_Data!R:R,MATCH(PBH_RR!D96,SF_Data!B:B,0)),""),IF(PBH_RR!E96="Both(FH+FC)",IF(PBH_RR!L96="FC",PBH_RR!H96,""),INDEX(SF_Data!R:R,MATCH(PBH_RR!D96,SF_Data!B:B,0))))))</f>
        <v/>
      </c>
      <c r="D96" t="str">
        <f>IF(PBH_RR!A96="","",IF(OR(PBH_RR!E96="Hourly",PBH_RR!E96="Cycle"),IF(INDEX(SF_Data!M:M,MATCH(PBH_RR!D96,SF_Data!B:B,0))="FH",INDEX(SF_Data!G:G,MATCH(PBH_RR!D96,SF_Data!B:B,0)),""),IF(PBH_RR!E96="Both(FH+FC)",IF(PBH_RR!L96="FH",PBH_RR!M96-PBH_RR!G96,""),IF(PBH_RR!E96="Greater(FH/FC)",IF(INDEX(SF_Data!M:M,MATCH(PBH_RR!D96,SF_Data!B:B,0))="FH",INDEX(SF_Data!G:G,MATCH(PBH_RR!D96,SF_Data!B:B,0))-INDEX(SF_Data!Q:Q,MATCH(PBH_RR!D96,SF_Data!B:B,0)),""),IF(INDEX(SF_Data!M:M,MATCH(PBH_RR!D96,SF_Data!B:B,0))="FH",INDEX(PBH_Lines!K:K,MATCH(PBH_RR!A96,PBH_Lines!M:M,0)),"")))))</f>
        <v/>
      </c>
      <c r="E96" t="str">
        <f>IF(PBH_RR!A96="","",IF(OR(PBH_RR!E96="Hourly",PBH_RR!E96="Cycle"),IF(INDEX(SF_Data!M:M,MATCH(PBH_RR!D96,SF_Data!B:B,0))="FC",INDEX(SF_Data!G:G,MATCH(PBH_RR!D96,SF_Data!B:B,0)),""),IF(PBH_RR!E96="Both(FH+FC)",IF(PBH_RR!L96="FC",PBH_RR!M96-PBH_RR!H96,""),IF(PBH_RR!E96="Greater(FH/FC)",IF(INDEX(SF_Data!M:M,MATCH(PBH_RR!D96,SF_Data!B:B,0))="FC",INDEX(SF_Data!G:G,MATCH(PBH_RR!D96,SF_Data!B:B,0))-INDEX(SF_Data!R:R,MATCH(PBH_RR!D96,SF_Data!B:B,0)),""),IF(INDEX(SF_Data!M:M,MATCH(PBH_RR!D96,SF_Data!B:B,0))="FC",INDEX(PBH_Lines!K:K,MATCH(PBH_RR!A96,PBH_Lines!M:M,0)),"")))))</f>
        <v/>
      </c>
      <c r="F96" t="str">
        <f>IF(PBH_RR!A96="","",IF(OR(PBH_RR!E96="FH Matrix",PBH_RR!E96="FC Matrix"),PBH_RR!I96,IF(INDEX(SF_Data!F:F,MATCH(PBH_RR!D96,SF_Data!B:B,0))="Greater(FH/FC)",IF(INDEX(SF_Data!M:M,MATCH(PBH_RR!D96,SF_Data!B:B,0))="FH",INDEX(SF_Data!S:S,MATCH(PBH_RR!D96,SF_Data!B:B,0)),""),IF(PBH_RR!E96="Both(FH+FC)",IF(PBH_RR!L96="FH",PBH_RR!I96,""),INDEX(SF_Data!S:S,MATCH(PBH_RR!D96,SF_Data!B:B,0))))))</f>
        <v/>
      </c>
      <c r="G96" t="str">
        <f>IF(PBH_RR!A96="","",IF(OR(PBH_RR!E96="FH Matrix",PBH_RR!E96="FC Matrix"),PBH_RR!J96,IF(INDEX(SF_Data!F:F,MATCH(PBH_RR!D96,SF_Data!B:B,0))="Greater(FH/FC)",IF(INDEX(SF_Data!M:M,MATCH(PBH_RR!D96,SF_Data!B:B,0))="FC",INDEX(SF_Data!T:T,MATCH(PBH_RR!D96,SF_Data!B:B,0)),""),IF(PBH_RR!E96="Both(FH+FC)",IF(PBH_RR!L96="FC",PBH_RR!J96,""),INDEX(SF_Data!T:T,MATCH(PBH_RR!D96,SF_Data!B:B,0))))))</f>
        <v/>
      </c>
      <c r="H96" t="str">
        <f>IF(PBH_RR!A96="","",IF(PBH_RR!E96="Both(FH+FC)",PBH_RR!P96,IF(OR(PBH_RR!E96="FH Matrix",PBH_RR!E96="FC Matrix"),INDEX(PBH_Lines!O:O,MATCH(PBH_RR!A96,PBH_Lines!M:M,0)),INDEX(SF_Data!U:U,MATCH(PBH_RR!D96,SF_Data!B:B,0)))))</f>
        <v/>
      </c>
      <c r="J96" t="str">
        <f t="shared" si="9"/>
        <v/>
      </c>
      <c r="K96" t="str">
        <f t="shared" si="10"/>
        <v/>
      </c>
      <c r="L96" t="str">
        <f t="shared" si="11"/>
        <v/>
      </c>
      <c r="M96" t="str">
        <f t="shared" si="12"/>
        <v/>
      </c>
      <c r="N96" t="str">
        <f t="shared" si="13"/>
        <v/>
      </c>
      <c r="O96" t="str">
        <f t="shared" si="14"/>
        <v/>
      </c>
      <c r="P96" t="str">
        <f t="shared" si="15"/>
        <v/>
      </c>
      <c r="Q96" t="str">
        <f t="shared" si="16"/>
        <v/>
      </c>
    </row>
    <row r="97" spans="1:17" x14ac:dyDescent="0.35">
      <c r="A97" t="str">
        <f>IF(PBH_RR!A97="","",IF(OR(PBH_RR!E97="FH Matrix", PBH_RR!E97="FC Matrix"),PBH_RR!C97,INDEX(SF_Data!D:D, MATCH(PBH_RR!D97, SF_Data!B:B, 0))))</f>
        <v/>
      </c>
      <c r="B97" t="str">
        <f>IF(PBH_RR!A97="","",IF(OR(PBH_RR!E97="FH Matrix",PBH_RR!E97="FC Matrix"),PBH_RR!G97,IF(INDEX(SF_Data!F:F,MATCH(PBH_RR!D97,SF_Data!B:B,0))="Greater(FH/FC)",IF(INDEX(SF_Data!M:M,MATCH(PBH_RR!D97,SF_Data!B:B,0))="FH",INDEX(SF_Data!Q:Q,MATCH(PBH_RR!D97,SF_Data!B:B,0)),""),IF(PBH_RR!E97="Both(FH+FC)",IF(PBH_RR!L97="FH",PBH_RR!G97,""),INDEX(SF_Data!Q:Q,MATCH(PBH_RR!D97,SF_Data!B:B,0))))))</f>
        <v/>
      </c>
      <c r="C97" t="str">
        <f>IF(PBH_RR!A97="","",IF(OR(PBH_RR!E97="FH Matrix",PBH_RR!E97="FC Matrix"),PBH_RR!H97,IF(INDEX(SF_Data!F:F,MATCH(PBH_RR!D97,SF_Data!B:B,0))="Greater(FH/FC)",IF(INDEX(SF_Data!M:M,MATCH(PBH_RR!D97,SF_Data!B:B,0))="FC",INDEX(SF_Data!R:R,MATCH(PBH_RR!D97,SF_Data!B:B,0)),""),IF(PBH_RR!E97="Both(FH+FC)",IF(PBH_RR!L97="FC",PBH_RR!H97,""),INDEX(SF_Data!R:R,MATCH(PBH_RR!D97,SF_Data!B:B,0))))))</f>
        <v/>
      </c>
      <c r="D97" t="str">
        <f>IF(PBH_RR!A97="","",IF(OR(PBH_RR!E97="Hourly",PBH_RR!E97="Cycle"),IF(INDEX(SF_Data!M:M,MATCH(PBH_RR!D97,SF_Data!B:B,0))="FH",INDEX(SF_Data!G:G,MATCH(PBH_RR!D97,SF_Data!B:B,0)),""),IF(PBH_RR!E97="Both(FH+FC)",IF(PBH_RR!L97="FH",PBH_RR!M97-PBH_RR!G97,""),IF(PBH_RR!E97="Greater(FH/FC)",IF(INDEX(SF_Data!M:M,MATCH(PBH_RR!D97,SF_Data!B:B,0))="FH",INDEX(SF_Data!G:G,MATCH(PBH_RR!D97,SF_Data!B:B,0))-INDEX(SF_Data!Q:Q,MATCH(PBH_RR!D97,SF_Data!B:B,0)),""),IF(INDEX(SF_Data!M:M,MATCH(PBH_RR!D97,SF_Data!B:B,0))="FH",INDEX(PBH_Lines!K:K,MATCH(PBH_RR!A97,PBH_Lines!M:M,0)),"")))))</f>
        <v/>
      </c>
      <c r="E97" t="str">
        <f>IF(PBH_RR!A97="","",IF(OR(PBH_RR!E97="Hourly",PBH_RR!E97="Cycle"),IF(INDEX(SF_Data!M:M,MATCH(PBH_RR!D97,SF_Data!B:B,0))="FC",INDEX(SF_Data!G:G,MATCH(PBH_RR!D97,SF_Data!B:B,0)),""),IF(PBH_RR!E97="Both(FH+FC)",IF(PBH_RR!L97="FC",PBH_RR!M97-PBH_RR!H97,""),IF(PBH_RR!E97="Greater(FH/FC)",IF(INDEX(SF_Data!M:M,MATCH(PBH_RR!D97,SF_Data!B:B,0))="FC",INDEX(SF_Data!G:G,MATCH(PBH_RR!D97,SF_Data!B:B,0))-INDEX(SF_Data!R:R,MATCH(PBH_RR!D97,SF_Data!B:B,0)),""),IF(INDEX(SF_Data!M:M,MATCH(PBH_RR!D97,SF_Data!B:B,0))="FC",INDEX(PBH_Lines!K:K,MATCH(PBH_RR!A97,PBH_Lines!M:M,0)),"")))))</f>
        <v/>
      </c>
      <c r="F97" t="str">
        <f>IF(PBH_RR!A97="","",IF(OR(PBH_RR!E97="FH Matrix",PBH_RR!E97="FC Matrix"),PBH_RR!I97,IF(INDEX(SF_Data!F:F,MATCH(PBH_RR!D97,SF_Data!B:B,0))="Greater(FH/FC)",IF(INDEX(SF_Data!M:M,MATCH(PBH_RR!D97,SF_Data!B:B,0))="FH",INDEX(SF_Data!S:S,MATCH(PBH_RR!D97,SF_Data!B:B,0)),""),IF(PBH_RR!E97="Both(FH+FC)",IF(PBH_RR!L97="FH",PBH_RR!I97,""),INDEX(SF_Data!S:S,MATCH(PBH_RR!D97,SF_Data!B:B,0))))))</f>
        <v/>
      </c>
      <c r="G97" t="str">
        <f>IF(PBH_RR!A97="","",IF(OR(PBH_RR!E97="FH Matrix",PBH_RR!E97="FC Matrix"),PBH_RR!J97,IF(INDEX(SF_Data!F:F,MATCH(PBH_RR!D97,SF_Data!B:B,0))="Greater(FH/FC)",IF(INDEX(SF_Data!M:M,MATCH(PBH_RR!D97,SF_Data!B:B,0))="FC",INDEX(SF_Data!T:T,MATCH(PBH_RR!D97,SF_Data!B:B,0)),""),IF(PBH_RR!E97="Both(FH+FC)",IF(PBH_RR!L97="FC",PBH_RR!J97,""),INDEX(SF_Data!T:T,MATCH(PBH_RR!D97,SF_Data!B:B,0))))))</f>
        <v/>
      </c>
      <c r="H97" t="str">
        <f>IF(PBH_RR!A97="","",IF(PBH_RR!E97="Both(FH+FC)",PBH_RR!P97,IF(OR(PBH_RR!E97="FH Matrix",PBH_RR!E97="FC Matrix"),INDEX(PBH_Lines!O:O,MATCH(PBH_RR!A97,PBH_Lines!M:M,0)),INDEX(SF_Data!U:U,MATCH(PBH_RR!D97,SF_Data!B:B,0)))))</f>
        <v/>
      </c>
      <c r="J97" t="str">
        <f t="shared" si="9"/>
        <v/>
      </c>
      <c r="K97" t="str">
        <f t="shared" si="10"/>
        <v/>
      </c>
      <c r="L97" t="str">
        <f t="shared" si="11"/>
        <v/>
      </c>
      <c r="M97" t="str">
        <f t="shared" si="12"/>
        <v/>
      </c>
      <c r="N97" t="str">
        <f t="shared" si="13"/>
        <v/>
      </c>
      <c r="O97" t="str">
        <f t="shared" si="14"/>
        <v/>
      </c>
      <c r="P97" t="str">
        <f t="shared" si="15"/>
        <v/>
      </c>
      <c r="Q97" t="str">
        <f t="shared" si="16"/>
        <v/>
      </c>
    </row>
    <row r="98" spans="1:17" x14ac:dyDescent="0.35">
      <c r="A98" t="str">
        <f>IF(PBH_RR!A98="","",IF(OR(PBH_RR!E98="FH Matrix", PBH_RR!E98="FC Matrix"),PBH_RR!C98,INDEX(SF_Data!D:D, MATCH(PBH_RR!D98, SF_Data!B:B, 0))))</f>
        <v/>
      </c>
      <c r="B98" t="str">
        <f>IF(PBH_RR!A98="","",IF(OR(PBH_RR!E98="FH Matrix",PBH_RR!E98="FC Matrix"),PBH_RR!G98,IF(INDEX(SF_Data!F:F,MATCH(PBH_RR!D98,SF_Data!B:B,0))="Greater(FH/FC)",IF(INDEX(SF_Data!M:M,MATCH(PBH_RR!D98,SF_Data!B:B,0))="FH",INDEX(SF_Data!Q:Q,MATCH(PBH_RR!D98,SF_Data!B:B,0)),""),IF(PBH_RR!E98="Both(FH+FC)",IF(PBH_RR!L98="FH",PBH_RR!G98,""),INDEX(SF_Data!Q:Q,MATCH(PBH_RR!D98,SF_Data!B:B,0))))))</f>
        <v/>
      </c>
      <c r="C98" t="str">
        <f>IF(PBH_RR!A98="","",IF(OR(PBH_RR!E98="FH Matrix",PBH_RR!E98="FC Matrix"),PBH_RR!H98,IF(INDEX(SF_Data!F:F,MATCH(PBH_RR!D98,SF_Data!B:B,0))="Greater(FH/FC)",IF(INDEX(SF_Data!M:M,MATCH(PBH_RR!D98,SF_Data!B:B,0))="FC",INDEX(SF_Data!R:R,MATCH(PBH_RR!D98,SF_Data!B:B,0)),""),IF(PBH_RR!E98="Both(FH+FC)",IF(PBH_RR!L98="FC",PBH_RR!H98,""),INDEX(SF_Data!R:R,MATCH(PBH_RR!D98,SF_Data!B:B,0))))))</f>
        <v/>
      </c>
      <c r="D98" t="str">
        <f>IF(PBH_RR!A98="","",IF(OR(PBH_RR!E98="Hourly",PBH_RR!E98="Cycle"),IF(INDEX(SF_Data!M:M,MATCH(PBH_RR!D98,SF_Data!B:B,0))="FH",INDEX(SF_Data!G:G,MATCH(PBH_RR!D98,SF_Data!B:B,0)),""),IF(PBH_RR!E98="Both(FH+FC)",IF(PBH_RR!L98="FH",PBH_RR!M98-PBH_RR!G98,""),IF(PBH_RR!E98="Greater(FH/FC)",IF(INDEX(SF_Data!M:M,MATCH(PBH_RR!D98,SF_Data!B:B,0))="FH",INDEX(SF_Data!G:G,MATCH(PBH_RR!D98,SF_Data!B:B,0))-INDEX(SF_Data!Q:Q,MATCH(PBH_RR!D98,SF_Data!B:B,0)),""),IF(INDEX(SF_Data!M:M,MATCH(PBH_RR!D98,SF_Data!B:B,0))="FH",INDEX(PBH_Lines!K:K,MATCH(PBH_RR!A98,PBH_Lines!M:M,0)),"")))))</f>
        <v/>
      </c>
      <c r="E98" t="str">
        <f>IF(PBH_RR!A98="","",IF(OR(PBH_RR!E98="Hourly",PBH_RR!E98="Cycle"),IF(INDEX(SF_Data!M:M,MATCH(PBH_RR!D98,SF_Data!B:B,0))="FC",INDEX(SF_Data!G:G,MATCH(PBH_RR!D98,SF_Data!B:B,0)),""),IF(PBH_RR!E98="Both(FH+FC)",IF(PBH_RR!L98="FC",PBH_RR!M98-PBH_RR!H98,""),IF(PBH_RR!E98="Greater(FH/FC)",IF(INDEX(SF_Data!M:M,MATCH(PBH_RR!D98,SF_Data!B:B,0))="FC",INDEX(SF_Data!G:G,MATCH(PBH_RR!D98,SF_Data!B:B,0))-INDEX(SF_Data!R:R,MATCH(PBH_RR!D98,SF_Data!B:B,0)),""),IF(INDEX(SF_Data!M:M,MATCH(PBH_RR!D98,SF_Data!B:B,0))="FC",INDEX(PBH_Lines!K:K,MATCH(PBH_RR!A98,PBH_Lines!M:M,0)),"")))))</f>
        <v/>
      </c>
      <c r="F98" t="str">
        <f>IF(PBH_RR!A98="","",IF(OR(PBH_RR!E98="FH Matrix",PBH_RR!E98="FC Matrix"),PBH_RR!I98,IF(INDEX(SF_Data!F:F,MATCH(PBH_RR!D98,SF_Data!B:B,0))="Greater(FH/FC)",IF(INDEX(SF_Data!M:M,MATCH(PBH_RR!D98,SF_Data!B:B,0))="FH",INDEX(SF_Data!S:S,MATCH(PBH_RR!D98,SF_Data!B:B,0)),""),IF(PBH_RR!E98="Both(FH+FC)",IF(PBH_RR!L98="FH",PBH_RR!I98,""),INDEX(SF_Data!S:S,MATCH(PBH_RR!D98,SF_Data!B:B,0))))))</f>
        <v/>
      </c>
      <c r="G98" t="str">
        <f>IF(PBH_RR!A98="","",IF(OR(PBH_RR!E98="FH Matrix",PBH_RR!E98="FC Matrix"),PBH_RR!J98,IF(INDEX(SF_Data!F:F,MATCH(PBH_RR!D98,SF_Data!B:B,0))="Greater(FH/FC)",IF(INDEX(SF_Data!M:M,MATCH(PBH_RR!D98,SF_Data!B:B,0))="FC",INDEX(SF_Data!T:T,MATCH(PBH_RR!D98,SF_Data!B:B,0)),""),IF(PBH_RR!E98="Both(FH+FC)",IF(PBH_RR!L98="FC",PBH_RR!J98,""),INDEX(SF_Data!T:T,MATCH(PBH_RR!D98,SF_Data!B:B,0))))))</f>
        <v/>
      </c>
      <c r="H98" t="str">
        <f>IF(PBH_RR!A98="","",IF(PBH_RR!E98="Both(FH+FC)",PBH_RR!P98,IF(OR(PBH_RR!E98="FH Matrix",PBH_RR!E98="FC Matrix"),INDEX(PBH_Lines!O:O,MATCH(PBH_RR!A98,PBH_Lines!M:M,0)),INDEX(SF_Data!U:U,MATCH(PBH_RR!D98,SF_Data!B:B,0)))))</f>
        <v/>
      </c>
      <c r="J98" t="str">
        <f t="shared" si="9"/>
        <v/>
      </c>
      <c r="K98" t="str">
        <f t="shared" si="10"/>
        <v/>
      </c>
      <c r="L98" t="str">
        <f t="shared" si="11"/>
        <v/>
      </c>
      <c r="M98" t="str">
        <f t="shared" si="12"/>
        <v/>
      </c>
      <c r="N98" t="str">
        <f t="shared" si="13"/>
        <v/>
      </c>
      <c r="O98" t="str">
        <f t="shared" si="14"/>
        <v/>
      </c>
      <c r="P98" t="str">
        <f t="shared" si="15"/>
        <v/>
      </c>
      <c r="Q98" t="str">
        <f t="shared" si="16"/>
        <v/>
      </c>
    </row>
    <row r="99" spans="1:17" x14ac:dyDescent="0.35">
      <c r="A99" t="str">
        <f>IF(PBH_RR!A99="","",IF(OR(PBH_RR!E99="FH Matrix", PBH_RR!E99="FC Matrix"),PBH_RR!C99,INDEX(SF_Data!D:D, MATCH(PBH_RR!D99, SF_Data!B:B, 0))))</f>
        <v/>
      </c>
      <c r="B99" t="str">
        <f>IF(PBH_RR!A99="","",IF(OR(PBH_RR!E99="FH Matrix",PBH_RR!E99="FC Matrix"),PBH_RR!G99,IF(INDEX(SF_Data!F:F,MATCH(PBH_RR!D99,SF_Data!B:B,0))="Greater(FH/FC)",IF(INDEX(SF_Data!M:M,MATCH(PBH_RR!D99,SF_Data!B:B,0))="FH",INDEX(SF_Data!Q:Q,MATCH(PBH_RR!D99,SF_Data!B:B,0)),""),IF(PBH_RR!E99="Both(FH+FC)",IF(PBH_RR!L99="FH",PBH_RR!G99,""),INDEX(SF_Data!Q:Q,MATCH(PBH_RR!D99,SF_Data!B:B,0))))))</f>
        <v/>
      </c>
      <c r="C99" t="str">
        <f>IF(PBH_RR!A99="","",IF(OR(PBH_RR!E99="FH Matrix",PBH_RR!E99="FC Matrix"),PBH_RR!H99,IF(INDEX(SF_Data!F:F,MATCH(PBH_RR!D99,SF_Data!B:B,0))="Greater(FH/FC)",IF(INDEX(SF_Data!M:M,MATCH(PBH_RR!D99,SF_Data!B:B,0))="FC",INDEX(SF_Data!R:R,MATCH(PBH_RR!D99,SF_Data!B:B,0)),""),IF(PBH_RR!E99="Both(FH+FC)",IF(PBH_RR!L99="FC",PBH_RR!H99,""),INDEX(SF_Data!R:R,MATCH(PBH_RR!D99,SF_Data!B:B,0))))))</f>
        <v/>
      </c>
      <c r="D99" t="str">
        <f>IF(PBH_RR!A99="","",IF(OR(PBH_RR!E99="Hourly",PBH_RR!E99="Cycle"),IF(INDEX(SF_Data!M:M,MATCH(PBH_RR!D99,SF_Data!B:B,0))="FH",INDEX(SF_Data!G:G,MATCH(PBH_RR!D99,SF_Data!B:B,0)),""),IF(PBH_RR!E99="Both(FH+FC)",IF(PBH_RR!L99="FH",PBH_RR!M99-PBH_RR!G99,""),IF(PBH_RR!E99="Greater(FH/FC)",IF(INDEX(SF_Data!M:M,MATCH(PBH_RR!D99,SF_Data!B:B,0))="FH",INDEX(SF_Data!G:G,MATCH(PBH_RR!D99,SF_Data!B:B,0))-INDEX(SF_Data!Q:Q,MATCH(PBH_RR!D99,SF_Data!B:B,0)),""),IF(INDEX(SF_Data!M:M,MATCH(PBH_RR!D99,SF_Data!B:B,0))="FH",INDEX(PBH_Lines!K:K,MATCH(PBH_RR!A99,PBH_Lines!M:M,0)),"")))))</f>
        <v/>
      </c>
      <c r="E99" t="str">
        <f>IF(PBH_RR!A99="","",IF(OR(PBH_RR!E99="Hourly",PBH_RR!E99="Cycle"),IF(INDEX(SF_Data!M:M,MATCH(PBH_RR!D99,SF_Data!B:B,0))="FC",INDEX(SF_Data!G:G,MATCH(PBH_RR!D99,SF_Data!B:B,0)),""),IF(PBH_RR!E99="Both(FH+FC)",IF(PBH_RR!L99="FC",PBH_RR!M99-PBH_RR!H99,""),IF(PBH_RR!E99="Greater(FH/FC)",IF(INDEX(SF_Data!M:M,MATCH(PBH_RR!D99,SF_Data!B:B,0))="FC",INDEX(SF_Data!G:G,MATCH(PBH_RR!D99,SF_Data!B:B,0))-INDEX(SF_Data!R:R,MATCH(PBH_RR!D99,SF_Data!B:B,0)),""),IF(INDEX(SF_Data!M:M,MATCH(PBH_RR!D99,SF_Data!B:B,0))="FC",INDEX(PBH_Lines!K:K,MATCH(PBH_RR!A99,PBH_Lines!M:M,0)),"")))))</f>
        <v/>
      </c>
      <c r="F99" t="str">
        <f>IF(PBH_RR!A99="","",IF(OR(PBH_RR!E99="FH Matrix",PBH_RR!E99="FC Matrix"),PBH_RR!I99,IF(INDEX(SF_Data!F:F,MATCH(PBH_RR!D99,SF_Data!B:B,0))="Greater(FH/FC)",IF(INDEX(SF_Data!M:M,MATCH(PBH_RR!D99,SF_Data!B:B,0))="FH",INDEX(SF_Data!S:S,MATCH(PBH_RR!D99,SF_Data!B:B,0)),""),IF(PBH_RR!E99="Both(FH+FC)",IF(PBH_RR!L99="FH",PBH_RR!I99,""),INDEX(SF_Data!S:S,MATCH(PBH_RR!D99,SF_Data!B:B,0))))))</f>
        <v/>
      </c>
      <c r="G99" t="str">
        <f>IF(PBH_RR!A99="","",IF(OR(PBH_RR!E99="FH Matrix",PBH_RR!E99="FC Matrix"),PBH_RR!J99,IF(INDEX(SF_Data!F:F,MATCH(PBH_RR!D99,SF_Data!B:B,0))="Greater(FH/FC)",IF(INDEX(SF_Data!M:M,MATCH(PBH_RR!D99,SF_Data!B:B,0))="FC",INDEX(SF_Data!T:T,MATCH(PBH_RR!D99,SF_Data!B:B,0)),""),IF(PBH_RR!E99="Both(FH+FC)",IF(PBH_RR!L99="FC",PBH_RR!J99,""),INDEX(SF_Data!T:T,MATCH(PBH_RR!D99,SF_Data!B:B,0))))))</f>
        <v/>
      </c>
      <c r="H99" t="str">
        <f>IF(PBH_RR!A99="","",IF(PBH_RR!E99="Both(FH+FC)",PBH_RR!P99,IF(OR(PBH_RR!E99="FH Matrix",PBH_RR!E99="FC Matrix"),INDEX(PBH_Lines!O:O,MATCH(PBH_RR!A99,PBH_Lines!M:M,0)),INDEX(SF_Data!U:U,MATCH(PBH_RR!D99,SF_Data!B:B,0)))))</f>
        <v/>
      </c>
      <c r="J99" t="str">
        <f t="shared" si="9"/>
        <v/>
      </c>
      <c r="K99" t="str">
        <f t="shared" si="10"/>
        <v/>
      </c>
      <c r="L99" t="str">
        <f t="shared" si="11"/>
        <v/>
      </c>
      <c r="M99" t="str">
        <f t="shared" si="12"/>
        <v/>
      </c>
      <c r="N99" t="str">
        <f t="shared" si="13"/>
        <v/>
      </c>
      <c r="O99" t="str">
        <f t="shared" si="14"/>
        <v/>
      </c>
      <c r="P99" t="str">
        <f t="shared" si="15"/>
        <v/>
      </c>
      <c r="Q99" t="str">
        <f t="shared" si="16"/>
        <v/>
      </c>
    </row>
    <row r="100" spans="1:17" x14ac:dyDescent="0.35">
      <c r="A100" t="str">
        <f>IF(PBH_RR!A100="","",IF(OR(PBH_RR!E100="FH Matrix", PBH_RR!E100="FC Matrix"),PBH_RR!C100,INDEX(SF_Data!D:D, MATCH(PBH_RR!D100, SF_Data!B:B, 0))))</f>
        <v/>
      </c>
      <c r="B100" t="str">
        <f>IF(PBH_RR!A100="","",IF(OR(PBH_RR!E100="FH Matrix",PBH_RR!E100="FC Matrix"),PBH_RR!G100,IF(INDEX(SF_Data!F:F,MATCH(PBH_RR!D100,SF_Data!B:B,0))="Greater(FH/FC)",IF(INDEX(SF_Data!M:M,MATCH(PBH_RR!D100,SF_Data!B:B,0))="FH",INDEX(SF_Data!Q:Q,MATCH(PBH_RR!D100,SF_Data!B:B,0)),""),IF(PBH_RR!E100="Both(FH+FC)",IF(PBH_RR!L100="FH",PBH_RR!G100,""),INDEX(SF_Data!Q:Q,MATCH(PBH_RR!D100,SF_Data!B:B,0))))))</f>
        <v/>
      </c>
      <c r="C100" t="str">
        <f>IF(PBH_RR!A100="","",IF(OR(PBH_RR!E100="FH Matrix",PBH_RR!E100="FC Matrix"),PBH_RR!H100,IF(INDEX(SF_Data!F:F,MATCH(PBH_RR!D100,SF_Data!B:B,0))="Greater(FH/FC)",IF(INDEX(SF_Data!M:M,MATCH(PBH_RR!D100,SF_Data!B:B,0))="FC",INDEX(SF_Data!R:R,MATCH(PBH_RR!D100,SF_Data!B:B,0)),""),IF(PBH_RR!E100="Both(FH+FC)",IF(PBH_RR!L100="FC",PBH_RR!H100,""),INDEX(SF_Data!R:R,MATCH(PBH_RR!D100,SF_Data!B:B,0))))))</f>
        <v/>
      </c>
      <c r="D100" t="str">
        <f>IF(PBH_RR!A100="","",IF(OR(PBH_RR!E100="Hourly",PBH_RR!E100="Cycle"),IF(INDEX(SF_Data!M:M,MATCH(PBH_RR!D100,SF_Data!B:B,0))="FH",INDEX(SF_Data!G:G,MATCH(PBH_RR!D100,SF_Data!B:B,0)),""),IF(PBH_RR!E100="Both(FH+FC)",IF(PBH_RR!L100="FH",PBH_RR!M100-PBH_RR!G100,""),IF(PBH_RR!E100="Greater(FH/FC)",IF(INDEX(SF_Data!M:M,MATCH(PBH_RR!D100,SF_Data!B:B,0))="FH",INDEX(SF_Data!G:G,MATCH(PBH_RR!D100,SF_Data!B:B,0))-INDEX(SF_Data!Q:Q,MATCH(PBH_RR!D100,SF_Data!B:B,0)),""),IF(INDEX(SF_Data!M:M,MATCH(PBH_RR!D100,SF_Data!B:B,0))="FH",INDEX(PBH_Lines!K:K,MATCH(PBH_RR!A100,PBH_Lines!M:M,0)),"")))))</f>
        <v/>
      </c>
      <c r="E100" t="str">
        <f>IF(PBH_RR!A100="","",IF(OR(PBH_RR!E100="Hourly",PBH_RR!E100="Cycle"),IF(INDEX(SF_Data!M:M,MATCH(PBH_RR!D100,SF_Data!B:B,0))="FC",INDEX(SF_Data!G:G,MATCH(PBH_RR!D100,SF_Data!B:B,0)),""),IF(PBH_RR!E100="Both(FH+FC)",IF(PBH_RR!L100="FC",PBH_RR!M100-PBH_RR!H100,""),IF(PBH_RR!E100="Greater(FH/FC)",IF(INDEX(SF_Data!M:M,MATCH(PBH_RR!D100,SF_Data!B:B,0))="FC",INDEX(SF_Data!G:G,MATCH(PBH_RR!D100,SF_Data!B:B,0))-INDEX(SF_Data!R:R,MATCH(PBH_RR!D100,SF_Data!B:B,0)),""),IF(INDEX(SF_Data!M:M,MATCH(PBH_RR!D100,SF_Data!B:B,0))="FC",INDEX(PBH_Lines!K:K,MATCH(PBH_RR!A100,PBH_Lines!M:M,0)),"")))))</f>
        <v/>
      </c>
      <c r="F100" t="str">
        <f>IF(PBH_RR!A100="","",IF(OR(PBH_RR!E100="FH Matrix",PBH_RR!E100="FC Matrix"),PBH_RR!I100,IF(INDEX(SF_Data!F:F,MATCH(PBH_RR!D100,SF_Data!B:B,0))="Greater(FH/FC)",IF(INDEX(SF_Data!M:M,MATCH(PBH_RR!D100,SF_Data!B:B,0))="FH",INDEX(SF_Data!S:S,MATCH(PBH_RR!D100,SF_Data!B:B,0)),""),IF(PBH_RR!E100="Both(FH+FC)",IF(PBH_RR!L100="FH",PBH_RR!I100,""),INDEX(SF_Data!S:S,MATCH(PBH_RR!D100,SF_Data!B:B,0))))))</f>
        <v/>
      </c>
      <c r="G100" t="str">
        <f>IF(PBH_RR!A100="","",IF(OR(PBH_RR!E100="FH Matrix",PBH_RR!E100="FC Matrix"),PBH_RR!J100,IF(INDEX(SF_Data!F:F,MATCH(PBH_RR!D100,SF_Data!B:B,0))="Greater(FH/FC)",IF(INDEX(SF_Data!M:M,MATCH(PBH_RR!D100,SF_Data!B:B,0))="FC",INDEX(SF_Data!T:T,MATCH(PBH_RR!D100,SF_Data!B:B,0)),""),IF(PBH_RR!E100="Both(FH+FC)",IF(PBH_RR!L100="FC",PBH_RR!J100,""),INDEX(SF_Data!T:T,MATCH(PBH_RR!D100,SF_Data!B:B,0))))))</f>
        <v/>
      </c>
      <c r="H100" t="str">
        <f>IF(PBH_RR!A100="","",IF(PBH_RR!E100="Both(FH+FC)",PBH_RR!P100,IF(OR(PBH_RR!E100="FH Matrix",PBH_RR!E100="FC Matrix"),INDEX(PBH_Lines!O:O,MATCH(PBH_RR!A100,PBH_Lines!M:M,0)),INDEX(SF_Data!U:U,MATCH(PBH_RR!D100,SF_Data!B:B,0)))))</f>
        <v/>
      </c>
      <c r="J100" t="str">
        <f t="shared" si="9"/>
        <v/>
      </c>
      <c r="K100" t="str">
        <f t="shared" si="10"/>
        <v/>
      </c>
      <c r="L100" t="str">
        <f t="shared" si="11"/>
        <v/>
      </c>
      <c r="M100" t="str">
        <f t="shared" si="12"/>
        <v/>
      </c>
      <c r="N100" t="str">
        <f t="shared" si="13"/>
        <v/>
      </c>
      <c r="O100" t="str">
        <f t="shared" si="14"/>
        <v/>
      </c>
      <c r="P100" t="str">
        <f t="shared" si="15"/>
        <v/>
      </c>
      <c r="Q100" t="str">
        <f t="shared" si="16"/>
        <v/>
      </c>
    </row>
    <row r="101" spans="1:17" x14ac:dyDescent="0.35">
      <c r="H101" t="str">
        <f>IF(PBH_RR!A101="","",IF(PBH_RR!E101="Both(FH+FC)",PBH_RR!P101,IF(OR(PBH_RR!E101="FH Matrix",PBH_RR!E101="FC Matrix"),INDEX(PBH_Lines!O:O,MATCH(PBH_RR!A101,PBH_Lines!M:M,0)),INDEX(SF_Data!U:U,MATCH(PBH_RR!D101,SF_Data!B:B,0)))))</f>
        <v/>
      </c>
    </row>
    <row r="102" spans="1:17" x14ac:dyDescent="0.35">
      <c r="H102" t="str">
        <f>IF(PBH_RR!A102="","",IF(PBH_RR!E102="Both(FH+FC)",PBH_RR!P102,IF(OR(PBH_RR!E102="FH Matrix",PBH_RR!E102="FC Matrix"),INDEX(PBH_Lines!O:O,MATCH(PBH_RR!A102,PBH_Lines!M:M,0)),INDEX(SF_Data!U:U,MATCH(PBH_RR!D102,SF_Data!B:B,0)))))</f>
        <v/>
      </c>
    </row>
    <row r="103" spans="1:17" x14ac:dyDescent="0.35">
      <c r="H103" t="str">
        <f>IF(PBH_RR!A103="","",IF(PBH_RR!E103="Both(FH+FC)",PBH_RR!P103,IF(OR(PBH_RR!E103="FH Matrix",PBH_RR!E103="FC Matrix"),INDEX(PBH_Lines!O:O,MATCH(PBH_RR!A103,PBH_Lines!M:M,0)),INDEX(SF_Data!U:U,MATCH(PBH_RR!D103,SF_Data!B:B,0)))))</f>
        <v/>
      </c>
    </row>
    <row r="104" spans="1:17" x14ac:dyDescent="0.35">
      <c r="H104" t="str">
        <f>IF(PBH_RR!A104="","",IF(PBH_RR!E104="Both(FH+FC)",PBH_RR!P104,IF(OR(PBH_RR!E104="FH Matrix",PBH_RR!E104="FC Matrix"),INDEX(PBH_Lines!O:O,MATCH(PBH_RR!A104,PBH_Lines!M:M,0)),INDEX(SF_Data!U:U,MATCH(PBH_RR!D104,SF_Data!B:B,0)))))</f>
        <v/>
      </c>
    </row>
    <row r="105" spans="1:17" x14ac:dyDescent="0.35">
      <c r="H105" t="str">
        <f>IF(PBH_RR!A105="","",IF(PBH_RR!E105="Both(FH+FC)",PBH_RR!P105,IF(OR(PBH_RR!E105="FH Matrix",PBH_RR!E105="FC Matrix"),INDEX(PBH_Lines!O:O,MATCH(PBH_RR!A105,PBH_Lines!M:M,0)),INDEX(SF_Data!U:U,MATCH(PBH_RR!D105,SF_Data!B:B,0)))))</f>
        <v/>
      </c>
    </row>
    <row r="106" spans="1:17" x14ac:dyDescent="0.35">
      <c r="H106" t="str">
        <f>IF(PBH_RR!A106="","",IF(PBH_RR!E106="Both(FH+FC)",PBH_RR!P106,IF(OR(PBH_RR!E106="FH Matrix",PBH_RR!E106="FC Matrix"),INDEX(PBH_Lines!O:O,MATCH(PBH_RR!A106,PBH_Lines!M:M,0)),INDEX(SF_Data!U:U,MATCH(PBH_RR!D106,SF_Data!B:B,0)))))</f>
        <v/>
      </c>
    </row>
    <row r="107" spans="1:17" x14ac:dyDescent="0.35">
      <c r="H107" t="str">
        <f>IF(PBH_RR!A107="","",IF(PBH_RR!E107="Both(FH+FC)",PBH_RR!P107,IF(OR(PBH_RR!E107="FH Matrix",PBH_RR!E107="FC Matrix"),INDEX(PBH_Lines!O:O,MATCH(PBH_RR!A107,PBH_Lines!M:M,0)),INDEX(SF_Data!U:U,MATCH(PBH_RR!D107,SF_Data!B:B,0)))))</f>
        <v/>
      </c>
    </row>
    <row r="108" spans="1:17" x14ac:dyDescent="0.35">
      <c r="H108" t="str">
        <f>IF(PBH_RR!A108="","",IF(PBH_RR!E108="Both(FH+FC)",PBH_RR!P108,IF(OR(PBH_RR!E108="FH Matrix",PBH_RR!E108="FC Matrix"),INDEX(PBH_Lines!O:O,MATCH(PBH_RR!A108,PBH_Lines!M:M,0)),INDEX(SF_Data!U:U,MATCH(PBH_RR!D108,SF_Data!B:B,0)))))</f>
        <v/>
      </c>
    </row>
    <row r="109" spans="1:17" x14ac:dyDescent="0.35">
      <c r="H109" t="str">
        <f>IF(PBH_RR!A109="","",IF(PBH_RR!E109="Both(FH+FC)",PBH_RR!P109,IF(OR(PBH_RR!E109="FH Matrix",PBH_RR!E109="FC Matrix"),INDEX(PBH_Lines!O:O,MATCH(PBH_RR!A109,PBH_Lines!M:M,0)),INDEX(SF_Data!U:U,MATCH(PBH_RR!D109,SF_Data!B:B,0)))))</f>
        <v/>
      </c>
    </row>
    <row r="110" spans="1:17" x14ac:dyDescent="0.35">
      <c r="H110" t="str">
        <f>IF(PBH_RR!A110="","",IF(PBH_RR!E110="Both(FH+FC)",PBH_RR!P110,IF(OR(PBH_RR!E110="FH Matrix",PBH_RR!E110="FC Matrix"),INDEX(PBH_Lines!O:O,MATCH(PBH_RR!A110,PBH_Lines!M:M,0)),INDEX(SF_Data!U:U,MATCH(PBH_RR!D110,SF_Data!B:B,0)))))</f>
        <v/>
      </c>
    </row>
    <row r="111" spans="1:17" x14ac:dyDescent="0.35">
      <c r="H111" t="str">
        <f>IF(PBH_RR!A111="","",IF(PBH_RR!E111="Both(FH+FC)",PBH_RR!P111,IF(OR(PBH_RR!E111="FH Matrix",PBH_RR!E111="FC Matrix"),INDEX(PBH_Lines!O:O,MATCH(PBH_RR!A111,PBH_Lines!M:M,0)),INDEX(SF_Data!U:U,MATCH(PBH_RR!D111,SF_Data!B:B,0)))))</f>
        <v/>
      </c>
    </row>
    <row r="112" spans="1:17" x14ac:dyDescent="0.35">
      <c r="H112" t="str">
        <f>IF(PBH_RR!A112="","",IF(PBH_RR!E112="Both(FH+FC)",PBH_RR!P112,IF(OR(PBH_RR!E112="FH Matrix",PBH_RR!E112="FC Matrix"),INDEX(PBH_Lines!O:O,MATCH(PBH_RR!A112,PBH_Lines!M:M,0)),INDEX(SF_Data!U:U,MATCH(PBH_RR!D112,SF_Data!B:B,0)))))</f>
        <v/>
      </c>
    </row>
    <row r="113" spans="8:8" x14ac:dyDescent="0.35">
      <c r="H113" t="str">
        <f>IF(PBH_RR!A113="","",IF(PBH_RR!E113="Both(FH+FC)",PBH_RR!P113,IF(OR(PBH_RR!E113="FH Matrix",PBH_RR!E113="FC Matrix"),INDEX(PBH_Lines!O:O,MATCH(PBH_RR!A113,PBH_Lines!M:M,0)),INDEX(SF_Data!U:U,MATCH(PBH_RR!D113,SF_Data!B:B,0)))))</f>
        <v/>
      </c>
    </row>
    <row r="114" spans="8:8" x14ac:dyDescent="0.35">
      <c r="H114" t="str">
        <f>IF(PBH_RR!A114="","",IF(PBH_RR!E114="Both(FH+FC)",PBH_RR!P114,IF(OR(PBH_RR!E114="FH Matrix",PBH_RR!E114="FC Matrix"),INDEX(PBH_Lines!O:O,MATCH(PBH_RR!A114,PBH_Lines!M:M,0)),INDEX(SF_Data!U:U,MATCH(PBH_RR!D114,SF_Data!B:B,0)))))</f>
        <v/>
      </c>
    </row>
    <row r="115" spans="8:8" x14ac:dyDescent="0.35">
      <c r="H115" t="str">
        <f>IF(PBH_RR!A115="","",IF(PBH_RR!E115="Both(FH+FC)",PBH_RR!P115,IF(OR(PBH_RR!E115="FH Matrix",PBH_RR!E115="FC Matrix"),INDEX(PBH_Lines!O:O,MATCH(PBH_RR!A115,PBH_Lines!M:M,0)),INDEX(SF_Data!U:U,MATCH(PBH_RR!D115,SF_Data!B:B,0)))))</f>
        <v/>
      </c>
    </row>
    <row r="116" spans="8:8" x14ac:dyDescent="0.35">
      <c r="H116" t="str">
        <f>IF(PBH_RR!A116="","",IF(PBH_RR!E116="Both(FH+FC)",PBH_RR!P116,IF(OR(PBH_RR!E116="FH Matrix",PBH_RR!E116="FC Matrix"),INDEX(PBH_Lines!O:O,MATCH(PBH_RR!A116,PBH_Lines!M:M,0)),INDEX(SF_Data!U:U,MATCH(PBH_RR!D116,SF_Data!B:B,0)))))</f>
        <v/>
      </c>
    </row>
    <row r="117" spans="8:8" x14ac:dyDescent="0.35">
      <c r="H117" t="str">
        <f>IF(PBH_RR!A117="","",IF(PBH_RR!E117="Both(FH+FC)",PBH_RR!P117,IF(OR(PBH_RR!E117="FH Matrix",PBH_RR!E117="FC Matrix"),INDEX(PBH_Lines!O:O,MATCH(PBH_RR!A117,PBH_Lines!M:M,0)),INDEX(SF_Data!U:U,MATCH(PBH_RR!D117,SF_Data!B:B,0)))))</f>
        <v/>
      </c>
    </row>
    <row r="118" spans="8:8" x14ac:dyDescent="0.35">
      <c r="H118" t="str">
        <f>IF(PBH_RR!A118="","",IF(PBH_RR!E118="Both(FH+FC)",PBH_RR!P118,IF(OR(PBH_RR!E118="FH Matrix",PBH_RR!E118="FC Matrix"),INDEX(PBH_Lines!O:O,MATCH(PBH_RR!A118,PBH_Lines!M:M,0)),INDEX(SF_Data!U:U,MATCH(PBH_RR!D118,SF_Data!B:B,0)))))</f>
        <v/>
      </c>
    </row>
    <row r="119" spans="8:8" x14ac:dyDescent="0.35">
      <c r="H119" t="str">
        <f>IF(PBH_RR!A119="","",IF(PBH_RR!E119="Both(FH+FC)",PBH_RR!P119,IF(OR(PBH_RR!E119="FH Matrix",PBH_RR!E119="FC Matrix"),INDEX(PBH_Lines!O:O,MATCH(PBH_RR!A119,PBH_Lines!M:M,0)),INDEX(SF_Data!U:U,MATCH(PBH_RR!D119,SF_Data!B:B,0)))))</f>
        <v/>
      </c>
    </row>
    <row r="120" spans="8:8" x14ac:dyDescent="0.35">
      <c r="H120" t="str">
        <f>IF(PBH_RR!A120="","",IF(PBH_RR!E120="Both(FH+FC)",PBH_RR!P120,IF(OR(PBH_RR!E120="FH Matrix",PBH_RR!E120="FC Matrix"),INDEX(PBH_Lines!O:O,MATCH(PBH_RR!A120,PBH_Lines!M:M,0)),INDEX(SF_Data!U:U,MATCH(PBH_RR!D120,SF_Data!B:B,0)))))</f>
        <v/>
      </c>
    </row>
    <row r="121" spans="8:8" x14ac:dyDescent="0.35">
      <c r="H121" t="str">
        <f>IF(PBH_RR!A121="","",IF(PBH_RR!E121="Both(FH+FC)",PBH_RR!P121,IF(OR(PBH_RR!E121="FH Matrix",PBH_RR!E121="FC Matrix"),INDEX(PBH_Lines!O:O,MATCH(PBH_RR!A121,PBH_Lines!M:M,0)),INDEX(SF_Data!U:U,MATCH(PBH_RR!D121,SF_Data!B:B,0)))))</f>
        <v/>
      </c>
    </row>
    <row r="122" spans="8:8" x14ac:dyDescent="0.35">
      <c r="H122" t="str">
        <f>IF(PBH_RR!A122="","",IF(PBH_RR!E122="Both(FH+FC)",PBH_RR!P122,IF(OR(PBH_RR!E122="FH Matrix",PBH_RR!E122="FC Matrix"),INDEX(PBH_Lines!O:O,MATCH(PBH_RR!A122,PBH_Lines!M:M,0)),INDEX(SF_Data!U:U,MATCH(PBH_RR!D122,SF_Data!B:B,0)))))</f>
        <v/>
      </c>
    </row>
    <row r="123" spans="8:8" x14ac:dyDescent="0.35">
      <c r="H123" t="str">
        <f>IF(PBH_RR!A123="","",IF(PBH_RR!E123="Both(FH+FC)",PBH_RR!P123,IF(OR(PBH_RR!E123="FH Matrix",PBH_RR!E123="FC Matrix"),INDEX(PBH_Lines!O:O,MATCH(PBH_RR!A123,PBH_Lines!M:M,0)),INDEX(SF_Data!U:U,MATCH(PBH_RR!D123,SF_Data!B:B,0)))))</f>
        <v/>
      </c>
    </row>
    <row r="124" spans="8:8" x14ac:dyDescent="0.35">
      <c r="H124" t="str">
        <f>IF(PBH_RR!A124="","",IF(PBH_RR!E124="Both(FH+FC)",PBH_RR!P124,IF(OR(PBH_RR!E124="FH Matrix",PBH_RR!E124="FC Matrix"),INDEX(PBH_Lines!O:O,MATCH(PBH_RR!A124,PBH_Lines!M:M,0)),INDEX(SF_Data!U:U,MATCH(PBH_RR!D124,SF_Data!B:B,0)))))</f>
        <v/>
      </c>
    </row>
    <row r="125" spans="8:8" x14ac:dyDescent="0.35">
      <c r="H125" t="str">
        <f>IF(PBH_RR!A125="","",IF(PBH_RR!E125="Both(FH+FC)",PBH_RR!P125,IF(OR(PBH_RR!E125="FH Matrix",PBH_RR!E125="FC Matrix"),INDEX(PBH_Lines!O:O,MATCH(PBH_RR!A125,PBH_Lines!M:M,0)),INDEX(SF_Data!U:U,MATCH(PBH_RR!D125,SF_Data!B:B,0)))))</f>
        <v/>
      </c>
    </row>
    <row r="126" spans="8:8" x14ac:dyDescent="0.35">
      <c r="H126" t="str">
        <f>IF(PBH_RR!A126="","",IF(PBH_RR!E126="Both(FH+FC)",PBH_RR!P126,IF(OR(PBH_RR!E126="FH Matrix",PBH_RR!E126="FC Matrix"),INDEX(PBH_Lines!O:O,MATCH(PBH_RR!A126,PBH_Lines!M:M,0)),INDEX(SF_Data!U:U,MATCH(PBH_RR!D126,SF_Data!B:B,0)))))</f>
        <v/>
      </c>
    </row>
    <row r="127" spans="8:8" x14ac:dyDescent="0.35">
      <c r="H127" t="str">
        <f>IF(PBH_RR!A127="","",IF(PBH_RR!E127="Both(FH+FC)",PBH_RR!P127,IF(OR(PBH_RR!E127="FH Matrix",PBH_RR!E127="FC Matrix"),INDEX(PBH_Lines!O:O,MATCH(PBH_RR!A127,PBH_Lines!M:M,0)),INDEX(SF_Data!U:U,MATCH(PBH_RR!D127,SF_Data!B:B,0)))))</f>
        <v/>
      </c>
    </row>
    <row r="128" spans="8:8" x14ac:dyDescent="0.35">
      <c r="H128" t="str">
        <f>IF(PBH_RR!A128="","",IF(PBH_RR!E128="Both(FH+FC)",PBH_RR!P128,IF(OR(PBH_RR!E128="FH Matrix",PBH_RR!E128="FC Matrix"),INDEX(PBH_Lines!O:O,MATCH(PBH_RR!A128,PBH_Lines!M:M,0)),INDEX(SF_Data!U:U,MATCH(PBH_RR!D128,SF_Data!B:B,0)))))</f>
        <v/>
      </c>
    </row>
    <row r="129" spans="8:8" x14ac:dyDescent="0.35">
      <c r="H129" t="str">
        <f>IF(PBH_RR!A129="","",IF(PBH_RR!E129="Both(FH+FC)",PBH_RR!P129,IF(OR(PBH_RR!E129="FH Matrix",PBH_RR!E129="FC Matrix"),INDEX(PBH_Lines!O:O,MATCH(PBH_RR!A129,PBH_Lines!M:M,0)),INDEX(SF_Data!U:U,MATCH(PBH_RR!D129,SF_Data!B:B,0)))))</f>
        <v/>
      </c>
    </row>
    <row r="130" spans="8:8" x14ac:dyDescent="0.35">
      <c r="H130" t="str">
        <f>IF(PBH_RR!A130="","",IF(PBH_RR!E130="Both(FH+FC)",PBH_RR!P130,IF(OR(PBH_RR!E130="FH Matrix",PBH_RR!E130="FC Matrix"),INDEX(PBH_Lines!O:O,MATCH(PBH_RR!A130,PBH_Lines!M:M,0)),INDEX(SF_Data!U:U,MATCH(PBH_RR!D130,SF_Data!B:B,0)))))</f>
        <v/>
      </c>
    </row>
    <row r="131" spans="8:8" x14ac:dyDescent="0.35">
      <c r="H131" t="str">
        <f>IF(PBH_RR!A131="","",IF(PBH_RR!E131="Both(FH+FC)",PBH_RR!P131,IF(OR(PBH_RR!E131="FH Matrix",PBH_RR!E131="FC Matrix"),INDEX(PBH_Lines!O:O,MATCH(PBH_RR!A131,PBH_Lines!M:M,0)),INDEX(SF_Data!U:U,MATCH(PBH_RR!D131,SF_Data!B:B,0)))))</f>
        <v/>
      </c>
    </row>
    <row r="132" spans="8:8" x14ac:dyDescent="0.35">
      <c r="H132" t="str">
        <f>IF(PBH_RR!A132="","",IF(PBH_RR!E132="Both(FH+FC)",PBH_RR!P132,IF(OR(PBH_RR!E132="FH Matrix",PBH_RR!E132="FC Matrix"),INDEX(PBH_Lines!O:O,MATCH(PBH_RR!A132,PBH_Lines!M:M,0)),INDEX(SF_Data!U:U,MATCH(PBH_RR!D132,SF_Data!B:B,0)))))</f>
        <v/>
      </c>
    </row>
    <row r="133" spans="8:8" x14ac:dyDescent="0.35">
      <c r="H133" t="str">
        <f>IF(PBH_RR!A133="","",IF(PBH_RR!E133="Both(FH+FC)",PBH_RR!P133,IF(OR(PBH_RR!E133="FH Matrix",PBH_RR!E133="FC Matrix"),INDEX(PBH_Lines!O:O,MATCH(PBH_RR!A133,PBH_Lines!M:M,0)),INDEX(SF_Data!U:U,MATCH(PBH_RR!D133,SF_Data!B:B,0)))))</f>
        <v/>
      </c>
    </row>
    <row r="134" spans="8:8" x14ac:dyDescent="0.35">
      <c r="H134" t="str">
        <f>IF(PBH_RR!A134="","",IF(PBH_RR!E134="Both(FH+FC)",PBH_RR!P134,IF(OR(PBH_RR!E134="FH Matrix",PBH_RR!E134="FC Matrix"),INDEX(PBH_Lines!O:O,MATCH(PBH_RR!A134,PBH_Lines!M:M,0)),INDEX(SF_Data!U:U,MATCH(PBH_RR!D134,SF_Data!B:B,0)))))</f>
        <v/>
      </c>
    </row>
    <row r="135" spans="8:8" x14ac:dyDescent="0.35">
      <c r="H135" t="str">
        <f>IF(PBH_RR!A135="","",IF(PBH_RR!E135="Both(FH+FC)",PBH_RR!P135,IF(OR(PBH_RR!E135="FH Matrix",PBH_RR!E135="FC Matrix"),INDEX(PBH_Lines!O:O,MATCH(PBH_RR!A135,PBH_Lines!M:M,0)),INDEX(SF_Data!U:U,MATCH(PBH_RR!D135,SF_Data!B:B,0)))))</f>
        <v/>
      </c>
    </row>
    <row r="136" spans="8:8" x14ac:dyDescent="0.35">
      <c r="H136" t="str">
        <f>IF(PBH_RR!A136="","",IF(PBH_RR!E136="Both(FH+FC)",PBH_RR!P136,IF(OR(PBH_RR!E136="FH Matrix",PBH_RR!E136="FC Matrix"),INDEX(PBH_Lines!O:O,MATCH(PBH_RR!A136,PBH_Lines!M:M,0)),INDEX(SF_Data!U:U,MATCH(PBH_RR!D136,SF_Data!B:B,0)))))</f>
        <v/>
      </c>
    </row>
    <row r="137" spans="8:8" x14ac:dyDescent="0.35">
      <c r="H137" t="str">
        <f>IF(PBH_RR!A137="","",IF(PBH_RR!E137="Both(FH+FC)",PBH_RR!P137,IF(OR(PBH_RR!E137="FH Matrix",PBH_RR!E137="FC Matrix"),INDEX(PBH_Lines!O:O,MATCH(PBH_RR!A137,PBH_Lines!M:M,0)),INDEX(SF_Data!U:U,MATCH(PBH_RR!D137,SF_Data!B:B,0)))))</f>
        <v/>
      </c>
    </row>
    <row r="138" spans="8:8" x14ac:dyDescent="0.35">
      <c r="H138" t="str">
        <f>IF(PBH_RR!A138="","",IF(PBH_RR!E138="Both(FH+FC)",PBH_RR!P138,IF(OR(PBH_RR!E138="FH Matrix",PBH_RR!E138="FC Matrix"),INDEX(PBH_Lines!O:O,MATCH(PBH_RR!A138,PBH_Lines!M:M,0)),INDEX(SF_Data!U:U,MATCH(PBH_RR!D138,SF_Data!B:B,0)))))</f>
        <v/>
      </c>
    </row>
    <row r="139" spans="8:8" x14ac:dyDescent="0.35">
      <c r="H139" t="str">
        <f>IF(PBH_RR!A139="","",IF(PBH_RR!E139="Both(FH+FC)",PBH_RR!P139,IF(OR(PBH_RR!E139="FH Matrix",PBH_RR!E139="FC Matrix"),INDEX(PBH_Lines!O:O,MATCH(PBH_RR!A139,PBH_Lines!M:M,0)),INDEX(SF_Data!U:U,MATCH(PBH_RR!D139,SF_Data!B:B,0)))))</f>
        <v/>
      </c>
    </row>
    <row r="140" spans="8:8" x14ac:dyDescent="0.35">
      <c r="H140" t="str">
        <f>IF(PBH_RR!A140="","",IF(PBH_RR!E140="Both(FH+FC)",PBH_RR!P140,IF(OR(PBH_RR!E140="FH Matrix",PBH_RR!E140="FC Matrix"),INDEX(PBH_Lines!O:O,MATCH(PBH_RR!A140,PBH_Lines!M:M,0)),INDEX(SF_Data!U:U,MATCH(PBH_RR!D140,SF_Data!B:B,0)))))</f>
        <v/>
      </c>
    </row>
    <row r="141" spans="8:8" x14ac:dyDescent="0.35">
      <c r="H141" t="str">
        <f>IF(PBH_RR!A141="","",IF(PBH_RR!E141="Both(FH+FC)",PBH_RR!P141,IF(OR(PBH_RR!E141="FH Matrix",PBH_RR!E141="FC Matrix"),INDEX(PBH_Lines!O:O,MATCH(PBH_RR!A141,PBH_Lines!M:M,0)),INDEX(SF_Data!U:U,MATCH(PBH_RR!D141,SF_Data!B:B,0)))))</f>
        <v/>
      </c>
    </row>
    <row r="142" spans="8:8" x14ac:dyDescent="0.35">
      <c r="H142" t="str">
        <f>IF(PBH_RR!A142="","",IF(PBH_RR!E142="Both(FH+FC)",PBH_RR!P142,IF(OR(PBH_RR!E142="FH Matrix",PBH_RR!E142="FC Matrix"),INDEX(PBH_Lines!O:O,MATCH(PBH_RR!A142,PBH_Lines!M:M,0)),INDEX(SF_Data!U:U,MATCH(PBH_RR!D142,SF_Data!B:B,0)))))</f>
        <v/>
      </c>
    </row>
    <row r="143" spans="8:8" x14ac:dyDescent="0.35">
      <c r="H143" t="str">
        <f>IF(PBH_RR!A143="","",IF(PBH_RR!E143="Both(FH+FC)",PBH_RR!P143,IF(OR(PBH_RR!E143="FH Matrix",PBH_RR!E143="FC Matrix"),INDEX(PBH_Lines!O:O,MATCH(PBH_RR!A143,PBH_Lines!M:M,0)),INDEX(SF_Data!U:U,MATCH(PBH_RR!D143,SF_Data!B:B,0)))))</f>
        <v/>
      </c>
    </row>
    <row r="144" spans="8:8" x14ac:dyDescent="0.35">
      <c r="H144" t="str">
        <f>IF(PBH_RR!A144="","",IF(PBH_RR!E144="Both(FH+FC)",PBH_RR!P144,IF(OR(PBH_RR!E144="FH Matrix",PBH_RR!E144="FC Matrix"),INDEX(PBH_Lines!O:O,MATCH(PBH_RR!A144,PBH_Lines!M:M,0)),INDEX(SF_Data!U:U,MATCH(PBH_RR!D144,SF_Data!B:B,0)))))</f>
        <v/>
      </c>
    </row>
    <row r="145" spans="8:8" x14ac:dyDescent="0.35">
      <c r="H145" t="str">
        <f>IF(PBH_RR!A145="","",IF(PBH_RR!E145="Both(FH+FC)",PBH_RR!P145,IF(OR(PBH_RR!E145="FH Matrix",PBH_RR!E145="FC Matrix"),INDEX(PBH_Lines!O:O,MATCH(PBH_RR!A145,PBH_Lines!M:M,0)),INDEX(SF_Data!U:U,MATCH(PBH_RR!D145,SF_Data!B:B,0)))))</f>
        <v/>
      </c>
    </row>
    <row r="146" spans="8:8" x14ac:dyDescent="0.35">
      <c r="H146" t="str">
        <f>IF(PBH_RR!A146="","",IF(PBH_RR!E146="Both(FH+FC)",PBH_RR!P146,IF(OR(PBH_RR!E146="FH Matrix",PBH_RR!E146="FC Matrix"),INDEX(PBH_Lines!O:O,MATCH(PBH_RR!A146,PBH_Lines!M:M,0)),INDEX(SF_Data!U:U,MATCH(PBH_RR!D146,SF_Data!B:B,0)))))</f>
        <v/>
      </c>
    </row>
    <row r="147" spans="8:8" x14ac:dyDescent="0.35">
      <c r="H147" t="str">
        <f>IF(PBH_RR!A147="","",IF(PBH_RR!E147="Both(FH+FC)",PBH_RR!P147,IF(OR(PBH_RR!E147="FH Matrix",PBH_RR!E147="FC Matrix"),INDEX(PBH_Lines!O:O,MATCH(PBH_RR!A147,PBH_Lines!M:M,0)),INDEX(SF_Data!U:U,MATCH(PBH_RR!D147,SF_Data!B:B,0)))))</f>
        <v/>
      </c>
    </row>
    <row r="148" spans="8:8" x14ac:dyDescent="0.35">
      <c r="H148" t="str">
        <f>IF(PBH_RR!A148="","",IF(PBH_RR!E148="Both(FH+FC)",PBH_RR!P148,IF(OR(PBH_RR!E148="FH Matrix",PBH_RR!E148="FC Matrix"),INDEX(PBH_Lines!O:O,MATCH(PBH_RR!A148,PBH_Lines!M:M,0)),INDEX(SF_Data!U:U,MATCH(PBH_RR!D148,SF_Data!B:B,0)))))</f>
        <v/>
      </c>
    </row>
    <row r="149" spans="8:8" x14ac:dyDescent="0.35">
      <c r="H149" t="str">
        <f>IF(PBH_RR!A149="","",IF(PBH_RR!E149="Both(FH+FC)",PBH_RR!P149,IF(OR(PBH_RR!E149="FH Matrix",PBH_RR!E149="FC Matrix"),INDEX(PBH_Lines!O:O,MATCH(PBH_RR!A149,PBH_Lines!M:M,0)),INDEX(SF_Data!U:U,MATCH(PBH_RR!D149,SF_Data!B:B,0)))))</f>
        <v/>
      </c>
    </row>
    <row r="150" spans="8:8" x14ac:dyDescent="0.35">
      <c r="H150" t="str">
        <f>IF(PBH_RR!A150="","",IF(PBH_RR!E150="Both(FH+FC)",PBH_RR!P150,IF(OR(PBH_RR!E150="FH Matrix",PBH_RR!E150="FC Matrix"),INDEX(PBH_Lines!O:O,MATCH(PBH_RR!A150,PBH_Lines!M:M,0)),INDEX(SF_Data!U:U,MATCH(PBH_RR!D150,SF_Data!B:B,0)))))</f>
        <v/>
      </c>
    </row>
    <row r="151" spans="8:8" x14ac:dyDescent="0.35">
      <c r="H151" t="str">
        <f>IF(PBH_RR!A151="","",IF(PBH_RR!E151="Both(FH+FC)",PBH_RR!P151,IF(OR(PBH_RR!E151="FH Matrix",PBH_RR!E151="FC Matrix"),INDEX(PBH_Lines!O:O,MATCH(PBH_RR!A151,PBH_Lines!M:M,0)),INDEX(SF_Data!U:U,MATCH(PBH_RR!D151,SF_Data!B:B,0)))))</f>
        <v/>
      </c>
    </row>
    <row r="152" spans="8:8" x14ac:dyDescent="0.35">
      <c r="H152" t="str">
        <f>IF(PBH_RR!A152="","",IF(PBH_RR!E152="Both(FH+FC)",PBH_RR!P152,IF(OR(PBH_RR!E152="FH Matrix",PBH_RR!E152="FC Matrix"),INDEX(PBH_Lines!O:O,MATCH(PBH_RR!A152,PBH_Lines!M:M,0)),INDEX(SF_Data!U:U,MATCH(PBH_RR!D152,SF_Data!B:B,0)))))</f>
        <v/>
      </c>
    </row>
    <row r="153" spans="8:8" x14ac:dyDescent="0.35">
      <c r="H153" t="str">
        <f>IF(PBH_RR!A153="","",IF(PBH_RR!E153="Both(FH+FC)",PBH_RR!P153,IF(OR(PBH_RR!E153="FH Matrix",PBH_RR!E153="FC Matrix"),INDEX(PBH_Lines!O:O,MATCH(PBH_RR!A153,PBH_Lines!M:M,0)),INDEX(SF_Data!U:U,MATCH(PBH_RR!D153,SF_Data!B:B,0)))))</f>
        <v/>
      </c>
    </row>
    <row r="154" spans="8:8" x14ac:dyDescent="0.35">
      <c r="H154" t="str">
        <f>IF(PBH_RR!A154="","",IF(PBH_RR!E154="Both(FH+FC)",PBH_RR!P154,IF(OR(PBH_RR!E154="FH Matrix",PBH_RR!E154="FC Matrix"),INDEX(PBH_Lines!O:O,MATCH(PBH_RR!A154,PBH_Lines!M:M,0)),INDEX(SF_Data!U:U,MATCH(PBH_RR!D154,SF_Data!B:B,0)))))</f>
        <v/>
      </c>
    </row>
    <row r="155" spans="8:8" x14ac:dyDescent="0.35">
      <c r="H155" t="str">
        <f>IF(PBH_RR!A155="","",IF(PBH_RR!E155="Both(FH+FC)",PBH_RR!P155,IF(OR(PBH_RR!E155="FH Matrix",PBH_RR!E155="FC Matrix"),INDEX(PBH_Lines!O:O,MATCH(PBH_RR!A155,PBH_Lines!M:M,0)),INDEX(SF_Data!U:U,MATCH(PBH_RR!D155,SF_Data!B:B,0)))))</f>
        <v/>
      </c>
    </row>
    <row r="156" spans="8:8" x14ac:dyDescent="0.35">
      <c r="H156" t="str">
        <f>IF(PBH_RR!A156="","",IF(PBH_RR!E156="Both(FH+FC)",PBH_RR!P156,IF(OR(PBH_RR!E156="FH Matrix",PBH_RR!E156="FC Matrix"),INDEX(PBH_Lines!O:O,MATCH(PBH_RR!A156,PBH_Lines!M:M,0)),INDEX(SF_Data!U:U,MATCH(PBH_RR!D156,SF_Data!B:B,0)))))</f>
        <v/>
      </c>
    </row>
    <row r="157" spans="8:8" x14ac:dyDescent="0.35">
      <c r="H157" t="str">
        <f>IF(PBH_RR!A157="","",IF(PBH_RR!E157="Both(FH+FC)",PBH_RR!P157,IF(OR(PBH_RR!E157="FH Matrix",PBH_RR!E157="FC Matrix"),INDEX(PBH_Lines!O:O,MATCH(PBH_RR!A157,PBH_Lines!M:M,0)),INDEX(SF_Data!U:U,MATCH(PBH_RR!D157,SF_Data!B:B,0)))))</f>
        <v/>
      </c>
    </row>
    <row r="158" spans="8:8" x14ac:dyDescent="0.35">
      <c r="H158" t="str">
        <f>IF(PBH_RR!A158="","",IF(PBH_RR!E158="Both(FH+FC)",PBH_RR!P158,IF(OR(PBH_RR!E158="FH Matrix",PBH_RR!E158="FC Matrix"),INDEX(PBH_Lines!O:O,MATCH(PBH_RR!A158,PBH_Lines!M:M,0)),INDEX(SF_Data!U:U,MATCH(PBH_RR!D158,SF_Data!B:B,0)))))</f>
        <v/>
      </c>
    </row>
    <row r="159" spans="8:8" x14ac:dyDescent="0.35">
      <c r="H159" t="str">
        <f>IF(PBH_RR!A159="","",IF(PBH_RR!E159="Both(FH+FC)",PBH_RR!P159,IF(OR(PBH_RR!E159="FH Matrix",PBH_RR!E159="FC Matrix"),INDEX(PBH_Lines!O:O,MATCH(PBH_RR!A159,PBH_Lines!M:M,0)),INDEX(SF_Data!U:U,MATCH(PBH_RR!D159,SF_Data!B:B,0)))))</f>
        <v/>
      </c>
    </row>
    <row r="160" spans="8:8" x14ac:dyDescent="0.35">
      <c r="H160" t="str">
        <f>IF(PBH_RR!A160="","",IF(PBH_RR!E160="Both(FH+FC)",PBH_RR!P160,IF(OR(PBH_RR!E160="FH Matrix",PBH_RR!E160="FC Matrix"),INDEX(PBH_Lines!O:O,MATCH(PBH_RR!A160,PBH_Lines!M:M,0)),INDEX(SF_Data!U:U,MATCH(PBH_RR!D160,SF_Data!B:B,0)))))</f>
        <v/>
      </c>
    </row>
    <row r="161" spans="8:8" x14ac:dyDescent="0.35">
      <c r="H161" t="str">
        <f>IF(PBH_RR!A161="","",IF(PBH_RR!E161="Both(FH+FC)",PBH_RR!P161,IF(OR(PBH_RR!E161="FH Matrix",PBH_RR!E161="FC Matrix"),INDEX(PBH_Lines!O:O,MATCH(PBH_RR!A161,PBH_Lines!M:M,0)),INDEX(SF_Data!U:U,MATCH(PBH_RR!D161,SF_Data!B:B,0)))))</f>
        <v/>
      </c>
    </row>
    <row r="162" spans="8:8" x14ac:dyDescent="0.35">
      <c r="H162" t="str">
        <f>IF(PBH_RR!A162="","",IF(PBH_RR!E162="Both(FH+FC)",PBH_RR!P162,IF(OR(PBH_RR!E162="FH Matrix",PBH_RR!E162="FC Matrix"),INDEX(PBH_Lines!O:O,MATCH(PBH_RR!A162,PBH_Lines!M:M,0)),INDEX(SF_Data!U:U,MATCH(PBH_RR!D162,SF_Data!B:B,0)))))</f>
        <v/>
      </c>
    </row>
    <row r="163" spans="8:8" x14ac:dyDescent="0.35">
      <c r="H163" t="str">
        <f>IF(PBH_RR!A163="","",IF(PBH_RR!E163="Both(FH+FC)",PBH_RR!P163,IF(OR(PBH_RR!E163="FH Matrix",PBH_RR!E163="FC Matrix"),INDEX(PBH_Lines!O:O,MATCH(PBH_RR!A163,PBH_Lines!M:M,0)),INDEX(SF_Data!U:U,MATCH(PBH_RR!D163,SF_Data!B:B,0)))))</f>
        <v/>
      </c>
    </row>
    <row r="164" spans="8:8" x14ac:dyDescent="0.35">
      <c r="H164" t="str">
        <f>IF(PBH_RR!A164="","",IF(PBH_RR!E164="Both(FH+FC)",PBH_RR!P164,IF(OR(PBH_RR!E164="FH Matrix",PBH_RR!E164="FC Matrix"),INDEX(PBH_Lines!O:O,MATCH(PBH_RR!A164,PBH_Lines!M:M,0)),INDEX(SF_Data!U:U,MATCH(PBH_RR!D164,SF_Data!B:B,0)))))</f>
        <v/>
      </c>
    </row>
    <row r="165" spans="8:8" x14ac:dyDescent="0.35">
      <c r="H165" t="str">
        <f>IF(PBH_RR!A165="","",IF(PBH_RR!E165="Both(FH+FC)",PBH_RR!P165,IF(OR(PBH_RR!E165="FH Matrix",PBH_RR!E165="FC Matrix"),INDEX(PBH_Lines!O:O,MATCH(PBH_RR!A165,PBH_Lines!M:M,0)),INDEX(SF_Data!U:U,MATCH(PBH_RR!D165,SF_Data!B:B,0)))))</f>
        <v/>
      </c>
    </row>
    <row r="166" spans="8:8" x14ac:dyDescent="0.35">
      <c r="H166" t="str">
        <f>IF(PBH_RR!A166="","",IF(PBH_RR!E166="Both(FH+FC)",PBH_RR!P166,IF(OR(PBH_RR!E166="FH Matrix",PBH_RR!E166="FC Matrix"),INDEX(PBH_Lines!O:O,MATCH(PBH_RR!A166,PBH_Lines!M:M,0)),INDEX(SF_Data!U:U,MATCH(PBH_RR!D166,SF_Data!B:B,0)))))</f>
        <v/>
      </c>
    </row>
    <row r="167" spans="8:8" x14ac:dyDescent="0.35">
      <c r="H167" t="str">
        <f>IF(PBH_RR!A167="","",IF(PBH_RR!E167="Both(FH+FC)",PBH_RR!P167,IF(OR(PBH_RR!E167="FH Matrix",PBH_RR!E167="FC Matrix"),INDEX(PBH_Lines!O:O,MATCH(PBH_RR!A167,PBH_Lines!M:M,0)),INDEX(SF_Data!U:U,MATCH(PBH_RR!D167,SF_Data!B:B,0)))))</f>
        <v/>
      </c>
    </row>
    <row r="168" spans="8:8" x14ac:dyDescent="0.35">
      <c r="H168" t="str">
        <f>IF(PBH_RR!A168="","",IF(PBH_RR!E168="Both(FH+FC)",PBH_RR!P168,IF(OR(PBH_RR!E168="FH Matrix",PBH_RR!E168="FC Matrix"),INDEX(PBH_Lines!O:O,MATCH(PBH_RR!A168,PBH_Lines!M:M,0)),INDEX(SF_Data!U:U,MATCH(PBH_RR!D168,SF_Data!B:B,0)))))</f>
        <v/>
      </c>
    </row>
    <row r="169" spans="8:8" x14ac:dyDescent="0.35">
      <c r="H169" t="str">
        <f>IF(PBH_RR!A169="","",IF(PBH_RR!E169="Both(FH+FC)",PBH_RR!P169,IF(OR(PBH_RR!E169="FH Matrix",PBH_RR!E169="FC Matrix"),INDEX(PBH_Lines!O:O,MATCH(PBH_RR!A169,PBH_Lines!M:M,0)),INDEX(SF_Data!U:U,MATCH(PBH_RR!D169,SF_Data!B:B,0)))))</f>
        <v/>
      </c>
    </row>
    <row r="170" spans="8:8" x14ac:dyDescent="0.35">
      <c r="H170" t="str">
        <f>IF(PBH_RR!A170="","",IF(PBH_RR!E170="Both(FH+FC)",PBH_RR!P170,IF(OR(PBH_RR!E170="FH Matrix",PBH_RR!E170="FC Matrix"),INDEX(PBH_Lines!O:O,MATCH(PBH_RR!A170,PBH_Lines!M:M,0)),INDEX(SF_Data!U:U,MATCH(PBH_RR!D170,SF_Data!B:B,0)))))</f>
        <v/>
      </c>
    </row>
    <row r="171" spans="8:8" x14ac:dyDescent="0.35">
      <c r="H171" t="str">
        <f>IF(PBH_RR!A171="","",IF(PBH_RR!E171="Both(FH+FC)",PBH_RR!P171,IF(OR(PBH_RR!E171="FH Matrix",PBH_RR!E171="FC Matrix"),INDEX(PBH_Lines!O:O,MATCH(PBH_RR!A171,PBH_Lines!M:M,0)),INDEX(SF_Data!U:U,MATCH(PBH_RR!D171,SF_Data!B:B,0)))))</f>
        <v/>
      </c>
    </row>
    <row r="172" spans="8:8" x14ac:dyDescent="0.35">
      <c r="H172" t="str">
        <f>IF(PBH_RR!A172="","",IF(PBH_RR!E172="Both(FH+FC)",PBH_RR!P172,IF(OR(PBH_RR!E172="FH Matrix",PBH_RR!E172="FC Matrix"),INDEX(PBH_Lines!O:O,MATCH(PBH_RR!A172,PBH_Lines!M:M,0)),INDEX(SF_Data!U:U,MATCH(PBH_RR!D172,SF_Data!B:B,0)))))</f>
        <v/>
      </c>
    </row>
    <row r="173" spans="8:8" x14ac:dyDescent="0.35">
      <c r="H173" t="str">
        <f>IF(PBH_RR!A173="","",IF(PBH_RR!E173="Both(FH+FC)",PBH_RR!P173,IF(OR(PBH_RR!E173="FH Matrix",PBH_RR!E173="FC Matrix"),INDEX(PBH_Lines!O:O,MATCH(PBH_RR!A173,PBH_Lines!M:M,0)),INDEX(SF_Data!U:U,MATCH(PBH_RR!D173,SF_Data!B:B,0)))))</f>
        <v/>
      </c>
    </row>
    <row r="174" spans="8:8" x14ac:dyDescent="0.35">
      <c r="H174" t="str">
        <f>IF(PBH_RR!A174="","",IF(PBH_RR!E174="Both(FH+FC)",PBH_RR!P174,IF(OR(PBH_RR!E174="FH Matrix",PBH_RR!E174="FC Matrix"),INDEX(PBH_Lines!O:O,MATCH(PBH_RR!A174,PBH_Lines!M:M,0)),INDEX(SF_Data!U:U,MATCH(PBH_RR!D174,SF_Data!B:B,0)))))</f>
        <v/>
      </c>
    </row>
    <row r="175" spans="8:8" x14ac:dyDescent="0.35">
      <c r="H175" t="str">
        <f>IF(PBH_RR!A175="","",IF(PBH_RR!E175="Both(FH+FC)",PBH_RR!P175,IF(OR(PBH_RR!E175="FH Matrix",PBH_RR!E175="FC Matrix"),INDEX(PBH_Lines!O:O,MATCH(PBH_RR!A175,PBH_Lines!M:M,0)),INDEX(SF_Data!U:U,MATCH(PBH_RR!D175,SF_Data!B:B,0)))))</f>
        <v/>
      </c>
    </row>
    <row r="176" spans="8:8" x14ac:dyDescent="0.35">
      <c r="H176" t="str">
        <f>IF(PBH_RR!A176="","",IF(PBH_RR!E176="Both(FH+FC)",PBH_RR!P176,IF(OR(PBH_RR!E176="FH Matrix",PBH_RR!E176="FC Matrix"),INDEX(PBH_Lines!O:O,MATCH(PBH_RR!A176,PBH_Lines!M:M,0)),INDEX(SF_Data!U:U,MATCH(PBH_RR!D176,SF_Data!B:B,0)))))</f>
        <v/>
      </c>
    </row>
    <row r="177" spans="8:8" x14ac:dyDescent="0.35">
      <c r="H177" t="str">
        <f>IF(PBH_RR!A177="","",IF(PBH_RR!E177="Both(FH+FC)",PBH_RR!P177,IF(OR(PBH_RR!E177="FH Matrix",PBH_RR!E177="FC Matrix"),INDEX(PBH_Lines!O:O,MATCH(PBH_RR!A177,PBH_Lines!M:M,0)),INDEX(SF_Data!U:U,MATCH(PBH_RR!D177,SF_Data!B:B,0)))))</f>
        <v/>
      </c>
    </row>
    <row r="178" spans="8:8" x14ac:dyDescent="0.35">
      <c r="H178" t="str">
        <f>IF(PBH_RR!A178="","",IF(PBH_RR!E178="Both(FH+FC)",PBH_RR!P178,IF(OR(PBH_RR!E178="FH Matrix",PBH_RR!E178="FC Matrix"),INDEX(PBH_Lines!O:O,MATCH(PBH_RR!A178,PBH_Lines!M:M,0)),INDEX(SF_Data!U:U,MATCH(PBH_RR!D178,SF_Data!B:B,0)))))</f>
        <v/>
      </c>
    </row>
    <row r="179" spans="8:8" x14ac:dyDescent="0.35">
      <c r="H179" t="str">
        <f>IF(PBH_RR!A179="","",IF(PBH_RR!E179="Both(FH+FC)",PBH_RR!P179,IF(OR(PBH_RR!E179="FH Matrix",PBH_RR!E179="FC Matrix"),INDEX(PBH_Lines!O:O,MATCH(PBH_RR!A179,PBH_Lines!M:M,0)),INDEX(SF_Data!U:U,MATCH(PBH_RR!D179,SF_Data!B:B,0)))))</f>
        <v/>
      </c>
    </row>
    <row r="180" spans="8:8" x14ac:dyDescent="0.35">
      <c r="H180" t="str">
        <f>IF(PBH_RR!A180="","",IF(PBH_RR!E180="Both(FH+FC)",PBH_RR!P180,IF(OR(PBH_RR!E180="FH Matrix",PBH_RR!E180="FC Matrix"),INDEX(PBH_Lines!O:O,MATCH(PBH_RR!A180,PBH_Lines!M:M,0)),INDEX(SF_Data!U:U,MATCH(PBH_RR!D180,SF_Data!B:B,0)))))</f>
        <v/>
      </c>
    </row>
    <row r="181" spans="8:8" x14ac:dyDescent="0.35">
      <c r="H181" t="str">
        <f>IF(PBH_RR!A181="","",IF(PBH_RR!E181="Both(FH+FC)",PBH_RR!P181,IF(OR(PBH_RR!E181="FH Matrix",PBH_RR!E181="FC Matrix"),INDEX(PBH_Lines!O:O,MATCH(PBH_RR!A181,PBH_Lines!M:M,0)),INDEX(SF_Data!U:U,MATCH(PBH_RR!D181,SF_Data!B:B,0)))))</f>
        <v/>
      </c>
    </row>
    <row r="182" spans="8:8" x14ac:dyDescent="0.35">
      <c r="H182" t="str">
        <f>IF(PBH_RR!A182="","",IF(PBH_RR!E182="Both(FH+FC)",PBH_RR!P182,IF(OR(PBH_RR!E182="FH Matrix",PBH_RR!E182="FC Matrix"),INDEX(PBH_Lines!O:O,MATCH(PBH_RR!A182,PBH_Lines!M:M,0)),INDEX(SF_Data!U:U,MATCH(PBH_RR!D182,SF_Data!B:B,0)))))</f>
        <v/>
      </c>
    </row>
    <row r="183" spans="8:8" x14ac:dyDescent="0.35">
      <c r="H183" t="str">
        <f>IF(PBH_RR!A183="","",IF(PBH_RR!E183="Both(FH+FC)",PBH_RR!P183,IF(OR(PBH_RR!E183="FH Matrix",PBH_RR!E183="FC Matrix"),INDEX(PBH_Lines!O:O,MATCH(PBH_RR!A183,PBH_Lines!M:M,0)),INDEX(SF_Data!U:U,MATCH(PBH_RR!D183,SF_Data!B:B,0)))))</f>
        <v/>
      </c>
    </row>
    <row r="184" spans="8:8" x14ac:dyDescent="0.35">
      <c r="H184" t="str">
        <f>IF(PBH_RR!A184="","",IF(PBH_RR!E184="Both(FH+FC)",PBH_RR!P184,IF(OR(PBH_RR!E184="FH Matrix",PBH_RR!E184="FC Matrix"),INDEX(PBH_Lines!O:O,MATCH(PBH_RR!A184,PBH_Lines!M:M,0)),INDEX(SF_Data!U:U,MATCH(PBH_RR!D184,SF_Data!B:B,0)))))</f>
        <v/>
      </c>
    </row>
    <row r="185" spans="8:8" x14ac:dyDescent="0.35">
      <c r="H185" t="str">
        <f>IF(PBH_RR!A185="","",IF(PBH_RR!E185="Both(FH+FC)",PBH_RR!P185,IF(OR(PBH_RR!E185="FH Matrix",PBH_RR!E185="FC Matrix"),INDEX(PBH_Lines!O:O,MATCH(PBH_RR!A185,PBH_Lines!M:M,0)),INDEX(SF_Data!U:U,MATCH(PBH_RR!D185,SF_Data!B:B,0)))))</f>
        <v/>
      </c>
    </row>
    <row r="186" spans="8:8" x14ac:dyDescent="0.35">
      <c r="H186" t="str">
        <f>IF(PBH_RR!A186="","",IF(PBH_RR!E186="Both(FH+FC)",PBH_RR!P186,IF(OR(PBH_RR!E186="FH Matrix",PBH_RR!E186="FC Matrix"),INDEX(PBH_Lines!O:O,MATCH(PBH_RR!A186,PBH_Lines!M:M,0)),INDEX(SF_Data!U:U,MATCH(PBH_RR!D186,SF_Data!B:B,0)))))</f>
        <v/>
      </c>
    </row>
    <row r="187" spans="8:8" x14ac:dyDescent="0.35">
      <c r="H187" t="str">
        <f>IF(PBH_RR!A187="","",IF(PBH_RR!E187="Both(FH+FC)",PBH_RR!P187,IF(OR(PBH_RR!E187="FH Matrix",PBH_RR!E187="FC Matrix"),INDEX(PBH_Lines!O:O,MATCH(PBH_RR!A187,PBH_Lines!M:M,0)),INDEX(SF_Data!U:U,MATCH(PBH_RR!D187,SF_Data!B:B,0)))))</f>
        <v/>
      </c>
    </row>
    <row r="188" spans="8:8" x14ac:dyDescent="0.35">
      <c r="H188" t="str">
        <f>IF(PBH_RR!A188="","",IF(PBH_RR!E188="Both(FH+FC)",PBH_RR!P188,IF(OR(PBH_RR!E188="FH Matrix",PBH_RR!E188="FC Matrix"),INDEX(PBH_Lines!O:O,MATCH(PBH_RR!A188,PBH_Lines!M:M,0)),INDEX(SF_Data!U:U,MATCH(PBH_RR!D188,SF_Data!B:B,0)))))</f>
        <v/>
      </c>
    </row>
    <row r="189" spans="8:8" x14ac:dyDescent="0.35">
      <c r="H189" t="str">
        <f>IF(PBH_RR!A189="","",IF(PBH_RR!E189="Both(FH+FC)",PBH_RR!P189,IF(OR(PBH_RR!E189="FH Matrix",PBH_RR!E189="FC Matrix"),INDEX(PBH_Lines!O:O,MATCH(PBH_RR!A189,PBH_Lines!M:M,0)),INDEX(SF_Data!U:U,MATCH(PBH_RR!D189,SF_Data!B:B,0)))))</f>
        <v/>
      </c>
    </row>
    <row r="190" spans="8:8" x14ac:dyDescent="0.35">
      <c r="H190" t="str">
        <f>IF(PBH_RR!A190="","",IF(PBH_RR!E190="Both(FH+FC)",PBH_RR!P190,IF(OR(PBH_RR!E190="FH Matrix",PBH_RR!E190="FC Matrix"),INDEX(PBH_Lines!O:O,MATCH(PBH_RR!A190,PBH_Lines!M:M,0)),INDEX(SF_Data!U:U,MATCH(PBH_RR!D190,SF_Data!B:B,0)))))</f>
        <v/>
      </c>
    </row>
    <row r="191" spans="8:8" x14ac:dyDescent="0.35">
      <c r="H191" t="str">
        <f>IF(PBH_RR!A191="","",IF(PBH_RR!E191="Both(FH+FC)",PBH_RR!P191,IF(OR(PBH_RR!E191="FH Matrix",PBH_RR!E191="FC Matrix"),INDEX(PBH_Lines!O:O,MATCH(PBH_RR!A191,PBH_Lines!M:M,0)),INDEX(SF_Data!U:U,MATCH(PBH_RR!D191,SF_Data!B:B,0)))))</f>
        <v/>
      </c>
    </row>
    <row r="192" spans="8:8" x14ac:dyDescent="0.35">
      <c r="H192" t="str">
        <f>IF(PBH_RR!A192="","",IF(PBH_RR!E192="Both(FH+FC)",PBH_RR!P192,IF(OR(PBH_RR!E192="FH Matrix",PBH_RR!E192="FC Matrix"),INDEX(PBH_Lines!O:O,MATCH(PBH_RR!A192,PBH_Lines!M:M,0)),INDEX(SF_Data!U:U,MATCH(PBH_RR!D192,SF_Data!B:B,0)))))</f>
        <v/>
      </c>
    </row>
    <row r="193" spans="8:8" x14ac:dyDescent="0.35">
      <c r="H193" t="str">
        <f>IF(PBH_RR!A193="","",IF(PBH_RR!E193="Both(FH+FC)",PBH_RR!P193,IF(OR(PBH_RR!E193="FH Matrix",PBH_RR!E193="FC Matrix"),INDEX(PBH_Lines!O:O,MATCH(PBH_RR!A193,PBH_Lines!M:M,0)),INDEX(SF_Data!U:U,MATCH(PBH_RR!D193,SF_Data!B:B,0)))))</f>
        <v/>
      </c>
    </row>
    <row r="194" spans="8:8" x14ac:dyDescent="0.35">
      <c r="H194" t="str">
        <f>IF(PBH_RR!A194="","",IF(PBH_RR!E194="Both(FH+FC)",PBH_RR!P194,IF(OR(PBH_RR!E194="FH Matrix",PBH_RR!E194="FC Matrix"),INDEX(PBH_Lines!O:O,MATCH(PBH_RR!A194,PBH_Lines!M:M,0)),INDEX(SF_Data!U:U,MATCH(PBH_RR!D194,SF_Data!B:B,0)))))</f>
        <v/>
      </c>
    </row>
    <row r="195" spans="8:8" x14ac:dyDescent="0.35">
      <c r="H195" t="str">
        <f>IF(PBH_RR!A195="","",IF(PBH_RR!E195="Both(FH+FC)",PBH_RR!P195,IF(OR(PBH_RR!E195="FH Matrix",PBH_RR!E195="FC Matrix"),INDEX(PBH_Lines!O:O,MATCH(PBH_RR!A195,PBH_Lines!M:M,0)),INDEX(SF_Data!U:U,MATCH(PBH_RR!D195,SF_Data!B:B,0)))))</f>
        <v/>
      </c>
    </row>
    <row r="196" spans="8:8" x14ac:dyDescent="0.35">
      <c r="H196" t="str">
        <f>IF(PBH_RR!A196="","",IF(PBH_RR!E196="Both(FH+FC)",PBH_RR!P196,IF(OR(PBH_RR!E196="FH Matrix",PBH_RR!E196="FC Matrix"),INDEX(PBH_Lines!O:O,MATCH(PBH_RR!A196,PBH_Lines!M:M,0)),INDEX(SF_Data!U:U,MATCH(PBH_RR!D196,SF_Data!B:B,0)))))</f>
        <v/>
      </c>
    </row>
    <row r="197" spans="8:8" x14ac:dyDescent="0.35">
      <c r="H197" t="str">
        <f>IF(PBH_RR!A197="","",IF(PBH_RR!E197="Both(FH+FC)",PBH_RR!P197,IF(OR(PBH_RR!E197="FH Matrix",PBH_RR!E197="FC Matrix"),INDEX(PBH_Lines!O:O,MATCH(PBH_RR!A197,PBH_Lines!M:M,0)),INDEX(SF_Data!U:U,MATCH(PBH_RR!D197,SF_Data!B:B,0)))))</f>
        <v/>
      </c>
    </row>
    <row r="198" spans="8:8" x14ac:dyDescent="0.35">
      <c r="H198" t="str">
        <f>IF(PBH_RR!A198="","",IF(PBH_RR!E198="Both(FH+FC)",PBH_RR!P198,IF(OR(PBH_RR!E198="FH Matrix",PBH_RR!E198="FC Matrix"),INDEX(PBH_Lines!O:O,MATCH(PBH_RR!A198,PBH_Lines!M:M,0)),INDEX(SF_Data!U:U,MATCH(PBH_RR!D198,SF_Data!B:B,0)))))</f>
        <v/>
      </c>
    </row>
    <row r="199" spans="8:8" x14ac:dyDescent="0.35">
      <c r="H199" t="str">
        <f>IF(PBH_RR!A199="","",IF(PBH_RR!E199="Both(FH+FC)",PBH_RR!P199,IF(OR(PBH_RR!E199="FH Matrix",PBH_RR!E199="FC Matrix"),INDEX(PBH_Lines!O:O,MATCH(PBH_RR!A199,PBH_Lines!M:M,0)),INDEX(SF_Data!U:U,MATCH(PBH_RR!D199,SF_Data!B:B,0)))))</f>
        <v/>
      </c>
    </row>
    <row r="200" spans="8:8" x14ac:dyDescent="0.35">
      <c r="H200" t="str">
        <f>IF(PBH_RR!A200="","",IF(PBH_RR!E200="Both(FH+FC)",PBH_RR!P200,IF(OR(PBH_RR!E200="FH Matrix",PBH_RR!E200="FC Matrix"),INDEX(PBH_Lines!O:O,MATCH(PBH_RR!A200,PBH_Lines!M:M,0)),INDEX(SF_Data!U:U,MATCH(PBH_RR!D200,SF_Data!B:B,0)))))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57</vt:i4>
      </vt:variant>
    </vt:vector>
  </HeadingPairs>
  <TitlesOfParts>
    <vt:vector size="61" baseType="lpstr">
      <vt:lpstr>SF_Data</vt:lpstr>
      <vt:lpstr>PBH_Lines</vt:lpstr>
      <vt:lpstr>PBH_RR</vt:lpstr>
      <vt:lpstr>Sheet1</vt:lpstr>
      <vt:lpstr>Both_FH_FC.Assembly_Id</vt:lpstr>
      <vt:lpstr>Both_FH_FC.Assembly_Name</vt:lpstr>
      <vt:lpstr>Both_FH_FC.Invoice.Rent.Stepped_Rent_Local_Currency_local</vt:lpstr>
      <vt:lpstr>Both_FH_FC.PBH_Rent_Assembly.PBH_Rent_Rate_From_Value__000</vt:lpstr>
      <vt:lpstr>Both_FH_FC.PBH_Rent_Assembly.PBH_Rent_Rate_From_Value_FC__000</vt:lpstr>
      <vt:lpstr>Both_FH_FC.PBH_Rent_Assembly.PBH_Rent_Rate_Id</vt:lpstr>
      <vt:lpstr>Both_FH_FC.PBH_Rent_Assembly.PBH_Rent_Rate_PBH_Rate</vt:lpstr>
      <vt:lpstr>Both_FH_FC.PBH_Rent_Assembly.PBH_Rent_Rate_PBH_Rate_FC</vt:lpstr>
      <vt:lpstr>Both_FH_FC.PBH_Rent_Assembly.PBH_Rent_Rate_Selection</vt:lpstr>
      <vt:lpstr>Both_FH_FC.PBH_Rent_Assembly.Rent_Schedule.Stepped_Rent_Id</vt:lpstr>
      <vt:lpstr>Both_FH_FC.PBH_Rent_Assembly_Rate_Basis_F</vt:lpstr>
      <vt:lpstr>Both_FH_FC.PBH_Rent_Assembly_Unit_Type</vt:lpstr>
      <vt:lpstr>Both_FH_FC.PBH_Rent_Assembly_Utilization_Unit__000</vt:lpstr>
      <vt:lpstr>Both_FH_FC_Converted_Currency_Line_Amount</vt:lpstr>
      <vt:lpstr>Both_FH_FC_Start</vt:lpstr>
      <vt:lpstr>Both_FH_FC_Total_Line_Amount</vt:lpstr>
      <vt:lpstr>ILI_TO_Rate</vt:lpstr>
      <vt:lpstr>ILI_TO_RentRate.Assembly_Id</vt:lpstr>
      <vt:lpstr>ILI_TO_RentRate.Assembly_Name</vt:lpstr>
      <vt:lpstr>ILI_TO_RentRate.Invoice.Rent.Stepped_Rent_Local_Currency_local</vt:lpstr>
      <vt:lpstr>ILI_TO_RentRate.PBH_Rent_Assembly.PBH_Rent_Rate_From_Value__000</vt:lpstr>
      <vt:lpstr>ILI_TO_RentRate.PBH_Rent_Assembly.PBH_Rent_Rate_From_Value_FC__000</vt:lpstr>
      <vt:lpstr>ILI_TO_RentRate.PBH_Rent_Assembly.PBH_Rent_Rate_Id</vt:lpstr>
      <vt:lpstr>ILI_TO_RentRate.PBH_Rent_Assembly.PBH_Rent_Rate_Name</vt:lpstr>
      <vt:lpstr>ILI_TO_RentRate.PBH_Rent_Assembly.PBH_Rent_Rate_PBH_Rate</vt:lpstr>
      <vt:lpstr>ILI_TO_RentRate.PBH_Rent_Assembly.PBH_Rent_Rate_PBH_Rate_FC</vt:lpstr>
      <vt:lpstr>ILI_TO_RentRate.PBH_Rent_Assembly.PBH_Rent_Rate_Selection</vt:lpstr>
      <vt:lpstr>ILI_TO_RentRate.PBH_Rent_Assembly.Rent_Schedule.Stepped_Rent_Id</vt:lpstr>
      <vt:lpstr>ILI_TO_RentRate.PBH_Rent_Assembly_Id</vt:lpstr>
      <vt:lpstr>ILI_TO_RentRate.PBH_Rent_Assembly_Name</vt:lpstr>
      <vt:lpstr>ILI_TO_RentRate.PBH_Rent_Assembly_PBH_Rate_F</vt:lpstr>
      <vt:lpstr>ILI_TO_RentRate.PBH_Rent_Assembly_Rate_Basis_F</vt:lpstr>
      <vt:lpstr>ILI_TO_RentRate.PBH_Rent_Assembly_Unit_Type</vt:lpstr>
      <vt:lpstr>ILI_TO_RentRate.PBH_Rent_Assembly_Utilization_Unit__000</vt:lpstr>
      <vt:lpstr>ILI_TO_RentRate_Converted_Currency_Line_Amount</vt:lpstr>
      <vt:lpstr>ILI_TO_RentRate_Start</vt:lpstr>
      <vt:lpstr>ILI_TO_RentRate_Total_Line_Amount</vt:lpstr>
      <vt:lpstr>PBH_Line.PBH_Rent_Assembly_Id</vt:lpstr>
      <vt:lpstr>PBH_Line.PBH_Rent_Assembly_Rate_Basis_F</vt:lpstr>
      <vt:lpstr>PBH_Line.PBH_Rent_Rate_Id</vt:lpstr>
      <vt:lpstr>PBH_Line_Name</vt:lpstr>
      <vt:lpstr>PBH_Line_PBH_Amount__000</vt:lpstr>
      <vt:lpstr>PBH_Line_Start</vt:lpstr>
      <vt:lpstr>PBH_Line_Utilization_Unit__000</vt:lpstr>
      <vt:lpstr>PBH_RR.Associated_Assembly_Id</vt:lpstr>
      <vt:lpstr>PBH_RR.Associated_Assembly_Name</vt:lpstr>
      <vt:lpstr>PBH_RR.Multi_Rent_Schedule_Id</vt:lpstr>
      <vt:lpstr>PBH_RR_From_Value__000</vt:lpstr>
      <vt:lpstr>PBH_RR_From_Value_FC__000</vt:lpstr>
      <vt:lpstr>PBH_RR_Id</vt:lpstr>
      <vt:lpstr>PBH_RR_Name</vt:lpstr>
      <vt:lpstr>PBH_RR_PBH_Rate</vt:lpstr>
      <vt:lpstr>PBH_RR_PBH_Rate_FC</vt:lpstr>
      <vt:lpstr>PBH_RR_Rate_Basis_F</vt:lpstr>
      <vt:lpstr>PBH_RR_Selection</vt:lpstr>
      <vt:lpstr>PBH_RR_Start</vt:lpstr>
      <vt:lpstr>RateValue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Kartik Jain</cp:lastModifiedBy>
  <dcterms:created xsi:type="dcterms:W3CDTF">2024-12-13T12:51:58Z</dcterms:created>
  <dcterms:modified xsi:type="dcterms:W3CDTF">2025-02-11T14:18:04Z</dcterms:modified>
</cp:coreProperties>
</file>