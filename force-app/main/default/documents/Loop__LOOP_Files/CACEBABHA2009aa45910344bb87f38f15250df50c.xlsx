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20839A24-8D92-6D41-B18C-11AB9D8EA5D0}" xr6:coauthVersionLast="47" xr6:coauthVersionMax="47" xr10:uidLastSave="{00000000-0000-0000-0000-000000000000}"/>
  <bookViews>
    <workbookView xWindow="0" yWindow="0" windowWidth="28800" windowHeight="18000" activeTab="1" xr2:uid="{B2D18C61-7BFB-6E47-A406-7BF7854D52D0}"/>
  </bookViews>
  <sheets>
    <sheet name="SF_Data" sheetId="1" r:id="rId1"/>
    <sheet name="Final_Data" sheetId="2" r:id="rId2"/>
  </sheets>
  <definedNames>
    <definedName name="Suppl_Rent_Final">Final_Data!$A$1:$D$50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2" l="1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D3" i="2"/>
  <c r="D4" i="2"/>
  <c r="D5" i="2"/>
  <c r="D6" i="2"/>
  <c r="D7" i="2"/>
  <c r="D8" i="2"/>
  <c r="D9" i="2"/>
  <c r="D2" i="2"/>
  <c r="C3" i="2"/>
  <c r="C4" i="2"/>
  <c r="C5" i="2"/>
  <c r="C6" i="2"/>
  <c r="C7" i="2"/>
  <c r="C8" i="2"/>
  <c r="C9" i="2"/>
  <c r="C2" i="2"/>
  <c r="B3" i="2"/>
  <c r="B4" i="2"/>
  <c r="B5" i="2"/>
  <c r="B6" i="2"/>
  <c r="B7" i="2"/>
  <c r="B8" i="2"/>
  <c r="B9" i="2"/>
  <c r="B2" i="2"/>
  <c r="A3" i="2"/>
  <c r="A4" i="2"/>
  <c r="A5" i="2"/>
  <c r="A6" i="2"/>
  <c r="A7" i="2"/>
  <c r="A8" i="2"/>
  <c r="A9" i="2"/>
  <c r="A2" i="2"/>
</calcChain>
</file>

<file path=xl/sharedStrings.xml><?xml version="1.0" encoding="utf-8"?>
<sst xmlns="http://schemas.openxmlformats.org/spreadsheetml/2006/main" count="35" uniqueCount="25">
  <si>
    <t>Associated Assembly: Assembly Type</t>
  </si>
  <si>
    <t>Supplemental Rent: Name</t>
  </si>
  <si>
    <t>Associated Assembly: Serial Number</t>
  </si>
  <si>
    <t>Effective Unit</t>
  </si>
  <si>
    <t>Effective Rate</t>
  </si>
  <si>
    <t>Net Units</t>
  </si>
  <si>
    <t>MR Total</t>
  </si>
  <si>
    <t>Airframe</t>
  </si>
  <si>
    <t>6Y Check</t>
  </si>
  <si>
    <t>Monthly</t>
  </si>
  <si>
    <t>12 Y Check</t>
  </si>
  <si>
    <t>LG Overhaul</t>
  </si>
  <si>
    <t>Cycles</t>
  </si>
  <si>
    <t>APU</t>
  </si>
  <si>
    <t>APU PR</t>
  </si>
  <si>
    <t>Hours</t>
  </si>
  <si>
    <t>Engine 1</t>
  </si>
  <si>
    <t>E1 PR</t>
  </si>
  <si>
    <t>E2 LLP</t>
  </si>
  <si>
    <t>Engine 2</t>
  </si>
  <si>
    <t>E2 PR</t>
  </si>
  <si>
    <t>Description</t>
  </si>
  <si>
    <t>Utilisation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</si>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</sst>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5"/>
    </xf>
    <xf numFmtId="0" fontId="3" fillId="2" borderId="2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left" vertical="center" wrapText="1" indent="1"/>
    </xf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AE9F-1A65-2948-B14A-DA00FE96D07C}">
  <dimension ref="A1:G9"/>
  <sheetViews>
    <sheetView workbookViewId="0">
      <selection activeCell="F1" sqref="F1:F1048576"/>
    </sheetView>
  </sheetViews>
  <sheetFormatPr baseColWidth="10" defaultRowHeight="16" x14ac:dyDescent="0.2"/>
  <cols>
    <col min="1" max="1" width="36.5" customWidth="1"/>
    <col min="2" max="2" width="34" customWidth="1"/>
    <col min="3" max="3" width="31.5" style="5" customWidth="1"/>
    <col min="4" max="4" width="13.33203125" customWidth="1"/>
    <col min="6" max="6" width="10.83203125" style="12"/>
  </cols>
  <sheetData>
    <row r="1" spans="1:7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0" t="s">
        <v>5</v>
      </c>
      <c r="G1" s="1" t="s">
        <v>6</v>
      </c>
    </row>
    <row r="2" spans="1:7" x14ac:dyDescent="0.2">
      <c r="A2" s="1" t="s">
        <v>7</v>
      </c>
      <c r="B2" s="2" t="s">
        <v>8</v>
      </c>
      <c r="C2" s="4">
        <v>1</v>
      </c>
      <c r="D2" s="2" t="s">
        <v>9</v>
      </c>
      <c r="E2" s="2">
        <v>915</v>
      </c>
      <c r="F2" s="11">
        <v>1</v>
      </c>
      <c r="G2" s="2">
        <v>915</v>
      </c>
    </row>
    <row r="3" spans="1:7" x14ac:dyDescent="0.2">
      <c r="A3" s="1" t="s">
        <v>7</v>
      </c>
      <c r="B3" s="2" t="s">
        <v>10</v>
      </c>
      <c r="C3" s="4">
        <v>1</v>
      </c>
      <c r="D3" s="2" t="s">
        <v>9</v>
      </c>
      <c r="E3" s="2">
        <v>412</v>
      </c>
      <c r="F3" s="11">
        <v>1</v>
      </c>
      <c r="G3" s="2">
        <v>412</v>
      </c>
    </row>
    <row r="4" spans="1:7" x14ac:dyDescent="0.2">
      <c r="A4" s="1" t="s">
        <v>7</v>
      </c>
      <c r="B4" s="2" t="s">
        <v>11</v>
      </c>
      <c r="C4" s="4">
        <v>1</v>
      </c>
      <c r="D4" s="2" t="s">
        <v>12</v>
      </c>
      <c r="E4" s="2">
        <v>76</v>
      </c>
      <c r="F4" s="11">
        <v>50</v>
      </c>
      <c r="G4" s="2">
        <v>3800</v>
      </c>
    </row>
    <row r="5" spans="1:7" x14ac:dyDescent="0.2">
      <c r="A5" s="1" t="s">
        <v>13</v>
      </c>
      <c r="B5" s="2" t="s">
        <v>14</v>
      </c>
      <c r="C5" s="4">
        <v>7</v>
      </c>
      <c r="D5" s="2" t="s">
        <v>15</v>
      </c>
      <c r="E5" s="2">
        <v>27</v>
      </c>
      <c r="F5" s="11">
        <v>100</v>
      </c>
      <c r="G5" s="2">
        <v>2700</v>
      </c>
    </row>
    <row r="6" spans="1:7" x14ac:dyDescent="0.2">
      <c r="A6" s="1" t="s">
        <v>16</v>
      </c>
      <c r="B6" s="2" t="s">
        <v>17</v>
      </c>
      <c r="C6" s="4">
        <v>2</v>
      </c>
      <c r="D6" s="2" t="s">
        <v>15</v>
      </c>
      <c r="E6" s="2">
        <v>126</v>
      </c>
      <c r="F6" s="11">
        <v>100</v>
      </c>
      <c r="G6" s="2">
        <v>12600</v>
      </c>
    </row>
    <row r="7" spans="1:7" x14ac:dyDescent="0.2">
      <c r="A7" s="1" t="s">
        <v>16</v>
      </c>
      <c r="B7" s="2" t="s">
        <v>18</v>
      </c>
      <c r="C7" s="4">
        <v>2</v>
      </c>
      <c r="D7" s="2" t="s">
        <v>12</v>
      </c>
      <c r="E7" s="2">
        <v>57</v>
      </c>
      <c r="F7" s="11">
        <v>50</v>
      </c>
      <c r="G7" s="2">
        <v>2850</v>
      </c>
    </row>
    <row r="8" spans="1:7" x14ac:dyDescent="0.2">
      <c r="A8" s="1" t="s">
        <v>19</v>
      </c>
      <c r="B8" s="2" t="s">
        <v>20</v>
      </c>
      <c r="C8" s="4">
        <v>3</v>
      </c>
      <c r="D8" s="2" t="s">
        <v>15</v>
      </c>
      <c r="E8" s="2">
        <v>126</v>
      </c>
      <c r="F8" s="11">
        <v>100</v>
      </c>
      <c r="G8" s="2">
        <v>12600</v>
      </c>
    </row>
    <row r="9" spans="1:7" x14ac:dyDescent="0.2">
      <c r="A9" s="1" t="s">
        <v>19</v>
      </c>
      <c r="B9" s="2" t="s">
        <v>18</v>
      </c>
      <c r="C9" s="4">
        <v>3</v>
      </c>
      <c r="D9" s="2" t="s">
        <v>12</v>
      </c>
      <c r="E9" s="2">
        <v>57</v>
      </c>
      <c r="F9" s="11">
        <v>50</v>
      </c>
      <c r="G9" s="2">
        <v>2850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FB67-D374-8348-8BBC-073F87CF7313}">
  <dimension ref="A1:D50"/>
  <sheetViews>
    <sheetView tabSelected="1" workbookViewId="0">
      <selection sqref="A1:D50"/>
    </sheetView>
  </sheetViews>
  <sheetFormatPr baseColWidth="10" defaultRowHeight="16" x14ac:dyDescent="0.2"/>
  <cols>
    <col min="1" max="1" width="59.5" customWidth="1"/>
    <col min="2" max="2" width="35" customWidth="1"/>
    <col min="3" max="3" width="29.1640625" customWidth="1"/>
    <col min="4" max="4" width="33.1640625" customWidth="1"/>
  </cols>
  <sheetData>
    <row r="1" spans="1:4" ht="19" customHeight="1" thickBot="1" x14ac:dyDescent="0.25">
      <c r="A1" s="6" t="s">
        <v>21</v>
      </c>
      <c r="B1" s="7" t="s">
        <v>22</v>
      </c>
      <c r="C1" s="8" t="s">
        <v>23</v>
      </c>
      <c r="D1" s="9" t="s">
        <v>24</v>
      </c>
    </row>
    <row r="2" spans="1:4" x14ac:dyDescent="0.2">
      <c r="A2" t="str">
        <f>IF(SF_Data!B2="","",SF_Data!B2&amp;" [SN:"&amp;SF_Data!C2&amp;"]")</f>
        <v>6Y Check [SN:1]</v>
      </c>
      <c r="B2" t="str">
        <f>IF(SF_Data!F2="","",TEXT(SF_Data!F2,"#,##0.00")&amp;" "&amp;IF(SF_Data!D2="Monthly", "Month",IF(SF_Data!D2="Cycles","Flight Cycle",IF(SF_Data!D2="Hours","Flight Hour",SF_Data!D2))))</f>
        <v>1.00 Month</v>
      </c>
      <c r="C2" s="12">
        <f>IF(SF_Data!E2="","",IF(SF_Data!E2=0,"N/A",SF_Data!E2))</f>
        <v>915</v>
      </c>
      <c r="D2" s="12">
        <f>IF(SF_Data!G2="","",SF_Data!G2)</f>
        <v>915</v>
      </c>
    </row>
    <row r="3" spans="1:4" x14ac:dyDescent="0.2">
      <c r="A3" t="str">
        <f>IF(SF_Data!B3="","",SF_Data!B3&amp;" [SN:"&amp;SF_Data!C3&amp;"]")</f>
        <v>12 Y Check [SN:1]</v>
      </c>
      <c r="B3" t="str">
        <f>IF(SF_Data!F3="","",TEXT(SF_Data!F3,"#,##0.00")&amp;" "&amp;IF(SF_Data!D3="Monthly", "Month",IF(SF_Data!D3="Cycles","Flight Cycle",IF(SF_Data!D3="Hours","Flight Hour",SF_Data!D3))))</f>
        <v>1.00 Month</v>
      </c>
      <c r="C3" s="12">
        <f>IF(SF_Data!E3="","",IF(SF_Data!E3=0,"N/A",SF_Data!E3))</f>
        <v>412</v>
      </c>
      <c r="D3" s="12">
        <f>IF(SF_Data!G3="","",SF_Data!G3)</f>
        <v>412</v>
      </c>
    </row>
    <row r="4" spans="1:4" x14ac:dyDescent="0.2">
      <c r="A4" t="str">
        <f>IF(SF_Data!B4="","",SF_Data!B4&amp;" [SN:"&amp;SF_Data!C4&amp;"]")</f>
        <v>LG Overhaul [SN:1]</v>
      </c>
      <c r="B4" t="str">
        <f>IF(SF_Data!F4="","",TEXT(SF_Data!F4,"#,##0.00")&amp;" "&amp;IF(SF_Data!D4="Monthly", "Month",IF(SF_Data!D4="Cycles","Flight Cycle",IF(SF_Data!D4="Hours","Flight Hour",SF_Data!D4))))</f>
        <v>50.00 Flight Cycle</v>
      </c>
      <c r="C4" s="12">
        <f>IF(SF_Data!E4="","",IF(SF_Data!E4=0,"N/A",SF_Data!E4))</f>
        <v>76</v>
      </c>
      <c r="D4" s="12">
        <f>IF(SF_Data!G4="","",SF_Data!G4)</f>
        <v>3800</v>
      </c>
    </row>
    <row r="5" spans="1:4" x14ac:dyDescent="0.2">
      <c r="A5" t="str">
        <f>IF(SF_Data!B5="","",SF_Data!B5&amp;" [SN:"&amp;SF_Data!C5&amp;"]")</f>
        <v>APU PR [SN:7]</v>
      </c>
      <c r="B5" t="str">
        <f>IF(SF_Data!F5="","",TEXT(SF_Data!F5,"#,##0.00")&amp;" "&amp;IF(SF_Data!D5="Monthly", "Month",IF(SF_Data!D5="Cycles","Flight Cycle",IF(SF_Data!D5="Hours","Flight Hour",SF_Data!D5))))</f>
        <v>100.00 Flight Hour</v>
      </c>
      <c r="C5" s="12">
        <f>IF(SF_Data!E5="","",IF(SF_Data!E5=0,"N/A",SF_Data!E5))</f>
        <v>27</v>
      </c>
      <c r="D5" s="12">
        <f>IF(SF_Data!G5="","",SF_Data!G5)</f>
        <v>2700</v>
      </c>
    </row>
    <row r="6" spans="1:4" x14ac:dyDescent="0.2">
      <c r="A6" t="str">
        <f>IF(SF_Data!B6="","",SF_Data!B6&amp;" [SN:"&amp;SF_Data!C6&amp;"]")</f>
        <v>E1 PR [SN:2]</v>
      </c>
      <c r="B6" t="str">
        <f>IF(SF_Data!F6="","",TEXT(SF_Data!F6,"#,##0.00")&amp;" "&amp;IF(SF_Data!D6="Monthly", "Month",IF(SF_Data!D6="Cycles","Flight Cycle",IF(SF_Data!D6="Hours","Flight Hour",SF_Data!D6))))</f>
        <v>100.00 Flight Hour</v>
      </c>
      <c r="C6" s="12">
        <f>IF(SF_Data!E6="","",IF(SF_Data!E6=0,"N/A",SF_Data!E6))</f>
        <v>126</v>
      </c>
      <c r="D6" s="12">
        <f>IF(SF_Data!G6="","",SF_Data!G6)</f>
        <v>12600</v>
      </c>
    </row>
    <row r="7" spans="1:4" x14ac:dyDescent="0.2">
      <c r="A7" t="str">
        <f>IF(SF_Data!B7="","",SF_Data!B7&amp;" [SN:"&amp;SF_Data!C7&amp;"]")</f>
        <v>E2 LLP [SN:2]</v>
      </c>
      <c r="B7" t="str">
        <f>IF(SF_Data!F7="","",TEXT(SF_Data!F7,"#,##0.00")&amp;" "&amp;IF(SF_Data!D7="Monthly", "Month",IF(SF_Data!D7="Cycles","Flight Cycle",IF(SF_Data!D7="Hours","Flight Hour",SF_Data!D7))))</f>
        <v>50.00 Flight Cycle</v>
      </c>
      <c r="C7" s="12">
        <f>IF(SF_Data!E7="","",IF(SF_Data!E7=0,"N/A",SF_Data!E7))</f>
        <v>57</v>
      </c>
      <c r="D7" s="12">
        <f>IF(SF_Data!G7="","",SF_Data!G7)</f>
        <v>2850</v>
      </c>
    </row>
    <row r="8" spans="1:4" x14ac:dyDescent="0.2">
      <c r="A8" t="str">
        <f>IF(SF_Data!B8="","",SF_Data!B8&amp;" [SN:"&amp;SF_Data!C8&amp;"]")</f>
        <v>E2 PR [SN:3]</v>
      </c>
      <c r="B8" t="str">
        <f>IF(SF_Data!F8="","",TEXT(SF_Data!F8,"#,##0.00")&amp;" "&amp;IF(SF_Data!D8="Monthly", "Month",IF(SF_Data!D8="Cycles","Flight Cycle",IF(SF_Data!D8="Hours","Flight Hour",SF_Data!D8))))</f>
        <v>100.00 Flight Hour</v>
      </c>
      <c r="C8" s="12">
        <f>IF(SF_Data!E8="","",IF(SF_Data!E8=0,"N/A",SF_Data!E8))</f>
        <v>126</v>
      </c>
      <c r="D8" s="12">
        <f>IF(SF_Data!G8="","",SF_Data!G8)</f>
        <v>12600</v>
      </c>
    </row>
    <row r="9" spans="1:4" x14ac:dyDescent="0.2">
      <c r="A9" t="str">
        <f>IF(SF_Data!B9="","",SF_Data!B9&amp;" [SN:"&amp;SF_Data!C9&amp;"]")</f>
        <v>E2 LLP [SN:3]</v>
      </c>
      <c r="B9" t="str">
        <f>IF(SF_Data!F9="","",TEXT(SF_Data!F9,"#,##0.00")&amp;" "&amp;IF(SF_Data!D9="Monthly", "Month",IF(SF_Data!D9="Cycles","Flight Cycle",IF(SF_Data!D9="Hours","Flight Hour",SF_Data!D9))))</f>
        <v>50.00 Flight Cycle</v>
      </c>
      <c r="C9" s="12">
        <f>IF(SF_Data!E9="","",IF(SF_Data!E9=0,"N/A",SF_Data!E9))</f>
        <v>57</v>
      </c>
      <c r="D9" s="12">
        <f>IF(SF_Data!G9="","",SF_Data!G9)</f>
        <v>2850</v>
      </c>
    </row>
    <row r="10" spans="1:4" x14ac:dyDescent="0.2">
      <c r="A10" t="str">
        <f>IF(SF_Data!B10="","",SF_Data!B10&amp;" [SN:"&amp;SF_Data!C10&amp;"]")</f>
        <v/>
      </c>
      <c r="B10" t="str">
        <f>IF(SF_Data!F10="","",TEXT(SF_Data!F10,"#,##0.00")&amp;" "&amp;IF(SF_Data!D10="Monthly", "Month",IF(SF_Data!D10="Cycles","Flight Cycle",IF(SF_Data!D10="Hours","Flight Hour",SF_Data!D10))))</f>
        <v/>
      </c>
      <c r="C10" s="12" t="str">
        <f>IF(SF_Data!E10="","",IF(SF_Data!E10=0,"N/A",SF_Data!E10))</f>
        <v/>
      </c>
      <c r="D10" s="12" t="str">
        <f>IF(SF_Data!G10="","",SF_Data!G10)</f>
        <v/>
      </c>
    </row>
    <row r="11" spans="1:4" x14ac:dyDescent="0.2">
      <c r="A11" t="str">
        <f>IF(SF_Data!B11="","",SF_Data!B11&amp;" [SN:"&amp;SF_Data!C11&amp;"]")</f>
        <v/>
      </c>
      <c r="B11" t="str">
        <f>IF(SF_Data!F11="","",TEXT(SF_Data!F11,"#,##0.00")&amp;" "&amp;IF(SF_Data!D11="Monthly", "Month",IF(SF_Data!D11="Cycles","Flight Cycle",IF(SF_Data!D11="Hours","Flight Hour",SF_Data!D11))))</f>
        <v/>
      </c>
      <c r="C11" s="12" t="str">
        <f>IF(SF_Data!E11="","",IF(SF_Data!E11=0,"N/A",SF_Data!E11))</f>
        <v/>
      </c>
      <c r="D11" s="12" t="str">
        <f>IF(SF_Data!G11="","",SF_Data!G11)</f>
        <v/>
      </c>
    </row>
    <row r="12" spans="1:4" x14ac:dyDescent="0.2">
      <c r="A12" t="str">
        <f>IF(SF_Data!B12="","",SF_Data!B12&amp;" [SN:"&amp;SF_Data!C12&amp;"]")</f>
        <v/>
      </c>
      <c r="B12" t="str">
        <f>IF(SF_Data!F12="","",TEXT(SF_Data!F12,"#,##0.00")&amp;" "&amp;IF(SF_Data!D12="Monthly", "Month",IF(SF_Data!D12="Cycles","Flight Cycle",IF(SF_Data!D12="Hours","Flight Hour",SF_Data!D12))))</f>
        <v/>
      </c>
      <c r="C12" s="12" t="str">
        <f>IF(SF_Data!E12="","",IF(SF_Data!E12=0,"N/A",SF_Data!E12))</f>
        <v/>
      </c>
      <c r="D12" s="12" t="str">
        <f>IF(SF_Data!G12="","",SF_Data!G12)</f>
        <v/>
      </c>
    </row>
    <row r="13" spans="1:4" x14ac:dyDescent="0.2">
      <c r="A13" t="str">
        <f>IF(SF_Data!B13="","",SF_Data!B13&amp;" [SN:"&amp;SF_Data!C13&amp;"]")</f>
        <v/>
      </c>
      <c r="B13" t="str">
        <f>IF(SF_Data!F13="","",TEXT(SF_Data!F13,"#,##0.00")&amp;" "&amp;IF(SF_Data!D13="Monthly", "Month",IF(SF_Data!D13="Cycles","Flight Cycle",IF(SF_Data!D13="Hours","Flight Hour",SF_Data!D13))))</f>
        <v/>
      </c>
      <c r="C13" s="12" t="str">
        <f>IF(SF_Data!E13="","",IF(SF_Data!E13=0,"N/A",SF_Data!E13))</f>
        <v/>
      </c>
      <c r="D13" s="12" t="str">
        <f>IF(SF_Data!G13="","",SF_Data!G13)</f>
        <v/>
      </c>
    </row>
    <row r="14" spans="1:4" x14ac:dyDescent="0.2">
      <c r="A14" t="str">
        <f>IF(SF_Data!B14="","",SF_Data!B14&amp;" [SN:"&amp;SF_Data!C14&amp;"]")</f>
        <v/>
      </c>
      <c r="B14" t="str">
        <f>IF(SF_Data!F14="","",TEXT(SF_Data!F14,"#,##0.00")&amp;" "&amp;IF(SF_Data!D14="Monthly", "Month",IF(SF_Data!D14="Cycles","Flight Cycle",IF(SF_Data!D14="Hours","Flight Hour",SF_Data!D14))))</f>
        <v/>
      </c>
      <c r="C14" s="12" t="str">
        <f>IF(SF_Data!E14="","",IF(SF_Data!E14=0,"N/A",SF_Data!E14))</f>
        <v/>
      </c>
      <c r="D14" s="12" t="str">
        <f>IF(SF_Data!G14="","",SF_Data!G14)</f>
        <v/>
      </c>
    </row>
    <row r="15" spans="1:4" x14ac:dyDescent="0.2">
      <c r="A15" t="str">
        <f>IF(SF_Data!B15="","",SF_Data!B15&amp;" [SN:"&amp;SF_Data!C15&amp;"]")</f>
        <v/>
      </c>
      <c r="B15" t="str">
        <f>IF(SF_Data!F15="","",TEXT(SF_Data!F15,"#,##0.00")&amp;" "&amp;IF(SF_Data!D15="Monthly", "Month",IF(SF_Data!D15="Cycles","Flight Cycle",IF(SF_Data!D15="Hours","Flight Hour",SF_Data!D15))))</f>
        <v/>
      </c>
      <c r="C15" s="12" t="str">
        <f>IF(SF_Data!E15="","",IF(SF_Data!E15=0,"N/A",SF_Data!E15))</f>
        <v/>
      </c>
      <c r="D15" s="12" t="str">
        <f>IF(SF_Data!G15="","",SF_Data!G15)</f>
        <v/>
      </c>
    </row>
    <row r="16" spans="1:4" x14ac:dyDescent="0.2">
      <c r="A16" t="str">
        <f>IF(SF_Data!B16="","",SF_Data!B16&amp;" [SN:"&amp;SF_Data!C16&amp;"]")</f>
        <v/>
      </c>
      <c r="B16" t="str">
        <f>IF(SF_Data!F16="","",TEXT(SF_Data!F16,"#,##0.00")&amp;" "&amp;IF(SF_Data!D16="Monthly", "Month",IF(SF_Data!D16="Cycles","Flight Cycle",IF(SF_Data!D16="Hours","Flight Hour",SF_Data!D16))))</f>
        <v/>
      </c>
      <c r="C16" s="12" t="str">
        <f>IF(SF_Data!E16="","",IF(SF_Data!E16=0,"N/A",SF_Data!E16))</f>
        <v/>
      </c>
      <c r="D16" s="12" t="str">
        <f>IF(SF_Data!G16="","",SF_Data!G16)</f>
        <v/>
      </c>
    </row>
    <row r="17" spans="1:4" x14ac:dyDescent="0.2">
      <c r="A17" t="str">
        <f>IF(SF_Data!B17="","",SF_Data!B17&amp;" [SN:"&amp;SF_Data!C17&amp;"]")</f>
        <v/>
      </c>
      <c r="B17" t="str">
        <f>IF(SF_Data!F17="","",TEXT(SF_Data!F17,"#,##0.00")&amp;" "&amp;IF(SF_Data!D17="Monthly", "Month",IF(SF_Data!D17="Cycles","Flight Cycle",IF(SF_Data!D17="Hours","Flight Hour",SF_Data!D17))))</f>
        <v/>
      </c>
      <c r="C17" s="12" t="str">
        <f>IF(SF_Data!E17="","",IF(SF_Data!E17=0,"N/A",SF_Data!E17))</f>
        <v/>
      </c>
      <c r="D17" s="12" t="str">
        <f>IF(SF_Data!G17="","",SF_Data!G17)</f>
        <v/>
      </c>
    </row>
    <row r="18" spans="1:4" x14ac:dyDescent="0.2">
      <c r="A18" t="str">
        <f>IF(SF_Data!B18="","",SF_Data!B18&amp;" [SN:"&amp;SF_Data!C18&amp;"]")</f>
        <v/>
      </c>
      <c r="B18" t="str">
        <f>IF(SF_Data!F18="","",TEXT(SF_Data!F18,"#,##0.00")&amp;" "&amp;IF(SF_Data!D18="Monthly", "Month",IF(SF_Data!D18="Cycles","Flight Cycle",IF(SF_Data!D18="Hours","Flight Hour",SF_Data!D18))))</f>
        <v/>
      </c>
      <c r="C18" s="12" t="str">
        <f>IF(SF_Data!E18="","",IF(SF_Data!E18=0,"N/A",SF_Data!E18))</f>
        <v/>
      </c>
      <c r="D18" s="12" t="str">
        <f>IF(SF_Data!G18="","",SF_Data!G18)</f>
        <v/>
      </c>
    </row>
    <row r="19" spans="1:4" x14ac:dyDescent="0.2">
      <c r="A19" t="str">
        <f>IF(SF_Data!B19="","",SF_Data!B19&amp;" [SN:"&amp;SF_Data!C19&amp;"]")</f>
        <v/>
      </c>
      <c r="B19" t="str">
        <f>IF(SF_Data!F19="","",TEXT(SF_Data!F19,"#,##0.00")&amp;" "&amp;IF(SF_Data!D19="Monthly", "Month",IF(SF_Data!D19="Cycles","Flight Cycle",IF(SF_Data!D19="Hours","Flight Hour",SF_Data!D19))))</f>
        <v/>
      </c>
      <c r="C19" s="12" t="str">
        <f>IF(SF_Data!E19="","",IF(SF_Data!E19=0,"N/A",SF_Data!E19))</f>
        <v/>
      </c>
      <c r="D19" s="12" t="str">
        <f>IF(SF_Data!G19="","",SF_Data!G19)</f>
        <v/>
      </c>
    </row>
    <row r="20" spans="1:4" x14ac:dyDescent="0.2">
      <c r="A20" t="str">
        <f>IF(SF_Data!B20="","",SF_Data!B20&amp;" [SN:"&amp;SF_Data!C20&amp;"]")</f>
        <v/>
      </c>
      <c r="B20" t="str">
        <f>IF(SF_Data!F20="","",TEXT(SF_Data!F20,"#,##0.00")&amp;" "&amp;IF(SF_Data!D20="Monthly", "Month",IF(SF_Data!D20="Cycles","Flight Cycle",IF(SF_Data!D20="Hours","Flight Hour",SF_Data!D20))))</f>
        <v/>
      </c>
      <c r="C20" s="12" t="str">
        <f>IF(SF_Data!E20="","",IF(SF_Data!E20=0,"N/A",SF_Data!E20))</f>
        <v/>
      </c>
      <c r="D20" s="12" t="str">
        <f>IF(SF_Data!G20="","",SF_Data!G20)</f>
        <v/>
      </c>
    </row>
    <row r="21" spans="1:4" x14ac:dyDescent="0.2">
      <c r="A21" t="str">
        <f>IF(SF_Data!B21="","",SF_Data!B21&amp;" [SN:"&amp;SF_Data!C21&amp;"]")</f>
        <v/>
      </c>
      <c r="B21" t="str">
        <f>IF(SF_Data!F21="","",TEXT(SF_Data!F21,"#,##0.00")&amp;" "&amp;IF(SF_Data!D21="Monthly", "Month",IF(SF_Data!D21="Cycles","Flight Cycle",IF(SF_Data!D21="Hours","Flight Hour",SF_Data!D21))))</f>
        <v/>
      </c>
      <c r="C21" s="12" t="str">
        <f>IF(SF_Data!E21="","",IF(SF_Data!E21=0,"N/A",SF_Data!E21))</f>
        <v/>
      </c>
      <c r="D21" s="12" t="str">
        <f>IF(SF_Data!G21="","",SF_Data!G21)</f>
        <v/>
      </c>
    </row>
    <row r="22" spans="1:4" x14ac:dyDescent="0.2">
      <c r="A22" t="str">
        <f>IF(SF_Data!B22="","",SF_Data!B22&amp;" [SN:"&amp;SF_Data!C22&amp;"]")</f>
        <v/>
      </c>
      <c r="B22" t="str">
        <f>IF(SF_Data!F22="","",TEXT(SF_Data!F22,"#,##0.00")&amp;" "&amp;IF(SF_Data!D22="Monthly", "Month",IF(SF_Data!D22="Cycles","Flight Cycle",IF(SF_Data!D22="Hours","Flight Hour",SF_Data!D22))))</f>
        <v/>
      </c>
      <c r="C22" s="12" t="str">
        <f>IF(SF_Data!E22="","",IF(SF_Data!E22=0,"N/A",SF_Data!E22))</f>
        <v/>
      </c>
      <c r="D22" s="12" t="str">
        <f>IF(SF_Data!G22="","",SF_Data!G22)</f>
        <v/>
      </c>
    </row>
    <row r="23" spans="1:4" x14ac:dyDescent="0.2">
      <c r="A23" t="str">
        <f>IF(SF_Data!B23="","",SF_Data!B23&amp;" [SN:"&amp;SF_Data!C23&amp;"]")</f>
        <v/>
      </c>
      <c r="B23" t="str">
        <f>IF(SF_Data!F23="","",TEXT(SF_Data!F23,"#,##0.00")&amp;" "&amp;IF(SF_Data!D23="Monthly", "Month",IF(SF_Data!D23="Cycles","Flight Cycle",IF(SF_Data!D23="Hours","Flight Hour",SF_Data!D23))))</f>
        <v/>
      </c>
      <c r="C23" s="12" t="str">
        <f>IF(SF_Data!E23="","",IF(SF_Data!E23=0,"N/A",SF_Data!E23))</f>
        <v/>
      </c>
      <c r="D23" s="12" t="str">
        <f>IF(SF_Data!G23="","",SF_Data!G23)</f>
        <v/>
      </c>
    </row>
    <row r="24" spans="1:4" x14ac:dyDescent="0.2">
      <c r="A24" t="str">
        <f>IF(SF_Data!B24="","",SF_Data!B24&amp;" [SN:"&amp;SF_Data!C24&amp;"]")</f>
        <v/>
      </c>
      <c r="B24" t="str">
        <f>IF(SF_Data!F24="","",TEXT(SF_Data!F24,"#,##0.00")&amp;" "&amp;IF(SF_Data!D24="Monthly", "Month",IF(SF_Data!D24="Cycles","Flight Cycle",IF(SF_Data!D24="Hours","Flight Hour",SF_Data!D24))))</f>
        <v/>
      </c>
      <c r="C24" s="12" t="str">
        <f>IF(SF_Data!E24="","",IF(SF_Data!E24=0,"N/A",SF_Data!E24))</f>
        <v/>
      </c>
      <c r="D24" s="12" t="str">
        <f>IF(SF_Data!G24="","",SF_Data!G24)</f>
        <v/>
      </c>
    </row>
    <row r="25" spans="1:4" x14ac:dyDescent="0.2">
      <c r="A25" t="str">
        <f>IF(SF_Data!B25="","",SF_Data!B25&amp;" [SN:"&amp;SF_Data!C25&amp;"]")</f>
        <v/>
      </c>
      <c r="B25" t="str">
        <f>IF(SF_Data!F25="","",TEXT(SF_Data!F25,"#,##0.00")&amp;" "&amp;IF(SF_Data!D25="Monthly", "Month",IF(SF_Data!D25="Cycles","Flight Cycle",IF(SF_Data!D25="Hours","Flight Hour",SF_Data!D25))))</f>
        <v/>
      </c>
      <c r="C25" s="12" t="str">
        <f>IF(SF_Data!E25="","",IF(SF_Data!E25=0,"N/A",SF_Data!E25))</f>
        <v/>
      </c>
      <c r="D25" s="12" t="str">
        <f>IF(SF_Data!G25="","",SF_Data!G25)</f>
        <v/>
      </c>
    </row>
    <row r="26" spans="1:4" x14ac:dyDescent="0.2">
      <c r="A26" t="str">
        <f>IF(SF_Data!B26="","",SF_Data!B26&amp;" [SN:"&amp;SF_Data!C26&amp;"]")</f>
        <v/>
      </c>
      <c r="B26" t="str">
        <f>IF(SF_Data!F26="","",TEXT(SF_Data!F26,"#,##0.00")&amp;" "&amp;IF(SF_Data!D26="Monthly", "Month",IF(SF_Data!D26="Cycles","Flight Cycle",IF(SF_Data!D26="Hours","Flight Hour",SF_Data!D26))))</f>
        <v/>
      </c>
      <c r="C26" s="12" t="str">
        <f>IF(SF_Data!E26="","",IF(SF_Data!E26=0,"N/A",SF_Data!E26))</f>
        <v/>
      </c>
      <c r="D26" s="12" t="str">
        <f>IF(SF_Data!G26="","",SF_Data!G26)</f>
        <v/>
      </c>
    </row>
    <row r="27" spans="1:4" x14ac:dyDescent="0.2">
      <c r="A27" t="str">
        <f>IF(SF_Data!B27="","",SF_Data!B27&amp;" [SN:"&amp;SF_Data!C27&amp;"]")</f>
        <v/>
      </c>
      <c r="B27" t="str">
        <f>IF(SF_Data!F27="","",TEXT(SF_Data!F27,"#,##0.00")&amp;" "&amp;IF(SF_Data!D27="Monthly", "Month",IF(SF_Data!D27="Cycles","Flight Cycle",IF(SF_Data!D27="Hours","Flight Hour",SF_Data!D27))))</f>
        <v/>
      </c>
      <c r="C27" s="12" t="str">
        <f>IF(SF_Data!E27="","",IF(SF_Data!E27=0,"N/A",SF_Data!E27))</f>
        <v/>
      </c>
      <c r="D27" s="12" t="str">
        <f>IF(SF_Data!G27="","",SF_Data!G27)</f>
        <v/>
      </c>
    </row>
    <row r="28" spans="1:4" x14ac:dyDescent="0.2">
      <c r="A28" t="str">
        <f>IF(SF_Data!B28="","",SF_Data!B28&amp;" [SN:"&amp;SF_Data!C28&amp;"]")</f>
        <v/>
      </c>
      <c r="B28" t="str">
        <f>IF(SF_Data!F28="","",TEXT(SF_Data!F28,"#,##0.00")&amp;" "&amp;IF(SF_Data!D28="Monthly", "Month",IF(SF_Data!D28="Cycles","Flight Cycle",IF(SF_Data!D28="Hours","Flight Hour",SF_Data!D28))))</f>
        <v/>
      </c>
      <c r="C28" s="12" t="str">
        <f>IF(SF_Data!E28="","",IF(SF_Data!E28=0,"N/A",SF_Data!E28))</f>
        <v/>
      </c>
      <c r="D28" s="12" t="str">
        <f>IF(SF_Data!G28="","",SF_Data!G28)</f>
        <v/>
      </c>
    </row>
    <row r="29" spans="1:4" x14ac:dyDescent="0.2">
      <c r="A29" t="str">
        <f>IF(SF_Data!B29="","",SF_Data!B29&amp;" [SN:"&amp;SF_Data!C29&amp;"]")</f>
        <v/>
      </c>
      <c r="B29" t="str">
        <f>IF(SF_Data!F29="","",TEXT(SF_Data!F29,"#,##0.00")&amp;" "&amp;IF(SF_Data!D29="Monthly", "Month",IF(SF_Data!D29="Cycles","Flight Cycle",IF(SF_Data!D29="Hours","Flight Hour",SF_Data!D29))))</f>
        <v/>
      </c>
      <c r="C29" s="12" t="str">
        <f>IF(SF_Data!E29="","",IF(SF_Data!E29=0,"N/A",SF_Data!E29))</f>
        <v/>
      </c>
      <c r="D29" s="12" t="str">
        <f>IF(SF_Data!G29="","",SF_Data!G29)</f>
        <v/>
      </c>
    </row>
    <row r="30" spans="1:4" x14ac:dyDescent="0.2">
      <c r="A30" t="str">
        <f>IF(SF_Data!B30="","",SF_Data!B30&amp;" [SN:"&amp;SF_Data!C30&amp;"]")</f>
        <v/>
      </c>
      <c r="B30" t="str">
        <f>IF(SF_Data!F30="","",TEXT(SF_Data!F30,"#,##0.00")&amp;" "&amp;IF(SF_Data!D30="Monthly", "Month",IF(SF_Data!D30="Cycles","Flight Cycle",IF(SF_Data!D30="Hours","Flight Hour",SF_Data!D30))))</f>
        <v/>
      </c>
      <c r="C30" s="12" t="str">
        <f>IF(SF_Data!E30="","",IF(SF_Data!E30=0,"N/A",SF_Data!E30))</f>
        <v/>
      </c>
      <c r="D30" s="12" t="str">
        <f>IF(SF_Data!G30="","",SF_Data!G30)</f>
        <v/>
      </c>
    </row>
    <row r="31" spans="1:4" x14ac:dyDescent="0.2">
      <c r="A31" t="str">
        <f>IF(SF_Data!B31="","",SF_Data!B31&amp;" [SN:"&amp;SF_Data!C31&amp;"]")</f>
        <v/>
      </c>
      <c r="B31" t="str">
        <f>IF(SF_Data!F31="","",TEXT(SF_Data!F31,"#,##0.00")&amp;" "&amp;IF(SF_Data!D31="Monthly", "Month",IF(SF_Data!D31="Cycles","Flight Cycle",IF(SF_Data!D31="Hours","Flight Hour",SF_Data!D31))))</f>
        <v/>
      </c>
      <c r="C31" s="12" t="str">
        <f>IF(SF_Data!E31="","",IF(SF_Data!E31=0,"N/A",SF_Data!E31))</f>
        <v/>
      </c>
      <c r="D31" s="12" t="str">
        <f>IF(SF_Data!G31="","",SF_Data!G31)</f>
        <v/>
      </c>
    </row>
    <row r="32" spans="1:4" x14ac:dyDescent="0.2">
      <c r="A32" t="str">
        <f>IF(SF_Data!B32="","",SF_Data!B32&amp;" [SN:"&amp;SF_Data!C32&amp;"]")</f>
        <v/>
      </c>
      <c r="B32" t="str">
        <f>IF(SF_Data!F32="","",TEXT(SF_Data!F32,"#,##0.00")&amp;" "&amp;IF(SF_Data!D32="Monthly", "Month",IF(SF_Data!D32="Cycles","Flight Cycle",IF(SF_Data!D32="Hours","Flight Hour",SF_Data!D32))))</f>
        <v/>
      </c>
      <c r="C32" s="12" t="str">
        <f>IF(SF_Data!E32="","",IF(SF_Data!E32=0,"N/A",SF_Data!E32))</f>
        <v/>
      </c>
      <c r="D32" s="12" t="str">
        <f>IF(SF_Data!G32="","",SF_Data!G32)</f>
        <v/>
      </c>
    </row>
    <row r="33" spans="1:4" x14ac:dyDescent="0.2">
      <c r="A33" t="str">
        <f>IF(SF_Data!B33="","",SF_Data!B33&amp;" [SN:"&amp;SF_Data!C33&amp;"]")</f>
        <v/>
      </c>
      <c r="B33" t="str">
        <f>IF(SF_Data!F33="","",TEXT(SF_Data!F33,"#,##0.00")&amp;" "&amp;IF(SF_Data!D33="Monthly", "Month",IF(SF_Data!D33="Cycles","Flight Cycle",IF(SF_Data!D33="Hours","Flight Hour",SF_Data!D33))))</f>
        <v/>
      </c>
      <c r="C33" s="12" t="str">
        <f>IF(SF_Data!E33="","",IF(SF_Data!E33=0,"N/A",SF_Data!E33))</f>
        <v/>
      </c>
      <c r="D33" s="12" t="str">
        <f>IF(SF_Data!G33="","",SF_Data!G33)</f>
        <v/>
      </c>
    </row>
    <row r="34" spans="1:4" x14ac:dyDescent="0.2">
      <c r="A34" t="str">
        <f>IF(SF_Data!B34="","",SF_Data!B34&amp;" [SN:"&amp;SF_Data!C34&amp;"]")</f>
        <v/>
      </c>
      <c r="B34" t="str">
        <f>IF(SF_Data!F34="","",TEXT(SF_Data!F34,"#,##0.00")&amp;" "&amp;IF(SF_Data!D34="Monthly", "Month",IF(SF_Data!D34="Cycles","Flight Cycle",IF(SF_Data!D34="Hours","Flight Hour",SF_Data!D34))))</f>
        <v/>
      </c>
      <c r="C34" s="12" t="str">
        <f>IF(SF_Data!E34="","",IF(SF_Data!E34=0,"N/A",SF_Data!E34))</f>
        <v/>
      </c>
      <c r="D34" s="12" t="str">
        <f>IF(SF_Data!G34="","",SF_Data!G34)</f>
        <v/>
      </c>
    </row>
    <row r="35" spans="1:4" x14ac:dyDescent="0.2">
      <c r="A35" t="str">
        <f>IF(SF_Data!B35="","",SF_Data!B35&amp;" [SN:"&amp;SF_Data!C35&amp;"]")</f>
        <v/>
      </c>
      <c r="B35" t="str">
        <f>IF(SF_Data!F35="","",TEXT(SF_Data!F35,"#,##0.00")&amp;" "&amp;IF(SF_Data!D35="Monthly", "Month",IF(SF_Data!D35="Cycles","Flight Cycle",IF(SF_Data!D35="Hours","Flight Hour",SF_Data!D35))))</f>
        <v/>
      </c>
      <c r="C35" s="12" t="str">
        <f>IF(SF_Data!E35="","",IF(SF_Data!E35=0,"N/A",SF_Data!E35))</f>
        <v/>
      </c>
      <c r="D35" s="12" t="str">
        <f>IF(SF_Data!G35="","",SF_Data!G35)</f>
        <v/>
      </c>
    </row>
    <row r="36" spans="1:4" x14ac:dyDescent="0.2">
      <c r="A36" t="str">
        <f>IF(SF_Data!B36="","",SF_Data!B36&amp;" [SN:"&amp;SF_Data!C36&amp;"]")</f>
        <v/>
      </c>
      <c r="B36" t="str">
        <f>IF(SF_Data!F36="","",TEXT(SF_Data!F36,"#,##0.00")&amp;" "&amp;IF(SF_Data!D36="Monthly", "Month",IF(SF_Data!D36="Cycles","Flight Cycle",IF(SF_Data!D36="Hours","Flight Hour",SF_Data!D36))))</f>
        <v/>
      </c>
      <c r="C36" s="12" t="str">
        <f>IF(SF_Data!E36="","",IF(SF_Data!E36=0,"N/A",SF_Data!E36))</f>
        <v/>
      </c>
      <c r="D36" s="12" t="str">
        <f>IF(SF_Data!G36="","",SF_Data!G36)</f>
        <v/>
      </c>
    </row>
    <row r="37" spans="1:4" x14ac:dyDescent="0.2">
      <c r="A37" t="str">
        <f>IF(SF_Data!B37="","",SF_Data!B37&amp;" [SN:"&amp;SF_Data!C37&amp;"]")</f>
        <v/>
      </c>
      <c r="B37" t="str">
        <f>IF(SF_Data!F37="","",TEXT(SF_Data!F37,"#,##0.00")&amp;" "&amp;IF(SF_Data!D37="Monthly", "Month",IF(SF_Data!D37="Cycles","Flight Cycle",IF(SF_Data!D37="Hours","Flight Hour",SF_Data!D37))))</f>
        <v/>
      </c>
      <c r="C37" s="12" t="str">
        <f>IF(SF_Data!E37="","",IF(SF_Data!E37=0,"N/A",SF_Data!E37))</f>
        <v/>
      </c>
      <c r="D37" s="12" t="str">
        <f>IF(SF_Data!G37="","",SF_Data!G37)</f>
        <v/>
      </c>
    </row>
    <row r="38" spans="1:4" x14ac:dyDescent="0.2">
      <c r="A38" t="str">
        <f>IF(SF_Data!B38="","",SF_Data!B38&amp;" [SN:"&amp;SF_Data!C38&amp;"]")</f>
        <v/>
      </c>
      <c r="B38" t="str">
        <f>IF(SF_Data!F38="","",TEXT(SF_Data!F38,"#,##0.00")&amp;" "&amp;IF(SF_Data!D38="Monthly", "Month",IF(SF_Data!D38="Cycles","Flight Cycle",IF(SF_Data!D38="Hours","Flight Hour",SF_Data!D38))))</f>
        <v/>
      </c>
      <c r="C38" s="12" t="str">
        <f>IF(SF_Data!E38="","",IF(SF_Data!E38=0,"N/A",SF_Data!E38))</f>
        <v/>
      </c>
      <c r="D38" s="12" t="str">
        <f>IF(SF_Data!G38="","",SF_Data!G38)</f>
        <v/>
      </c>
    </row>
    <row r="39" spans="1:4" x14ac:dyDescent="0.2">
      <c r="A39" t="str">
        <f>IF(SF_Data!B39="","",SF_Data!B39&amp;" [SN:"&amp;SF_Data!C39&amp;"]")</f>
        <v/>
      </c>
      <c r="B39" t="str">
        <f>IF(SF_Data!F39="","",TEXT(SF_Data!F39,"#,##0.00")&amp;" "&amp;IF(SF_Data!D39="Monthly", "Month",IF(SF_Data!D39="Cycles","Flight Cycle",IF(SF_Data!D39="Hours","Flight Hour",SF_Data!D39))))</f>
        <v/>
      </c>
      <c r="C39" s="12" t="str">
        <f>IF(SF_Data!E39="","",IF(SF_Data!E39=0,"N/A",SF_Data!E39))</f>
        <v/>
      </c>
      <c r="D39" s="12" t="str">
        <f>IF(SF_Data!G39="","",SF_Data!G39)</f>
        <v/>
      </c>
    </row>
    <row r="40" spans="1:4" x14ac:dyDescent="0.2">
      <c r="A40" t="str">
        <f>IF(SF_Data!B40="","",SF_Data!B40&amp;" [SN:"&amp;SF_Data!C40&amp;"]")</f>
        <v/>
      </c>
      <c r="B40" t="str">
        <f>IF(SF_Data!F40="","",TEXT(SF_Data!F40,"#,##0.00")&amp;" "&amp;IF(SF_Data!D40="Monthly", "Month",IF(SF_Data!D40="Cycles","Flight Cycle",IF(SF_Data!D40="Hours","Flight Hour",SF_Data!D40))))</f>
        <v/>
      </c>
      <c r="C40" s="12" t="str">
        <f>IF(SF_Data!E40="","",IF(SF_Data!E40=0,"N/A",SF_Data!E40))</f>
        <v/>
      </c>
      <c r="D40" s="12" t="str">
        <f>IF(SF_Data!G40="","",SF_Data!G40)</f>
        <v/>
      </c>
    </row>
    <row r="41" spans="1:4" x14ac:dyDescent="0.2">
      <c r="A41" t="str">
        <f>IF(SF_Data!B41="","",SF_Data!B41&amp;" [SN:"&amp;SF_Data!C41&amp;"]")</f>
        <v/>
      </c>
      <c r="B41" t="str">
        <f>IF(SF_Data!F41="","",TEXT(SF_Data!F41,"#,##0.00")&amp;" "&amp;IF(SF_Data!D41="Monthly", "Month",IF(SF_Data!D41="Cycles","Flight Cycle",IF(SF_Data!D41="Hours","Flight Hour",SF_Data!D41))))</f>
        <v/>
      </c>
      <c r="C41" s="12" t="str">
        <f>IF(SF_Data!E41="","",IF(SF_Data!E41=0,"N/A",SF_Data!E41))</f>
        <v/>
      </c>
      <c r="D41" s="12" t="str">
        <f>IF(SF_Data!G41="","",SF_Data!G41)</f>
        <v/>
      </c>
    </row>
    <row r="42" spans="1:4" x14ac:dyDescent="0.2">
      <c r="A42" t="str">
        <f>IF(SF_Data!B42="","",SF_Data!B42&amp;" [SN:"&amp;SF_Data!C42&amp;"]")</f>
        <v/>
      </c>
      <c r="B42" t="str">
        <f>IF(SF_Data!F42="","",TEXT(SF_Data!F42,"#,##0.00")&amp;" "&amp;IF(SF_Data!D42="Monthly", "Month",IF(SF_Data!D42="Cycles","Flight Cycle",IF(SF_Data!D42="Hours","Flight Hour",SF_Data!D42))))</f>
        <v/>
      </c>
      <c r="C42" s="12" t="str">
        <f>IF(SF_Data!E42="","",IF(SF_Data!E42=0,"N/A",SF_Data!E42))</f>
        <v/>
      </c>
      <c r="D42" s="12" t="str">
        <f>IF(SF_Data!G42="","",SF_Data!G42)</f>
        <v/>
      </c>
    </row>
    <row r="43" spans="1:4" x14ac:dyDescent="0.2">
      <c r="A43" t="str">
        <f>IF(SF_Data!B43="","",SF_Data!B43&amp;" [SN:"&amp;SF_Data!C43&amp;"]")</f>
        <v/>
      </c>
      <c r="B43" t="str">
        <f>IF(SF_Data!F43="","",TEXT(SF_Data!F43,"#,##0.00")&amp;" "&amp;IF(SF_Data!D43="Monthly", "Month",IF(SF_Data!D43="Cycles","Flight Cycle",IF(SF_Data!D43="Hours","Flight Hour",SF_Data!D43))))</f>
        <v/>
      </c>
      <c r="C43" s="12" t="str">
        <f>IF(SF_Data!E43="","",IF(SF_Data!E43=0,"N/A",SF_Data!E43))</f>
        <v/>
      </c>
      <c r="D43" s="12" t="str">
        <f>IF(SF_Data!G43="","",SF_Data!G43)</f>
        <v/>
      </c>
    </row>
    <row r="44" spans="1:4" x14ac:dyDescent="0.2">
      <c r="A44" t="str">
        <f>IF(SF_Data!B44="","",SF_Data!B44&amp;" [SN:"&amp;SF_Data!C44&amp;"]")</f>
        <v/>
      </c>
      <c r="B44" t="str">
        <f>IF(SF_Data!F44="","",TEXT(SF_Data!F44,"#,##0.00")&amp;" "&amp;IF(SF_Data!D44="Monthly", "Month",IF(SF_Data!D44="Cycles","Flight Cycle",IF(SF_Data!D44="Hours","Flight Hour",SF_Data!D44))))</f>
        <v/>
      </c>
      <c r="C44" s="12" t="str">
        <f>IF(SF_Data!E44="","",IF(SF_Data!E44=0,"N/A",SF_Data!E44))</f>
        <v/>
      </c>
      <c r="D44" s="12" t="str">
        <f>IF(SF_Data!G44="","",SF_Data!G44)</f>
        <v/>
      </c>
    </row>
    <row r="45" spans="1:4" x14ac:dyDescent="0.2">
      <c r="A45" t="str">
        <f>IF(SF_Data!B45="","",SF_Data!B45&amp;" [SN:"&amp;SF_Data!C45&amp;"]")</f>
        <v/>
      </c>
      <c r="B45" t="str">
        <f>IF(SF_Data!F45="","",TEXT(SF_Data!F45,"#,##0.00")&amp;" "&amp;IF(SF_Data!D45="Monthly", "Month",IF(SF_Data!D45="Cycles","Flight Cycle",IF(SF_Data!D45="Hours","Flight Hour",SF_Data!D45))))</f>
        <v/>
      </c>
      <c r="C45" s="12" t="str">
        <f>IF(SF_Data!E45="","",IF(SF_Data!E45=0,"N/A",SF_Data!E45))</f>
        <v/>
      </c>
      <c r="D45" s="12" t="str">
        <f>IF(SF_Data!G45="","",SF_Data!G45)</f>
        <v/>
      </c>
    </row>
    <row r="46" spans="1:4" x14ac:dyDescent="0.2">
      <c r="A46" t="str">
        <f>IF(SF_Data!B46="","",SF_Data!B46&amp;" [SN:"&amp;SF_Data!C46&amp;"]")</f>
        <v/>
      </c>
      <c r="B46" t="str">
        <f>IF(SF_Data!F46="","",TEXT(SF_Data!F46,"#,##0.00")&amp;" "&amp;IF(SF_Data!D46="Monthly", "Month",IF(SF_Data!D46="Cycles","Flight Cycle",IF(SF_Data!D46="Hours","Flight Hour",SF_Data!D46))))</f>
        <v/>
      </c>
      <c r="C46" s="12" t="str">
        <f>IF(SF_Data!E46="","",IF(SF_Data!E46=0,"N/A",SF_Data!E46))</f>
        <v/>
      </c>
      <c r="D46" s="12" t="str">
        <f>IF(SF_Data!G46="","",SF_Data!G46)</f>
        <v/>
      </c>
    </row>
    <row r="47" spans="1:4" x14ac:dyDescent="0.2">
      <c r="A47" t="str">
        <f>IF(SF_Data!B47="","",SF_Data!B47&amp;" [SN:"&amp;SF_Data!C47&amp;"]")</f>
        <v/>
      </c>
      <c r="B47" t="str">
        <f>IF(SF_Data!F47="","",TEXT(SF_Data!F47,"#,##0.00")&amp;" "&amp;IF(SF_Data!D47="Monthly", "Month",IF(SF_Data!D47="Cycles","Flight Cycle",IF(SF_Data!D47="Hours","Flight Hour",SF_Data!D47))))</f>
        <v/>
      </c>
      <c r="C47" s="12" t="str">
        <f>IF(SF_Data!E47="","",IF(SF_Data!E47=0,"N/A",SF_Data!E47))</f>
        <v/>
      </c>
      <c r="D47" s="12" t="str">
        <f>IF(SF_Data!G47="","",SF_Data!G47)</f>
        <v/>
      </c>
    </row>
    <row r="48" spans="1:4" x14ac:dyDescent="0.2">
      <c r="A48" t="str">
        <f>IF(SF_Data!B48="","",SF_Data!B48&amp;" [SN:"&amp;SF_Data!C48&amp;"]")</f>
        <v/>
      </c>
      <c r="B48" t="str">
        <f>IF(SF_Data!F48="","",TEXT(SF_Data!F48,"#,##0.00")&amp;" "&amp;IF(SF_Data!D48="Monthly", "Month",IF(SF_Data!D48="Cycles","Flight Cycle",IF(SF_Data!D48="Hours","Flight Hour",SF_Data!D48))))</f>
        <v/>
      </c>
      <c r="C48" s="12" t="str">
        <f>IF(SF_Data!E48="","",IF(SF_Data!E48=0,"N/A",SF_Data!E48))</f>
        <v/>
      </c>
      <c r="D48" s="12" t="str">
        <f>IF(SF_Data!G48="","",SF_Data!G48)</f>
        <v/>
      </c>
    </row>
    <row r="49" spans="1:4" x14ac:dyDescent="0.2">
      <c r="A49" t="str">
        <f>IF(SF_Data!B49="","",SF_Data!B49&amp;" [SN:"&amp;SF_Data!C49&amp;"]")</f>
        <v/>
      </c>
      <c r="B49" t="str">
        <f>IF(SF_Data!F49="","",TEXT(SF_Data!F49,"#,##0.00")&amp;" "&amp;IF(SF_Data!D49="Monthly", "Month",IF(SF_Data!D49="Cycles","Flight Cycle",IF(SF_Data!D49="Hours","Flight Hour",SF_Data!D49))))</f>
        <v/>
      </c>
      <c r="C49" s="12" t="str">
        <f>IF(SF_Data!E49="","",IF(SF_Data!E49=0,"N/A",SF_Data!E49))</f>
        <v/>
      </c>
      <c r="D49" s="12" t="str">
        <f>IF(SF_Data!G49="","",SF_Data!G49)</f>
        <v/>
      </c>
    </row>
    <row r="50" spans="1:4" x14ac:dyDescent="0.2">
      <c r="A50" t="str">
        <f>IF(SF_Data!B50="","",SF_Data!B50&amp;" [SN:"&amp;SF_Data!C50&amp;"]")</f>
        <v/>
      </c>
      <c r="B50" t="str">
        <f>IF(SF_Data!F50="","",TEXT(SF_Data!F50,"#,##0.00")&amp;" "&amp;IF(SF_Data!D50="Monthly", "Month",IF(SF_Data!D50="Cycles","Flight Cycle",IF(SF_Data!D50="Hours","Flight Hour",SF_Data!D50))))</f>
        <v/>
      </c>
      <c r="C50" s="12" t="str">
        <f>IF(SF_Data!E50="","",IF(SF_Data!E50=0,"N/A",SF_Data!E50))</f>
        <v/>
      </c>
      <c r="D50" s="12" t="str">
        <f>IF(SF_Data!G50="","",SF_Data!G50)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2024-04-27T16:15:47Z</dcterms:created>
  <dcterms:modified xsi:type="dcterms:W3CDTF">2024-04-27T17:12:45Z</dcterms:modified>
</cp:coreProperties>
</file>