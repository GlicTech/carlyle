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7B96CD1E-CFEB-493E-8413-09419A746580}" xr6:coauthVersionLast="47" xr6:coauthVersionMax="47" xr10:uidLastSave="{00000000-0000-0000-0000-000000000000}"/>
  <bookViews>
    <workbookView xWindow="-110" yWindow="-110" windowWidth="19420" windowHeight="10300" firstSheet="1" activeTab="4" xr2:uid="{BFBE8F3F-363D-4434-AB03-6A024B23687E}"/>
  </bookViews>
  <sheets>
    <sheet name="SalesforceData" sheetId="1" r:id="rId1"/>
    <sheet name="DataTransformation" sheetId="2" r:id="rId2"/>
    <sheet name="Final Data" sheetId="3" r:id="rId3"/>
    <sheet name="Order By Sequence" sheetId="4" r:id="rId4"/>
    <sheet name="Final Preview Data" sheetId="5" r:id="rId5"/>
  </sheets>
  <definedNames>
    <definedName name="MassTableRange">'Final Data'!$A$4:$I$9</definedName>
    <definedName name="No_of_Periods">DataTransformation!$AB$3</definedName>
    <definedName name="Period_1">'Final Data'!$B$3</definedName>
    <definedName name="Period_2">'Final Data'!$D$3</definedName>
    <definedName name="Period_3">'Final Data'!$F$3</definedName>
    <definedName name="Period_4">'Final Data'!$H$3</definedName>
    <definedName name="Spec_Mass_and_Balance_Period">SalesforceData!$B$2</definedName>
    <definedName name="Spec_Mass_and_Balance_Start">SalesforceData!$A$2:$F$2</definedName>
    <definedName name="Spec_Mass_and_Balance_Unit">SalesforceData!$C$2</definedName>
    <definedName name="Spec_Mass_and_Balance_Unit_Alt">SalesforceData!$E$2</definedName>
    <definedName name="Spec_Mass_and_Balance_Weight">SalesforceData!$D$2</definedName>
    <definedName name="Spec_Mass_and_Balance_Weight_Alt">SalesforceData!$F$2</definedName>
    <definedName name="Spec_Mass_and_Balance_Weight_Type">SalesforceData!$A$2</definedName>
    <definedName name="Weight_Table_Data">'Final Preview Data'!$A$4:$I$50</definedName>
    <definedName name="WeightAltUnit_1">'Final Data'!$C$4</definedName>
    <definedName name="WeightAltUnit_2">'Final Data'!$E$4</definedName>
    <definedName name="WeightAltUnit_3">'Final Data'!$G$4</definedName>
    <definedName name="WeightAltUnit_4">'Final Data'!$I$4</definedName>
    <definedName name="WeightUnit_1">'Final Data'!$B$4</definedName>
    <definedName name="WeightUnit_2">'Final Data'!$D$4</definedName>
    <definedName name="WeightUnit_3">'Final Data'!$F$4</definedName>
    <definedName name="WeightUnit_4">'Final Data'!$H$4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2" l="1" a="1"/>
  <c r="S3" i="2" s="1"/>
  <c r="S2" i="2" a="1"/>
  <c r="S2" i="2" s="1"/>
  <c r="D11" i="2" l="1"/>
  <c r="A3" i="2" l="1" a="1"/>
  <c r="A3" i="2" s="1"/>
  <c r="B3" i="2" l="1" a="1"/>
  <c r="B3" i="2" s="1"/>
  <c r="B4" i="2" l="1" a="1"/>
  <c r="B4" i="2" s="1"/>
  <c r="C5" i="2" s="1"/>
  <c r="C3" i="2"/>
  <c r="C6" i="2" l="1"/>
  <c r="D6" i="2" s="1"/>
  <c r="D5" i="2"/>
  <c r="C4" i="2"/>
  <c r="D4" i="2" s="1"/>
  <c r="D3" i="2"/>
  <c r="B5" i="2" a="1"/>
  <c r="B5" i="2" s="1"/>
  <c r="C7" i="2" s="1"/>
  <c r="A4" i="2" a="1"/>
  <c r="A4" i="2" s="1"/>
  <c r="G5" i="2" s="1"/>
  <c r="G4" i="2"/>
  <c r="S4" i="2" s="1" a="1"/>
  <c r="S4" i="2" s="1"/>
  <c r="A5" i="3" l="1"/>
  <c r="A5" i="5" s="1" a="1"/>
  <c r="A5" i="5" s="1"/>
  <c r="S5" i="2" a="1"/>
  <c r="S5" i="2" s="1"/>
  <c r="C8" i="2"/>
  <c r="D8" i="2" s="1"/>
  <c r="D7" i="2"/>
  <c r="B6" i="2" a="1"/>
  <c r="B6" i="2" s="1"/>
  <c r="C9" i="2" s="1"/>
  <c r="A5" i="2" a="1"/>
  <c r="A5" i="2" s="1"/>
  <c r="G6" i="2" s="1"/>
  <c r="A6" i="3" l="1"/>
  <c r="A6" i="5" s="1" a="1"/>
  <c r="A6" i="5" s="1"/>
  <c r="S6" i="2" a="1"/>
  <c r="S6" i="2" s="1"/>
  <c r="C10" i="2"/>
  <c r="D9" i="2"/>
  <c r="B7" i="2" a="1"/>
  <c r="B7" i="2" s="1"/>
  <c r="A6" i="2" a="1"/>
  <c r="A6" i="2" s="1"/>
  <c r="G7" i="2" s="1"/>
  <c r="A7" i="3" l="1"/>
  <c r="A7" i="5" s="1" a="1"/>
  <c r="A7" i="5" s="1"/>
  <c r="B8" i="2" a="1"/>
  <c r="B8" i="2" s="1"/>
  <c r="B9" i="2" s="1" a="1"/>
  <c r="B9" i="2" s="1"/>
  <c r="AB3" i="2"/>
  <c r="S7" i="2" a="1"/>
  <c r="S7" i="2" s="1"/>
  <c r="H2" i="2" a="1"/>
  <c r="D10" i="2"/>
  <c r="H3" i="2" s="1" a="1"/>
  <c r="A7" i="2" a="1"/>
  <c r="A7" i="2" s="1"/>
  <c r="A8" i="3" l="1"/>
  <c r="A8" i="5" s="1" a="1"/>
  <c r="A8" i="5" s="1"/>
  <c r="AA2" i="2" a="1"/>
  <c r="AA2" i="2" s="1"/>
  <c r="Z2" i="2" a="1"/>
  <c r="Z2" i="2" s="1"/>
  <c r="Y3" i="2" a="1"/>
  <c r="Y3" i="2" s="1"/>
  <c r="X3" i="2" a="1"/>
  <c r="X3" i="2" s="1"/>
  <c r="V3" i="2" a="1"/>
  <c r="V3" i="2" s="1"/>
  <c r="Z3" i="2" a="1"/>
  <c r="Z3" i="2" s="1"/>
  <c r="W3" i="2" a="1"/>
  <c r="W3" i="2" s="1"/>
  <c r="U3" i="2" a="1"/>
  <c r="U3" i="2" s="1"/>
  <c r="AA3" i="2" a="1"/>
  <c r="AA3" i="2" s="1"/>
  <c r="J7" i="2" a="1"/>
  <c r="J7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H3" i="2"/>
  <c r="M7" i="2" a="1"/>
  <c r="M7" i="2" s="1"/>
  <c r="N7" i="2" a="1"/>
  <c r="N7" i="2" s="1"/>
  <c r="K7" i="2" a="1"/>
  <c r="K7" i="2" s="1"/>
  <c r="K4" i="2" a="1"/>
  <c r="K4" i="2" s="1"/>
  <c r="L4" i="2" a="1"/>
  <c r="L4" i="2" s="1"/>
  <c r="J4" i="2" a="1"/>
  <c r="J4" i="2" s="1"/>
  <c r="J6" i="2" a="1"/>
  <c r="J6" i="2" s="1"/>
  <c r="O4" i="2" a="1"/>
  <c r="O4" i="2" s="1"/>
  <c r="I4" i="2" a="1"/>
  <c r="I4" i="2" s="1"/>
  <c r="K5" i="2" a="1"/>
  <c r="K5" i="2" s="1"/>
  <c r="N5" i="2" a="1"/>
  <c r="N5" i="2" s="1"/>
  <c r="J5" i="2" a="1"/>
  <c r="J5" i="2" s="1"/>
  <c r="M6" i="2" a="1"/>
  <c r="M6" i="2" s="1"/>
  <c r="M4" i="2" a="1"/>
  <c r="M4" i="2" s="1"/>
  <c r="O6" i="2" a="1"/>
  <c r="O6" i="2" s="1"/>
  <c r="H2" i="2"/>
  <c r="T2" i="2" s="1" a="1"/>
  <c r="T2" i="2" s="1"/>
  <c r="K6" i="2" a="1"/>
  <c r="K6" i="2" s="1"/>
  <c r="L5" i="2" a="1"/>
  <c r="L5" i="2" s="1"/>
  <c r="L6" i="2" a="1"/>
  <c r="L6" i="2" s="1"/>
  <c r="M5" i="2" a="1"/>
  <c r="M5" i="2" s="1"/>
  <c r="N4" i="2" a="1"/>
  <c r="N4" i="2" s="1"/>
  <c r="N6" i="2" a="1"/>
  <c r="N6" i="2" s="1"/>
  <c r="I5" i="2" a="1"/>
  <c r="I5" i="2" s="1"/>
  <c r="O5" i="2" a="1"/>
  <c r="O5" i="2" s="1"/>
  <c r="I6" i="2" a="1"/>
  <c r="I6" i="2" s="1"/>
  <c r="L7" i="2" a="1"/>
  <c r="L7" i="2" s="1"/>
  <c r="I7" i="2" a="1"/>
  <c r="I7" i="2" s="1"/>
  <c r="O7" i="2" a="1"/>
  <c r="O7" i="2" s="1"/>
  <c r="A8" i="2" a="1"/>
  <c r="A8" i="2" s="1"/>
  <c r="G8" i="2"/>
  <c r="B10" i="2" a="1"/>
  <c r="B10" i="2" s="1"/>
  <c r="H4" i="3" l="1"/>
  <c r="H4" i="5"/>
  <c r="D3" i="3"/>
  <c r="D3" i="5"/>
  <c r="G4" i="3"/>
  <c r="G4" i="5"/>
  <c r="I4" i="3"/>
  <c r="I4" i="5"/>
  <c r="B3" i="3"/>
  <c r="B3" i="5"/>
  <c r="C4" i="3"/>
  <c r="C4" i="5"/>
  <c r="D4" i="3"/>
  <c r="D4" i="5"/>
  <c r="F3" i="3"/>
  <c r="F3" i="5"/>
  <c r="F4" i="3"/>
  <c r="F4" i="5"/>
  <c r="H3" i="3"/>
  <c r="H3" i="5"/>
  <c r="E4" i="3"/>
  <c r="E4" i="5"/>
  <c r="AA5" i="2" a="1"/>
  <c r="AA5" i="2" s="1"/>
  <c r="U4" i="2" a="1"/>
  <c r="U4" i="2" s="1"/>
  <c r="Z7" i="2" a="1"/>
  <c r="Z7" i="2" s="1"/>
  <c r="W7" i="2" a="1"/>
  <c r="W7" i="2" s="1"/>
  <c r="V7" i="2" a="1"/>
  <c r="V7" i="2" s="1"/>
  <c r="S8" i="2" a="1"/>
  <c r="S8" i="2" s="1"/>
  <c r="U5" i="2" a="1"/>
  <c r="U5" i="2" s="1"/>
  <c r="AA6" i="2" a="1"/>
  <c r="AA6" i="2" s="1"/>
  <c r="AA4" i="2" a="1"/>
  <c r="AA4" i="2" s="1"/>
  <c r="Y7" i="2" a="1"/>
  <c r="Y7" i="2" s="1"/>
  <c r="T3" i="2" a="1"/>
  <c r="T3" i="2" s="1"/>
  <c r="V6" i="2" a="1"/>
  <c r="V6" i="2" s="1"/>
  <c r="AA7" i="2" a="1"/>
  <c r="AA7" i="2" s="1"/>
  <c r="Z4" i="2" a="1"/>
  <c r="Z4" i="2" s="1"/>
  <c r="Y6" i="2" a="1"/>
  <c r="Y6" i="2" s="1"/>
  <c r="Z6" i="2" a="1"/>
  <c r="Z6" i="2" s="1"/>
  <c r="Y4" i="2" a="1"/>
  <c r="Y4" i="2" s="1"/>
  <c r="U7" i="2" a="1"/>
  <c r="U7" i="2" s="1"/>
  <c r="Y5" i="2" a="1"/>
  <c r="Y5" i="2" s="1"/>
  <c r="V5" i="2" a="1"/>
  <c r="V5" i="2" s="1"/>
  <c r="V4" i="2" a="1"/>
  <c r="V4" i="2" s="1"/>
  <c r="W6" i="2" a="1"/>
  <c r="W6" i="2" s="1"/>
  <c r="X7" i="2" a="1"/>
  <c r="X7" i="2" s="1"/>
  <c r="X6" i="2" a="1"/>
  <c r="X6" i="2" s="1"/>
  <c r="Z5" i="2" a="1"/>
  <c r="Z5" i="2" s="1"/>
  <c r="X4" i="2" a="1"/>
  <c r="X4" i="2" s="1"/>
  <c r="U6" i="2" a="1"/>
  <c r="U6" i="2" s="1"/>
  <c r="X5" i="2" a="1"/>
  <c r="X5" i="2" s="1"/>
  <c r="W5" i="2" a="1"/>
  <c r="W5" i="2" s="1"/>
  <c r="W4" i="2" a="1"/>
  <c r="W4" i="2" s="1"/>
  <c r="H6" i="2" a="1"/>
  <c r="H6" i="2" s="1"/>
  <c r="H4" i="2" a="1"/>
  <c r="H4" i="2" s="1"/>
  <c r="H5" i="2" a="1"/>
  <c r="H5" i="2" s="1"/>
  <c r="H7" i="2" a="1"/>
  <c r="H7" i="2" s="1"/>
  <c r="H8" i="2" a="1"/>
  <c r="H8" i="2" s="1"/>
  <c r="I8" i="2" a="1"/>
  <c r="I8" i="2" s="1"/>
  <c r="J8" i="2" a="1"/>
  <c r="J8" i="2" s="1"/>
  <c r="L8" i="2" a="1"/>
  <c r="L8" i="2" s="1"/>
  <c r="M8" i="2" a="1"/>
  <c r="M8" i="2" s="1"/>
  <c r="N8" i="2" a="1"/>
  <c r="N8" i="2" s="1"/>
  <c r="O8" i="2" a="1"/>
  <c r="O8" i="2" s="1"/>
  <c r="K8" i="2" a="1"/>
  <c r="K8" i="2" s="1"/>
  <c r="A9" i="2" a="1"/>
  <c r="A9" i="2" s="1"/>
  <c r="G9" i="2"/>
  <c r="B11" i="2" a="1"/>
  <c r="B11" i="2" s="1"/>
  <c r="B12" i="2" s="1" a="1"/>
  <c r="B12" i="2" s="1"/>
  <c r="B13" i="2" s="1" a="1"/>
  <c r="B13" i="2" s="1"/>
  <c r="B14" i="2" s="1" a="1"/>
  <c r="B14" i="2" s="1"/>
  <c r="B15" i="2" s="1" a="1"/>
  <c r="B15" i="2" s="1"/>
  <c r="B16" i="2" s="1" a="1"/>
  <c r="B16" i="2" s="1"/>
  <c r="B17" i="2" s="1" a="1"/>
  <c r="B17" i="2" s="1"/>
  <c r="B18" i="2" s="1" a="1"/>
  <c r="B18" i="2" s="1"/>
  <c r="B19" i="2" s="1" a="1"/>
  <c r="B19" i="2" s="1"/>
  <c r="B20" i="2" s="1" a="1"/>
  <c r="B20" i="2" s="1"/>
  <c r="B21" i="2" s="1" a="1"/>
  <c r="B21" i="2" s="1"/>
  <c r="B22" i="2" s="1" a="1"/>
  <c r="B22" i="2" s="1"/>
  <c r="B23" i="2" s="1" a="1"/>
  <c r="B23" i="2" s="1"/>
  <c r="B24" i="2" s="1" a="1"/>
  <c r="B24" i="2" s="1"/>
  <c r="B25" i="2" s="1" a="1"/>
  <c r="B25" i="2" s="1"/>
  <c r="B26" i="2" s="1" a="1"/>
  <c r="B26" i="2" s="1"/>
  <c r="B27" i="2" s="1" a="1"/>
  <c r="B27" i="2" s="1"/>
  <c r="B28" i="2" s="1" a="1"/>
  <c r="B28" i="2" s="1"/>
  <c r="B29" i="2" s="1" a="1"/>
  <c r="B29" i="2" s="1"/>
  <c r="B30" i="2" s="1" a="1"/>
  <c r="B30" i="2" s="1"/>
  <c r="B31" i="2" s="1" a="1"/>
  <c r="B31" i="2" s="1"/>
  <c r="B32" i="2" s="1" a="1"/>
  <c r="B32" i="2" s="1"/>
  <c r="B33" i="2" s="1" a="1"/>
  <c r="B33" i="2" s="1"/>
  <c r="B34" i="2" s="1" a="1"/>
  <c r="B34" i="2" s="1"/>
  <c r="B35" i="2" s="1" a="1"/>
  <c r="B35" i="2" s="1"/>
  <c r="B36" i="2" s="1" a="1"/>
  <c r="B36" i="2" s="1"/>
  <c r="B37" i="2" s="1" a="1"/>
  <c r="B37" i="2" s="1"/>
  <c r="B38" i="2" s="1" a="1"/>
  <c r="B38" i="2" s="1"/>
  <c r="B39" i="2" s="1" a="1"/>
  <c r="B39" i="2" s="1"/>
  <c r="B40" i="2" s="1" a="1"/>
  <c r="B40" i="2" s="1"/>
  <c r="B41" i="2" s="1" a="1"/>
  <c r="B41" i="2" s="1"/>
  <c r="B42" i="2" s="1" a="1"/>
  <c r="B42" i="2" s="1"/>
  <c r="B43" i="2" s="1" a="1"/>
  <c r="B43" i="2" s="1"/>
  <c r="B44" i="2" s="1" a="1"/>
  <c r="B44" i="2" s="1"/>
  <c r="B45" i="2" s="1" a="1"/>
  <c r="B45" i="2" s="1"/>
  <c r="B46" i="2" s="1" a="1"/>
  <c r="B46" i="2" s="1"/>
  <c r="B47" i="2" s="1" a="1"/>
  <c r="B47" i="2" s="1"/>
  <c r="B48" i="2" s="1" a="1"/>
  <c r="B48" i="2" s="1"/>
  <c r="B49" i="2" s="1" a="1"/>
  <c r="B49" i="2" s="1"/>
  <c r="B50" i="2" s="1" a="1"/>
  <c r="B50" i="2" s="1"/>
  <c r="B51" i="2" s="1" a="1"/>
  <c r="B51" i="2" s="1"/>
  <c r="F5" i="3" l="1"/>
  <c r="F5" i="5" s="1" a="1"/>
  <c r="F5" i="5" s="1"/>
  <c r="C8" i="3"/>
  <c r="C8" i="5" s="1" a="1"/>
  <c r="C8" i="5" s="1"/>
  <c r="G8" i="3"/>
  <c r="G8" i="5" s="1" a="1"/>
  <c r="G8" i="5" s="1"/>
  <c r="C5" i="3"/>
  <c r="C5" i="5" s="1" a="1"/>
  <c r="C5" i="5" s="1"/>
  <c r="G5" i="3"/>
  <c r="G5" i="5" s="1" a="1"/>
  <c r="G5" i="5" s="1"/>
  <c r="F7" i="3"/>
  <c r="F7" i="5" s="1" a="1"/>
  <c r="F7" i="5" s="1"/>
  <c r="H7" i="3"/>
  <c r="H7" i="5" s="1" a="1"/>
  <c r="H7" i="5" s="1"/>
  <c r="I7" i="3"/>
  <c r="I7" i="5" s="1" a="1"/>
  <c r="I7" i="5" s="1"/>
  <c r="F8" i="3"/>
  <c r="F8" i="5" s="1" a="1"/>
  <c r="F8" i="5" s="1"/>
  <c r="C6" i="3"/>
  <c r="C6" i="5" s="1" a="1"/>
  <c r="C6" i="5" s="1"/>
  <c r="E5" i="3"/>
  <c r="E5" i="5" s="1" a="1"/>
  <c r="E5" i="5" s="1"/>
  <c r="A9" i="3"/>
  <c r="A9" i="5" s="1" a="1"/>
  <c r="A9" i="5" s="1"/>
  <c r="G7" i="3"/>
  <c r="G7" i="5" s="1" a="1"/>
  <c r="G7" i="5" s="1"/>
  <c r="E6" i="3"/>
  <c r="E6" i="5" s="1" a="1"/>
  <c r="E6" i="5" s="1"/>
  <c r="D5" i="3"/>
  <c r="D5" i="5" s="1" a="1"/>
  <c r="D5" i="5" s="1"/>
  <c r="I8" i="3"/>
  <c r="I8" i="5" s="1" a="1"/>
  <c r="I8" i="5" s="1"/>
  <c r="D8" i="3"/>
  <c r="D8" i="5" s="1" a="1"/>
  <c r="D8" i="5" s="1"/>
  <c r="D7" i="3"/>
  <c r="D7" i="5" s="1" a="1"/>
  <c r="D7" i="5" s="1"/>
  <c r="E8" i="3"/>
  <c r="E8" i="5" s="1" a="1"/>
  <c r="E8" i="5" s="1"/>
  <c r="H6" i="3"/>
  <c r="H6" i="5" s="1" a="1"/>
  <c r="H6" i="5" s="1"/>
  <c r="I5" i="3"/>
  <c r="I5" i="5" s="1" a="1"/>
  <c r="I5" i="5" s="1"/>
  <c r="I6" i="3"/>
  <c r="I6" i="5" s="1" a="1"/>
  <c r="I6" i="5" s="1"/>
  <c r="E7" i="3"/>
  <c r="E7" i="5" s="1" a="1"/>
  <c r="E7" i="5" s="1"/>
  <c r="H5" i="3"/>
  <c r="H5" i="5" s="1" a="1"/>
  <c r="H5" i="5" s="1"/>
  <c r="F6" i="3"/>
  <c r="F6" i="5" s="1" a="1"/>
  <c r="F6" i="5" s="1"/>
  <c r="D6" i="3"/>
  <c r="D6" i="5" s="1" a="1"/>
  <c r="D6" i="5" s="1"/>
  <c r="C7" i="3"/>
  <c r="C7" i="5" s="1" a="1"/>
  <c r="C7" i="5" s="1"/>
  <c r="G6" i="3"/>
  <c r="G6" i="5" s="1" a="1"/>
  <c r="G6" i="5" s="1"/>
  <c r="B4" i="3"/>
  <c r="B4" i="5"/>
  <c r="H8" i="3"/>
  <c r="H8" i="5" s="1" a="1"/>
  <c r="H8" i="5" s="1"/>
  <c r="AA8" i="2" a="1"/>
  <c r="AA8" i="2" s="1"/>
  <c r="T5" i="2" a="1"/>
  <c r="T5" i="2" s="1"/>
  <c r="Z8" i="2" a="1"/>
  <c r="Z8" i="2" s="1"/>
  <c r="Y8" i="2" a="1"/>
  <c r="Y8" i="2" s="1"/>
  <c r="T4" i="2" a="1"/>
  <c r="T4" i="2" s="1"/>
  <c r="X8" i="2" a="1"/>
  <c r="X8" i="2" s="1"/>
  <c r="V8" i="2" a="1"/>
  <c r="V8" i="2" s="1"/>
  <c r="S9" i="2" a="1"/>
  <c r="S9" i="2" s="1"/>
  <c r="N9" i="2" a="1"/>
  <c r="N9" i="2" s="1"/>
  <c r="Z9" i="2" s="1" a="1"/>
  <c r="Z9" i="2" s="1"/>
  <c r="U8" i="2" a="1"/>
  <c r="U8" i="2" s="1"/>
  <c r="T8" i="2" a="1"/>
  <c r="T8" i="2" s="1"/>
  <c r="T6" i="2" a="1"/>
  <c r="T6" i="2" s="1"/>
  <c r="W8" i="2" a="1"/>
  <c r="W8" i="2" s="1"/>
  <c r="T7" i="2" a="1"/>
  <c r="T7" i="2" s="1"/>
  <c r="L9" i="2" a="1"/>
  <c r="L9" i="2" s="1"/>
  <c r="M9" i="2" a="1"/>
  <c r="M9" i="2" s="1"/>
  <c r="O9" i="2" a="1"/>
  <c r="O9" i="2" s="1"/>
  <c r="K9" i="2" a="1"/>
  <c r="K9" i="2" s="1"/>
  <c r="I9" i="2" a="1"/>
  <c r="I9" i="2" s="1"/>
  <c r="J9" i="2" a="1"/>
  <c r="J9" i="2" s="1"/>
  <c r="H9" i="2" a="1"/>
  <c r="H9" i="2" s="1"/>
  <c r="A10" i="2" a="1"/>
  <c r="A10" i="2" s="1"/>
  <c r="G11" i="2" s="1"/>
  <c r="G10" i="2"/>
  <c r="H9" i="3" l="1"/>
  <c r="H9" i="5" s="1" a="1"/>
  <c r="H9" i="5" s="1"/>
  <c r="C9" i="3"/>
  <c r="C9" i="5" s="1" a="1"/>
  <c r="C9" i="5" s="1"/>
  <c r="B7" i="3"/>
  <c r="B7" i="5" s="1" a="1"/>
  <c r="B7" i="5" s="1"/>
  <c r="G9" i="3"/>
  <c r="G9" i="5" s="1" a="1"/>
  <c r="G9" i="5" s="1"/>
  <c r="H10" i="3"/>
  <c r="H10" i="5" s="1" a="1"/>
  <c r="H10" i="5" s="1"/>
  <c r="D9" i="3"/>
  <c r="D9" i="5" s="1" a="1"/>
  <c r="D9" i="5" s="1"/>
  <c r="B9" i="3"/>
  <c r="B9" i="5" s="1" a="1"/>
  <c r="B9" i="5" s="1"/>
  <c r="B6" i="3"/>
  <c r="B6" i="5" s="1" a="1"/>
  <c r="B6" i="5" s="1"/>
  <c r="A10" i="3"/>
  <c r="A10" i="5" s="1" a="1"/>
  <c r="A10" i="5" s="1"/>
  <c r="B8" i="3"/>
  <c r="B8" i="5" s="1" a="1"/>
  <c r="B8" i="5" s="1"/>
  <c r="F9" i="3"/>
  <c r="F9" i="5" s="1" a="1"/>
  <c r="F9" i="5" s="1"/>
  <c r="I9" i="3"/>
  <c r="I9" i="5" s="1" a="1"/>
  <c r="I9" i="5" s="1"/>
  <c r="E9" i="3"/>
  <c r="E9" i="5" s="1" a="1"/>
  <c r="E9" i="5" s="1"/>
  <c r="B5" i="3"/>
  <c r="B5" i="5" s="1" a="1"/>
  <c r="B5" i="5" s="1"/>
  <c r="W9" i="2" a="1"/>
  <c r="W9" i="2" s="1"/>
  <c r="AA9" i="2" a="1"/>
  <c r="AA9" i="2" s="1"/>
  <c r="S10" i="2" a="1"/>
  <c r="S10" i="2" s="1"/>
  <c r="Y9" i="2" a="1"/>
  <c r="Y9" i="2" s="1"/>
  <c r="X9" i="2" a="1"/>
  <c r="X9" i="2" s="1"/>
  <c r="T9" i="2" a="1"/>
  <c r="T9" i="2" s="1"/>
  <c r="S11" i="2" a="1"/>
  <c r="S11" i="2" s="1"/>
  <c r="V9" i="2" a="1"/>
  <c r="V9" i="2" s="1"/>
  <c r="U9" i="2" a="1"/>
  <c r="U9" i="2" s="1"/>
  <c r="L10" i="2" a="1"/>
  <c r="L10" i="2" s="1"/>
  <c r="M10" i="2" a="1"/>
  <c r="M10" i="2" s="1"/>
  <c r="N10" i="2" a="1"/>
  <c r="N10" i="2" s="1"/>
  <c r="O10" i="2" a="1"/>
  <c r="O10" i="2" s="1"/>
  <c r="K10" i="2" a="1"/>
  <c r="K10" i="2" s="1"/>
  <c r="I10" i="2" a="1"/>
  <c r="I10" i="2" s="1"/>
  <c r="J10" i="2" a="1"/>
  <c r="J10" i="2" s="1"/>
  <c r="H10" i="2" a="1"/>
  <c r="H10" i="2" s="1"/>
  <c r="L11" i="2" a="1"/>
  <c r="L11" i="2" s="1"/>
  <c r="M11" i="2" a="1"/>
  <c r="M11" i="2" s="1"/>
  <c r="N11" i="2" a="1"/>
  <c r="N11" i="2" s="1"/>
  <c r="O11" i="2" a="1"/>
  <c r="O11" i="2" s="1"/>
  <c r="K11" i="2" a="1"/>
  <c r="K11" i="2" s="1"/>
  <c r="I11" i="2" a="1"/>
  <c r="I11" i="2" s="1"/>
  <c r="J11" i="2" a="1"/>
  <c r="J11" i="2" s="1"/>
  <c r="H11" i="2" a="1"/>
  <c r="H11" i="2" s="1"/>
  <c r="A11" i="2" a="1"/>
  <c r="A11" i="2" s="1"/>
  <c r="G10" i="3" l="1"/>
  <c r="G10" i="5" s="1" a="1"/>
  <c r="G10" i="5" s="1"/>
  <c r="I10" i="3"/>
  <c r="I10" i="5" s="1" a="1"/>
  <c r="I10" i="5" s="1"/>
  <c r="C10" i="3"/>
  <c r="C10" i="5" s="1" a="1"/>
  <c r="C10" i="5" s="1"/>
  <c r="A12" i="3"/>
  <c r="A12" i="5" s="1" a="1"/>
  <c r="A12" i="5" s="1"/>
  <c r="B10" i="3"/>
  <c r="B10" i="5" s="1" a="1"/>
  <c r="B10" i="5" s="1"/>
  <c r="A11" i="3"/>
  <c r="A11" i="5" s="1" a="1"/>
  <c r="A11" i="5" s="1"/>
  <c r="E10" i="3"/>
  <c r="E10" i="5" s="1" a="1"/>
  <c r="E10" i="5" s="1"/>
  <c r="D10" i="3"/>
  <c r="D10" i="5" s="1" a="1"/>
  <c r="D10" i="5" s="1"/>
  <c r="F10" i="3"/>
  <c r="F10" i="5" s="1" a="1"/>
  <c r="F10" i="5" s="1"/>
  <c r="W11" i="2" a="1"/>
  <c r="W11" i="2" s="1"/>
  <c r="Z11" i="2" a="1"/>
  <c r="Z11" i="2" s="1"/>
  <c r="Z10" i="2" a="1"/>
  <c r="Z10" i="2" s="1"/>
  <c r="Y11" i="2" a="1"/>
  <c r="Y11" i="2" s="1"/>
  <c r="Y10" i="2" a="1"/>
  <c r="Y10" i="2" s="1"/>
  <c r="X11" i="2" a="1"/>
  <c r="X11" i="2" s="1"/>
  <c r="X10" i="2" a="1"/>
  <c r="X10" i="2" s="1"/>
  <c r="AA11" i="2" a="1"/>
  <c r="AA11" i="2" s="1"/>
  <c r="T11" i="2" a="1"/>
  <c r="T11" i="2" s="1"/>
  <c r="T10" i="2" a="1"/>
  <c r="T10" i="2" s="1"/>
  <c r="AA10" i="2" a="1"/>
  <c r="AA10" i="2" s="1"/>
  <c r="V11" i="2" a="1"/>
  <c r="V11" i="2" s="1"/>
  <c r="V10" i="2" a="1"/>
  <c r="V10" i="2" s="1"/>
  <c r="W10" i="2" a="1"/>
  <c r="W10" i="2" s="1"/>
  <c r="U11" i="2" a="1"/>
  <c r="U11" i="2" s="1"/>
  <c r="U10" i="2" a="1"/>
  <c r="U10" i="2" s="1"/>
  <c r="A12" i="2" a="1"/>
  <c r="A12" i="2" s="1"/>
  <c r="G12" i="2"/>
  <c r="E11" i="3" l="1"/>
  <c r="E11" i="5" s="1" a="1"/>
  <c r="E11" i="5" s="1"/>
  <c r="D11" i="3"/>
  <c r="D11" i="5" s="1" a="1"/>
  <c r="D11" i="5" s="1"/>
  <c r="F12" i="3"/>
  <c r="F12" i="5" s="1" a="1"/>
  <c r="F12" i="5" s="1"/>
  <c r="G11" i="3"/>
  <c r="G11" i="5" s="1" a="1"/>
  <c r="G11" i="5" s="1"/>
  <c r="H11" i="3"/>
  <c r="H11" i="5" s="1" a="1"/>
  <c r="H11" i="5" s="1"/>
  <c r="B11" i="3"/>
  <c r="B11" i="5" s="1" a="1"/>
  <c r="B11" i="5" s="1"/>
  <c r="D12" i="3"/>
  <c r="D12" i="5" s="1" a="1"/>
  <c r="D12" i="5" s="1"/>
  <c r="G12" i="3"/>
  <c r="G12" i="5" s="1" a="1"/>
  <c r="G12" i="5" s="1"/>
  <c r="I11" i="3"/>
  <c r="I11" i="5" s="1" a="1"/>
  <c r="I11" i="5" s="1"/>
  <c r="H12" i="3"/>
  <c r="H12" i="5" s="1" a="1"/>
  <c r="H12" i="5" s="1"/>
  <c r="B12" i="3"/>
  <c r="B12" i="5" s="1" a="1"/>
  <c r="B12" i="5" s="1"/>
  <c r="C11" i="3"/>
  <c r="C11" i="5" s="1" a="1"/>
  <c r="C11" i="5" s="1"/>
  <c r="I12" i="3"/>
  <c r="I12" i="5" s="1" a="1"/>
  <c r="I12" i="5" s="1"/>
  <c r="E12" i="3"/>
  <c r="E12" i="5" s="1" a="1"/>
  <c r="E12" i="5" s="1"/>
  <c r="C12" i="3"/>
  <c r="C12" i="5" s="1" a="1"/>
  <c r="C12" i="5" s="1"/>
  <c r="F11" i="3"/>
  <c r="F11" i="5" s="1" a="1"/>
  <c r="F11" i="5" s="1"/>
  <c r="S12" i="2" a="1"/>
  <c r="S12" i="2" s="1"/>
  <c r="K12" i="2" a="1"/>
  <c r="K12" i="2" s="1"/>
  <c r="I12" i="2" a="1"/>
  <c r="I12" i="2" s="1"/>
  <c r="J12" i="2" a="1"/>
  <c r="J12" i="2" s="1"/>
  <c r="L12" i="2" a="1"/>
  <c r="L12" i="2" s="1"/>
  <c r="N12" i="2" a="1"/>
  <c r="N12" i="2" s="1"/>
  <c r="O12" i="2" a="1"/>
  <c r="O12" i="2" s="1"/>
  <c r="M12" i="2" a="1"/>
  <c r="M12" i="2" s="1"/>
  <c r="H12" i="2" a="1"/>
  <c r="H12" i="2" s="1"/>
  <c r="A13" i="2" a="1"/>
  <c r="A13" i="2" s="1"/>
  <c r="G14" i="2" s="1"/>
  <c r="G13" i="2"/>
  <c r="A13" i="3" l="1"/>
  <c r="A13" i="5" s="1" a="1"/>
  <c r="A13" i="5" s="1"/>
  <c r="Z12" i="2" a="1"/>
  <c r="Z12" i="2" s="1"/>
  <c r="X12" i="2" a="1"/>
  <c r="X12" i="2" s="1"/>
  <c r="AA12" i="2" a="1"/>
  <c r="AA12" i="2" s="1"/>
  <c r="V12" i="2" a="1"/>
  <c r="V12" i="2" s="1"/>
  <c r="U12" i="2" a="1"/>
  <c r="U12" i="2" s="1"/>
  <c r="S14" i="2" a="1"/>
  <c r="S14" i="2" s="1"/>
  <c r="W12" i="2" a="1"/>
  <c r="W12" i="2" s="1"/>
  <c r="S13" i="2" a="1"/>
  <c r="S13" i="2" s="1"/>
  <c r="T12" i="2" a="1"/>
  <c r="T12" i="2" s="1"/>
  <c r="Y12" i="2" a="1"/>
  <c r="Y12" i="2" s="1"/>
  <c r="I13" i="2" a="1"/>
  <c r="I13" i="2" s="1"/>
  <c r="J13" i="2" a="1"/>
  <c r="J13" i="2" s="1"/>
  <c r="H13" i="2" a="1"/>
  <c r="H13" i="2" s="1"/>
  <c r="L13" i="2" a="1"/>
  <c r="L13" i="2" s="1"/>
  <c r="M13" i="2" a="1"/>
  <c r="M13" i="2" s="1"/>
  <c r="N13" i="2" a="1"/>
  <c r="N13" i="2" s="1"/>
  <c r="O13" i="2" a="1"/>
  <c r="O13" i="2" s="1"/>
  <c r="K13" i="2" a="1"/>
  <c r="K13" i="2" s="1"/>
  <c r="N14" i="2" a="1"/>
  <c r="N14" i="2" s="1"/>
  <c r="J14" i="2" a="1"/>
  <c r="J14" i="2" s="1"/>
  <c r="H14" i="2" a="1"/>
  <c r="H14" i="2" s="1"/>
  <c r="O14" i="2" a="1"/>
  <c r="O14" i="2" s="1"/>
  <c r="L14" i="2" a="1"/>
  <c r="L14" i="2" s="1"/>
  <c r="M14" i="2" a="1"/>
  <c r="M14" i="2" s="1"/>
  <c r="K14" i="2" a="1"/>
  <c r="K14" i="2" s="1"/>
  <c r="I14" i="2" a="1"/>
  <c r="I14" i="2" s="1"/>
  <c r="A14" i="2" a="1"/>
  <c r="A14" i="2" s="1"/>
  <c r="D13" i="3" l="1"/>
  <c r="D13" i="5" s="1" a="1"/>
  <c r="D13" i="5" s="1"/>
  <c r="I13" i="3"/>
  <c r="I13" i="5" s="1" a="1"/>
  <c r="I13" i="5" s="1"/>
  <c r="A15" i="3"/>
  <c r="A15" i="5" s="1" a="1"/>
  <c r="A15" i="5" s="1"/>
  <c r="H13" i="3"/>
  <c r="H13" i="5" s="1" a="1"/>
  <c r="H13" i="5" s="1"/>
  <c r="C13" i="3"/>
  <c r="C13" i="5" s="1" a="1"/>
  <c r="C13" i="5" s="1"/>
  <c r="F13" i="3"/>
  <c r="F13" i="5" s="1" a="1"/>
  <c r="F13" i="5" s="1"/>
  <c r="A14" i="3"/>
  <c r="A14" i="5" s="1" a="1"/>
  <c r="A14" i="5" s="1"/>
  <c r="G13" i="3"/>
  <c r="G13" i="5" s="1" a="1"/>
  <c r="G13" i="5" s="1"/>
  <c r="B13" i="3"/>
  <c r="B13" i="5" s="1" a="1"/>
  <c r="B13" i="5" s="1"/>
  <c r="E13" i="3"/>
  <c r="E13" i="5" s="1" a="1"/>
  <c r="E13" i="5" s="1"/>
  <c r="V14" i="2" a="1"/>
  <c r="V14" i="2" s="1"/>
  <c r="V13" i="2" a="1"/>
  <c r="V13" i="2" s="1"/>
  <c r="Z14" i="2" a="1"/>
  <c r="Z14" i="2" s="1"/>
  <c r="U13" i="2" a="1"/>
  <c r="U13" i="2" s="1"/>
  <c r="X13" i="2" a="1"/>
  <c r="X13" i="2" s="1"/>
  <c r="U14" i="2" a="1"/>
  <c r="U14" i="2" s="1"/>
  <c r="W13" i="2" a="1"/>
  <c r="W13" i="2" s="1"/>
  <c r="T14" i="2" a="1"/>
  <c r="T14" i="2" s="1"/>
  <c r="W14" i="2" a="1"/>
  <c r="W14" i="2" s="1"/>
  <c r="AA13" i="2" a="1"/>
  <c r="AA13" i="2" s="1"/>
  <c r="AA14" i="2" a="1"/>
  <c r="AA14" i="2" s="1"/>
  <c r="Y14" i="2" a="1"/>
  <c r="Y14" i="2" s="1"/>
  <c r="Z13" i="2" a="1"/>
  <c r="Z13" i="2" s="1"/>
  <c r="T13" i="2" a="1"/>
  <c r="T13" i="2" s="1"/>
  <c r="X14" i="2" a="1"/>
  <c r="X14" i="2" s="1"/>
  <c r="Y13" i="2" a="1"/>
  <c r="Y13" i="2" s="1"/>
  <c r="A15" i="2" a="1"/>
  <c r="A15" i="2" s="1"/>
  <c r="G15" i="2"/>
  <c r="C14" i="3" l="1"/>
  <c r="C14" i="5" s="1" a="1"/>
  <c r="C14" i="5" s="1"/>
  <c r="G15" i="3"/>
  <c r="G15" i="5" s="1" a="1"/>
  <c r="G15" i="5" s="1"/>
  <c r="I15" i="3"/>
  <c r="I15" i="5" s="1" a="1"/>
  <c r="I15" i="5" s="1"/>
  <c r="I14" i="3"/>
  <c r="I14" i="5" s="1" a="1"/>
  <c r="I14" i="5" s="1"/>
  <c r="G14" i="3"/>
  <c r="G14" i="5" s="1" a="1"/>
  <c r="G14" i="5" s="1"/>
  <c r="E14" i="3"/>
  <c r="E14" i="5" s="1" a="1"/>
  <c r="E14" i="5" s="1"/>
  <c r="D15" i="3"/>
  <c r="D15" i="5" s="1" a="1"/>
  <c r="D15" i="5" s="1"/>
  <c r="B15" i="3"/>
  <c r="B15" i="5" s="1" a="1"/>
  <c r="B15" i="5" s="1"/>
  <c r="B14" i="3"/>
  <c r="B14" i="5" s="1" a="1"/>
  <c r="B14" i="5" s="1"/>
  <c r="H15" i="3"/>
  <c r="H15" i="5" s="1" a="1"/>
  <c r="H15" i="5" s="1"/>
  <c r="D14" i="3"/>
  <c r="D14" i="5" s="1" a="1"/>
  <c r="D14" i="5" s="1"/>
  <c r="E15" i="3"/>
  <c r="E15" i="5" s="1" a="1"/>
  <c r="E15" i="5" s="1"/>
  <c r="F15" i="3"/>
  <c r="F15" i="5" s="1" a="1"/>
  <c r="F15" i="5" s="1"/>
  <c r="C15" i="3"/>
  <c r="C15" i="5" s="1" a="1"/>
  <c r="C15" i="5" s="1"/>
  <c r="H14" i="3"/>
  <c r="H14" i="5" s="1" a="1"/>
  <c r="H14" i="5" s="1"/>
  <c r="F14" i="3"/>
  <c r="F14" i="5" s="1" a="1"/>
  <c r="F14" i="5" s="1"/>
  <c r="S15" i="2" a="1"/>
  <c r="S15" i="2" s="1"/>
  <c r="H15" i="2" a="1"/>
  <c r="H15" i="2" s="1"/>
  <c r="K15" i="2" a="1"/>
  <c r="K15" i="2" s="1"/>
  <c r="L15" i="2" a="1"/>
  <c r="L15" i="2" s="1"/>
  <c r="M15" i="2" a="1"/>
  <c r="M15" i="2" s="1"/>
  <c r="N15" i="2" a="1"/>
  <c r="N15" i="2" s="1"/>
  <c r="O15" i="2" a="1"/>
  <c r="O15" i="2" s="1"/>
  <c r="I15" i="2" a="1"/>
  <c r="I15" i="2" s="1"/>
  <c r="J15" i="2" a="1"/>
  <c r="J15" i="2" s="1"/>
  <c r="A16" i="2" a="1"/>
  <c r="A16" i="2" s="1"/>
  <c r="G16" i="2"/>
  <c r="A16" i="3" l="1"/>
  <c r="A16" i="5" s="1" a="1"/>
  <c r="A16" i="5" s="1"/>
  <c r="AA15" i="2" a="1"/>
  <c r="AA15" i="2" s="1"/>
  <c r="Z15" i="2" a="1"/>
  <c r="Z15" i="2" s="1"/>
  <c r="V15" i="2" a="1"/>
  <c r="V15" i="2" s="1"/>
  <c r="X15" i="2" a="1"/>
  <c r="X15" i="2" s="1"/>
  <c r="Y15" i="2" a="1"/>
  <c r="Y15" i="2" s="1"/>
  <c r="S16" i="2" a="1"/>
  <c r="S16" i="2" s="1"/>
  <c r="W15" i="2" a="1"/>
  <c r="W15" i="2" s="1"/>
  <c r="T15" i="2" a="1"/>
  <c r="T15" i="2" s="1"/>
  <c r="U15" i="2" a="1"/>
  <c r="U15" i="2" s="1"/>
  <c r="H16" i="2" a="1"/>
  <c r="H16" i="2" s="1"/>
  <c r="L16" i="2" a="1"/>
  <c r="L16" i="2" s="1"/>
  <c r="M16" i="2" a="1"/>
  <c r="M16" i="2" s="1"/>
  <c r="N16" i="2" a="1"/>
  <c r="N16" i="2" s="1"/>
  <c r="O16" i="2" a="1"/>
  <c r="O16" i="2" s="1"/>
  <c r="J16" i="2" a="1"/>
  <c r="J16" i="2" s="1"/>
  <c r="K16" i="2" a="1"/>
  <c r="K16" i="2" s="1"/>
  <c r="I16" i="2" a="1"/>
  <c r="I16" i="2" s="1"/>
  <c r="A17" i="2" a="1"/>
  <c r="A17" i="2" s="1"/>
  <c r="G17" i="2"/>
  <c r="D16" i="3" l="1"/>
  <c r="D16" i="5" s="1" a="1"/>
  <c r="D16" i="5" s="1"/>
  <c r="A17" i="3"/>
  <c r="A17" i="5" s="1" a="1"/>
  <c r="A17" i="5" s="1"/>
  <c r="G16" i="3"/>
  <c r="G16" i="5" s="1" a="1"/>
  <c r="G16" i="5" s="1"/>
  <c r="I16" i="3"/>
  <c r="I16" i="5" s="1" a="1"/>
  <c r="I16" i="5" s="1"/>
  <c r="H16" i="3"/>
  <c r="H16" i="5" s="1" a="1"/>
  <c r="H16" i="5" s="1"/>
  <c r="F16" i="3"/>
  <c r="F16" i="5" s="1" a="1"/>
  <c r="F16" i="5" s="1"/>
  <c r="C16" i="3"/>
  <c r="C16" i="5" s="1" a="1"/>
  <c r="C16" i="5" s="1"/>
  <c r="B16" i="3"/>
  <c r="B16" i="5" s="1" a="1"/>
  <c r="B16" i="5" s="1"/>
  <c r="E16" i="3"/>
  <c r="E16" i="5" s="1" a="1"/>
  <c r="E16" i="5" s="1"/>
  <c r="U16" i="2" a="1"/>
  <c r="U16" i="2" s="1"/>
  <c r="V16" i="2" a="1"/>
  <c r="V16" i="2" s="1"/>
  <c r="Z16" i="2" a="1"/>
  <c r="Z16" i="2" s="1"/>
  <c r="AA16" i="2" a="1"/>
  <c r="AA16" i="2" s="1"/>
  <c r="Y16" i="2" a="1"/>
  <c r="Y16" i="2" s="1"/>
  <c r="T16" i="2" a="1"/>
  <c r="T16" i="2" s="1"/>
  <c r="S17" i="2" a="1"/>
  <c r="S17" i="2" s="1"/>
  <c r="X16" i="2" a="1"/>
  <c r="X16" i="2" s="1"/>
  <c r="W16" i="2" a="1"/>
  <c r="W16" i="2" s="1"/>
  <c r="L17" i="2" a="1"/>
  <c r="L17" i="2" s="1"/>
  <c r="M17" i="2" a="1"/>
  <c r="M17" i="2" s="1"/>
  <c r="N17" i="2" a="1"/>
  <c r="N17" i="2" s="1"/>
  <c r="O17" i="2" a="1"/>
  <c r="O17" i="2" s="1"/>
  <c r="K17" i="2" a="1"/>
  <c r="K17" i="2" s="1"/>
  <c r="I17" i="2" a="1"/>
  <c r="I17" i="2" s="1"/>
  <c r="J17" i="2" a="1"/>
  <c r="J17" i="2" s="1"/>
  <c r="H17" i="2" a="1"/>
  <c r="H17" i="2" s="1"/>
  <c r="A18" i="2" a="1"/>
  <c r="A18" i="2" s="1"/>
  <c r="G18" i="2"/>
  <c r="H17" i="3" l="1"/>
  <c r="H17" i="5" s="1" a="1"/>
  <c r="H17" i="5" s="1"/>
  <c r="B17" i="3"/>
  <c r="B17" i="5" s="1" a="1"/>
  <c r="B17" i="5" s="1"/>
  <c r="I17" i="3"/>
  <c r="I17" i="5" s="1" a="1"/>
  <c r="I17" i="5" s="1"/>
  <c r="C17" i="3"/>
  <c r="C17" i="5" s="1" a="1"/>
  <c r="C17" i="5" s="1"/>
  <c r="G17" i="3"/>
  <c r="G17" i="5" s="1" a="1"/>
  <c r="G17" i="5" s="1"/>
  <c r="D17" i="3"/>
  <c r="D17" i="5" s="1" a="1"/>
  <c r="D17" i="5" s="1"/>
  <c r="F17" i="3"/>
  <c r="F17" i="5" s="1" a="1"/>
  <c r="F17" i="5" s="1"/>
  <c r="E17" i="3"/>
  <c r="E17" i="5" s="1" a="1"/>
  <c r="E17" i="5" s="1"/>
  <c r="A18" i="3"/>
  <c r="A18" i="5" s="1" a="1"/>
  <c r="A18" i="5" s="1"/>
  <c r="U17" i="2" a="1"/>
  <c r="U17" i="2" s="1"/>
  <c r="W17" i="2" a="1"/>
  <c r="W17" i="2" s="1"/>
  <c r="AA17" i="2" a="1"/>
  <c r="AA17" i="2" s="1"/>
  <c r="Z17" i="2" a="1"/>
  <c r="Z17" i="2" s="1"/>
  <c r="S18" i="2" a="1"/>
  <c r="S18" i="2" s="1"/>
  <c r="Y17" i="2" a="1"/>
  <c r="Y17" i="2" s="1"/>
  <c r="X17" i="2" a="1"/>
  <c r="X17" i="2" s="1"/>
  <c r="T17" i="2" a="1"/>
  <c r="T17" i="2" s="1"/>
  <c r="V17" i="2" a="1"/>
  <c r="V17" i="2" s="1"/>
  <c r="L18" i="2" a="1"/>
  <c r="L18" i="2" s="1"/>
  <c r="M18" i="2" a="1"/>
  <c r="M18" i="2" s="1"/>
  <c r="N18" i="2" a="1"/>
  <c r="N18" i="2" s="1"/>
  <c r="O18" i="2" a="1"/>
  <c r="O18" i="2" s="1"/>
  <c r="K18" i="2" a="1"/>
  <c r="K18" i="2" s="1"/>
  <c r="I18" i="2" a="1"/>
  <c r="I18" i="2" s="1"/>
  <c r="J18" i="2" a="1"/>
  <c r="J18" i="2" s="1"/>
  <c r="H18" i="2" a="1"/>
  <c r="H18" i="2" s="1"/>
  <c r="A19" i="2" a="1"/>
  <c r="A19" i="2" s="1"/>
  <c r="G19" i="2"/>
  <c r="G18" i="3" l="1"/>
  <c r="G18" i="5" s="1" a="1"/>
  <c r="G18" i="5" s="1"/>
  <c r="I18" i="3"/>
  <c r="I18" i="5" s="1" a="1"/>
  <c r="I18" i="5" s="1"/>
  <c r="A19" i="3"/>
  <c r="A19" i="5" s="1" a="1"/>
  <c r="A19" i="5" s="1"/>
  <c r="H18" i="3"/>
  <c r="H18" i="5" s="1" a="1"/>
  <c r="H18" i="5" s="1"/>
  <c r="E18" i="3"/>
  <c r="E18" i="5" s="1" a="1"/>
  <c r="E18" i="5" s="1"/>
  <c r="D18" i="3"/>
  <c r="D18" i="5" s="1" a="1"/>
  <c r="D18" i="5" s="1"/>
  <c r="C18" i="3"/>
  <c r="C18" i="5" s="1" a="1"/>
  <c r="C18" i="5" s="1"/>
  <c r="B18" i="3"/>
  <c r="B18" i="5" s="1" a="1"/>
  <c r="B18" i="5" s="1"/>
  <c r="F18" i="3"/>
  <c r="F18" i="5" s="1" a="1"/>
  <c r="F18" i="5" s="1"/>
  <c r="T18" i="2" a="1"/>
  <c r="T18" i="2" s="1"/>
  <c r="U18" i="2" a="1"/>
  <c r="U18" i="2" s="1"/>
  <c r="AA18" i="2" a="1"/>
  <c r="AA18" i="2" s="1"/>
  <c r="W18" i="2" a="1"/>
  <c r="W18" i="2" s="1"/>
  <c r="Z18" i="2" a="1"/>
  <c r="Z18" i="2" s="1"/>
  <c r="X18" i="2" a="1"/>
  <c r="X18" i="2" s="1"/>
  <c r="S19" i="2" a="1"/>
  <c r="S19" i="2" s="1"/>
  <c r="Y18" i="2" a="1"/>
  <c r="Y18" i="2" s="1"/>
  <c r="V18" i="2" a="1"/>
  <c r="V18" i="2" s="1"/>
  <c r="L19" i="2" a="1"/>
  <c r="L19" i="2" s="1"/>
  <c r="M19" i="2" a="1"/>
  <c r="M19" i="2" s="1"/>
  <c r="N19" i="2" a="1"/>
  <c r="N19" i="2" s="1"/>
  <c r="O19" i="2" a="1"/>
  <c r="O19" i="2" s="1"/>
  <c r="K19" i="2" a="1"/>
  <c r="K19" i="2" s="1"/>
  <c r="H19" i="2" a="1"/>
  <c r="H19" i="2" s="1"/>
  <c r="I19" i="2" a="1"/>
  <c r="I19" i="2" s="1"/>
  <c r="J19" i="2" a="1"/>
  <c r="J19" i="2" s="1"/>
  <c r="A20" i="2" a="1"/>
  <c r="A20" i="2" s="1"/>
  <c r="G20" i="2"/>
  <c r="F19" i="3" l="1"/>
  <c r="F19" i="5" s="1" a="1"/>
  <c r="F19" i="5" s="1"/>
  <c r="H19" i="3"/>
  <c r="H19" i="5" s="1" a="1"/>
  <c r="H19" i="5" s="1"/>
  <c r="C19" i="3"/>
  <c r="C19" i="5" s="1" a="1"/>
  <c r="C19" i="5" s="1"/>
  <c r="B19" i="3"/>
  <c r="B19" i="5" s="1" a="1"/>
  <c r="B19" i="5" s="1"/>
  <c r="I19" i="3"/>
  <c r="I19" i="5" s="1" a="1"/>
  <c r="I19" i="5" s="1"/>
  <c r="G19" i="3"/>
  <c r="G19" i="5" s="1" a="1"/>
  <c r="G19" i="5" s="1"/>
  <c r="E19" i="3"/>
  <c r="E19" i="5" s="1" a="1"/>
  <c r="E19" i="5" s="1"/>
  <c r="D19" i="3"/>
  <c r="D19" i="5" s="1" a="1"/>
  <c r="D19" i="5" s="1"/>
  <c r="A20" i="3"/>
  <c r="A20" i="5" s="1" a="1"/>
  <c r="A20" i="5" s="1"/>
  <c r="T19" i="2" a="1"/>
  <c r="T19" i="2" s="1"/>
  <c r="W19" i="2" a="1"/>
  <c r="W19" i="2" s="1"/>
  <c r="AA19" i="2" a="1"/>
  <c r="AA19" i="2" s="1"/>
  <c r="Z19" i="2" a="1"/>
  <c r="Z19" i="2" s="1"/>
  <c r="V19" i="2" a="1"/>
  <c r="V19" i="2" s="1"/>
  <c r="S20" i="2" a="1"/>
  <c r="S20" i="2" s="1"/>
  <c r="Y19" i="2" a="1"/>
  <c r="Y19" i="2" s="1"/>
  <c r="X19" i="2" a="1"/>
  <c r="X19" i="2" s="1"/>
  <c r="U19" i="2" a="1"/>
  <c r="U19" i="2" s="1"/>
  <c r="K20" i="2" a="1"/>
  <c r="K20" i="2" s="1"/>
  <c r="L20" i="2" a="1"/>
  <c r="L20" i="2" s="1"/>
  <c r="M20" i="2" a="1"/>
  <c r="M20" i="2" s="1"/>
  <c r="I20" i="2" a="1"/>
  <c r="I20" i="2" s="1"/>
  <c r="J20" i="2" a="1"/>
  <c r="J20" i="2" s="1"/>
  <c r="N20" i="2" a="1"/>
  <c r="N20" i="2" s="1"/>
  <c r="O20" i="2" a="1"/>
  <c r="O20" i="2" s="1"/>
  <c r="H20" i="2" a="1"/>
  <c r="H20" i="2" s="1"/>
  <c r="A21" i="2" a="1"/>
  <c r="A21" i="2" s="1"/>
  <c r="G21" i="2"/>
  <c r="D20" i="3" l="1"/>
  <c r="D20" i="5" s="1" a="1"/>
  <c r="D20" i="5" s="1"/>
  <c r="C20" i="3"/>
  <c r="C20" i="5" s="1" a="1"/>
  <c r="C20" i="5" s="1"/>
  <c r="A21" i="3"/>
  <c r="A21" i="5" s="1" a="1"/>
  <c r="A21" i="5" s="1"/>
  <c r="E20" i="3"/>
  <c r="E20" i="5" s="1" a="1"/>
  <c r="E20" i="5" s="1"/>
  <c r="H20" i="3"/>
  <c r="H20" i="5" s="1" a="1"/>
  <c r="H20" i="5" s="1"/>
  <c r="B20" i="3"/>
  <c r="B20" i="5" s="1" a="1"/>
  <c r="B20" i="5" s="1"/>
  <c r="F20" i="3"/>
  <c r="F20" i="5" s="1" a="1"/>
  <c r="F20" i="5" s="1"/>
  <c r="I20" i="3"/>
  <c r="I20" i="5" s="1" a="1"/>
  <c r="I20" i="5" s="1"/>
  <c r="G20" i="3"/>
  <c r="G20" i="5" s="1" a="1"/>
  <c r="G20" i="5" s="1"/>
  <c r="T20" i="2" a="1"/>
  <c r="T20" i="2" s="1"/>
  <c r="Z20" i="2" a="1"/>
  <c r="Z20" i="2" s="1"/>
  <c r="U20" i="2" a="1"/>
  <c r="U20" i="2" s="1"/>
  <c r="V20" i="2" a="1"/>
  <c r="V20" i="2" s="1"/>
  <c r="Y20" i="2" a="1"/>
  <c r="Y20" i="2" s="1"/>
  <c r="W20" i="2" a="1"/>
  <c r="W20" i="2" s="1"/>
  <c r="S21" i="2" a="1"/>
  <c r="S21" i="2" s="1"/>
  <c r="X20" i="2" a="1"/>
  <c r="X20" i="2" s="1"/>
  <c r="AA20" i="2" a="1"/>
  <c r="AA20" i="2" s="1"/>
  <c r="I21" i="2" a="1"/>
  <c r="I21" i="2" s="1"/>
  <c r="J21" i="2" a="1"/>
  <c r="J21" i="2" s="1"/>
  <c r="H21" i="2" a="1"/>
  <c r="H21" i="2" s="1"/>
  <c r="L21" i="2" a="1"/>
  <c r="L21" i="2" s="1"/>
  <c r="M21" i="2" a="1"/>
  <c r="M21" i="2" s="1"/>
  <c r="N21" i="2" a="1"/>
  <c r="N21" i="2" s="1"/>
  <c r="O21" i="2" a="1"/>
  <c r="O21" i="2" s="1"/>
  <c r="K21" i="2" a="1"/>
  <c r="K21" i="2" s="1"/>
  <c r="A22" i="2" a="1"/>
  <c r="A22" i="2" s="1"/>
  <c r="G22" i="2"/>
  <c r="E21" i="3" l="1"/>
  <c r="E21" i="5" s="1" a="1"/>
  <c r="E21" i="5" s="1"/>
  <c r="D21" i="3"/>
  <c r="D21" i="5" s="1" a="1"/>
  <c r="D21" i="5" s="1"/>
  <c r="G21" i="3"/>
  <c r="G21" i="5" s="1" a="1"/>
  <c r="G21" i="5" s="1"/>
  <c r="C21" i="3"/>
  <c r="C21" i="5" s="1" a="1"/>
  <c r="C21" i="5" s="1"/>
  <c r="H21" i="3"/>
  <c r="H21" i="5" s="1" a="1"/>
  <c r="H21" i="5" s="1"/>
  <c r="I21" i="3"/>
  <c r="I21" i="5" s="1" a="1"/>
  <c r="I21" i="5" s="1"/>
  <c r="F21" i="3"/>
  <c r="F21" i="5" s="1" a="1"/>
  <c r="F21" i="5" s="1"/>
  <c r="B21" i="3"/>
  <c r="B21" i="5" s="1" a="1"/>
  <c r="B21" i="5" s="1"/>
  <c r="A22" i="3"/>
  <c r="A22" i="5" s="1" a="1"/>
  <c r="A22" i="5" s="1"/>
  <c r="Z21" i="2" a="1"/>
  <c r="Z21" i="2" s="1"/>
  <c r="Y21" i="2" a="1"/>
  <c r="Y21" i="2" s="1"/>
  <c r="W21" i="2" a="1"/>
  <c r="W21" i="2" s="1"/>
  <c r="T21" i="2" a="1"/>
  <c r="T21" i="2" s="1"/>
  <c r="X21" i="2" a="1"/>
  <c r="X21" i="2" s="1"/>
  <c r="S22" i="2" a="1"/>
  <c r="S22" i="2" s="1"/>
  <c r="V21" i="2" a="1"/>
  <c r="V21" i="2" s="1"/>
  <c r="U21" i="2" a="1"/>
  <c r="U21" i="2" s="1"/>
  <c r="AA21" i="2" a="1"/>
  <c r="AA21" i="2" s="1"/>
  <c r="N22" i="2" a="1"/>
  <c r="N22" i="2" s="1"/>
  <c r="M22" i="2" a="1"/>
  <c r="M22" i="2" s="1"/>
  <c r="H22" i="2" a="1"/>
  <c r="H22" i="2" s="1"/>
  <c r="L22" i="2" a="1"/>
  <c r="L22" i="2" s="1"/>
  <c r="O22" i="2" a="1"/>
  <c r="O22" i="2" s="1"/>
  <c r="K22" i="2" a="1"/>
  <c r="K22" i="2" s="1"/>
  <c r="I22" i="2" a="1"/>
  <c r="I22" i="2" s="1"/>
  <c r="J22" i="2" a="1"/>
  <c r="J22" i="2" s="1"/>
  <c r="A23" i="2" a="1"/>
  <c r="A23" i="2" s="1"/>
  <c r="G23" i="2"/>
  <c r="F22" i="3" l="1"/>
  <c r="F22" i="5" s="1" a="1"/>
  <c r="F22" i="5" s="1"/>
  <c r="B22" i="3"/>
  <c r="B22" i="5" s="1" a="1"/>
  <c r="B22" i="5" s="1"/>
  <c r="I22" i="3"/>
  <c r="I22" i="5" s="1" a="1"/>
  <c r="I22" i="5" s="1"/>
  <c r="E22" i="3"/>
  <c r="E22" i="5" s="1" a="1"/>
  <c r="E22" i="5" s="1"/>
  <c r="H22" i="3"/>
  <c r="H22" i="5" s="1" a="1"/>
  <c r="H22" i="5" s="1"/>
  <c r="C22" i="3"/>
  <c r="C22" i="5" s="1" a="1"/>
  <c r="C22" i="5" s="1"/>
  <c r="A23" i="3"/>
  <c r="A23" i="5" s="1" a="1"/>
  <c r="A23" i="5" s="1"/>
  <c r="G22" i="3"/>
  <c r="G22" i="5" s="1" a="1"/>
  <c r="G22" i="5" s="1"/>
  <c r="D22" i="3"/>
  <c r="D22" i="5" s="1" a="1"/>
  <c r="D22" i="5" s="1"/>
  <c r="V22" i="2" a="1"/>
  <c r="V22" i="2" s="1"/>
  <c r="W22" i="2" a="1"/>
  <c r="W22" i="2" s="1"/>
  <c r="X22" i="2" a="1"/>
  <c r="X22" i="2" s="1"/>
  <c r="AA22" i="2" a="1"/>
  <c r="AA22" i="2" s="1"/>
  <c r="T22" i="2" a="1"/>
  <c r="T22" i="2" s="1"/>
  <c r="Z22" i="2" a="1"/>
  <c r="Z22" i="2" s="1"/>
  <c r="S23" i="2" a="1"/>
  <c r="S23" i="2" s="1"/>
  <c r="Y22" i="2" a="1"/>
  <c r="Y22" i="2" s="1"/>
  <c r="U22" i="2" a="1"/>
  <c r="U22" i="2" s="1"/>
  <c r="H23" i="2" a="1"/>
  <c r="H23" i="2" s="1"/>
  <c r="L23" i="2" a="1"/>
  <c r="L23" i="2" s="1"/>
  <c r="M23" i="2" a="1"/>
  <c r="M23" i="2" s="1"/>
  <c r="N23" i="2" a="1"/>
  <c r="N23" i="2" s="1"/>
  <c r="O23" i="2" a="1"/>
  <c r="O23" i="2" s="1"/>
  <c r="K23" i="2" a="1"/>
  <c r="K23" i="2" s="1"/>
  <c r="I23" i="2" a="1"/>
  <c r="I23" i="2" s="1"/>
  <c r="J23" i="2" a="1"/>
  <c r="J23" i="2" s="1"/>
  <c r="A24" i="2" a="1"/>
  <c r="A24" i="2" s="1"/>
  <c r="G24" i="2"/>
  <c r="H23" i="3" l="1"/>
  <c r="H23" i="5" s="1" a="1"/>
  <c r="H23" i="5" s="1"/>
  <c r="B23" i="3"/>
  <c r="B23" i="5" s="1" a="1"/>
  <c r="B23" i="5" s="1"/>
  <c r="I23" i="3"/>
  <c r="I23" i="5" s="1" a="1"/>
  <c r="I23" i="5" s="1"/>
  <c r="D23" i="3"/>
  <c r="D23" i="5" s="1" a="1"/>
  <c r="D23" i="5" s="1"/>
  <c r="F23" i="3"/>
  <c r="F23" i="5" s="1" a="1"/>
  <c r="F23" i="5" s="1"/>
  <c r="G23" i="3"/>
  <c r="G23" i="5" s="1" a="1"/>
  <c r="G23" i="5" s="1"/>
  <c r="E23" i="3"/>
  <c r="E23" i="5" s="1" a="1"/>
  <c r="E23" i="5" s="1"/>
  <c r="C23" i="3"/>
  <c r="C23" i="5" s="1" a="1"/>
  <c r="C23" i="5" s="1"/>
  <c r="A24" i="3"/>
  <c r="A24" i="5" s="1" a="1"/>
  <c r="A24" i="5" s="1"/>
  <c r="W23" i="2" a="1"/>
  <c r="W23" i="2" s="1"/>
  <c r="AA23" i="2" a="1"/>
  <c r="AA23" i="2" s="1"/>
  <c r="Y23" i="2" a="1"/>
  <c r="Y23" i="2" s="1"/>
  <c r="Z23" i="2" a="1"/>
  <c r="Z23" i="2" s="1"/>
  <c r="S24" i="2" a="1"/>
  <c r="S24" i="2" s="1"/>
  <c r="X23" i="2" a="1"/>
  <c r="X23" i="2" s="1"/>
  <c r="T23" i="2" a="1"/>
  <c r="T23" i="2" s="1"/>
  <c r="V23" i="2" a="1"/>
  <c r="V23" i="2" s="1"/>
  <c r="U23" i="2" a="1"/>
  <c r="U23" i="2" s="1"/>
  <c r="H24" i="2" a="1"/>
  <c r="H24" i="2" s="1"/>
  <c r="J24" i="2" a="1"/>
  <c r="J24" i="2" s="1"/>
  <c r="I24" i="2" a="1"/>
  <c r="I24" i="2" s="1"/>
  <c r="L24" i="2" a="1"/>
  <c r="L24" i="2" s="1"/>
  <c r="M24" i="2" a="1"/>
  <c r="M24" i="2" s="1"/>
  <c r="N24" i="2" a="1"/>
  <c r="N24" i="2" s="1"/>
  <c r="O24" i="2" a="1"/>
  <c r="O24" i="2" s="1"/>
  <c r="K24" i="2" a="1"/>
  <c r="K24" i="2" s="1"/>
  <c r="A25" i="2" a="1"/>
  <c r="A25" i="2" s="1"/>
  <c r="G25" i="2"/>
  <c r="H24" i="3" l="1"/>
  <c r="H24" i="5" s="1" a="1"/>
  <c r="H24" i="5" s="1"/>
  <c r="F24" i="3"/>
  <c r="F24" i="5" s="1" a="1"/>
  <c r="F24" i="5" s="1"/>
  <c r="I24" i="3"/>
  <c r="I24" i="5" s="1" a="1"/>
  <c r="I24" i="5" s="1"/>
  <c r="C24" i="3"/>
  <c r="C24" i="5" s="1" a="1"/>
  <c r="C24" i="5" s="1"/>
  <c r="E24" i="3"/>
  <c r="E24" i="5" s="1" a="1"/>
  <c r="E24" i="5" s="1"/>
  <c r="D24" i="3"/>
  <c r="D24" i="5" s="1" a="1"/>
  <c r="D24" i="5" s="1"/>
  <c r="A25" i="3"/>
  <c r="A25" i="5" s="1" a="1"/>
  <c r="A25" i="5" s="1"/>
  <c r="G24" i="3"/>
  <c r="G24" i="5" s="1" a="1"/>
  <c r="G24" i="5" s="1"/>
  <c r="B24" i="3"/>
  <c r="B24" i="5" s="1" a="1"/>
  <c r="B24" i="5" s="1"/>
  <c r="T24" i="2" a="1"/>
  <c r="T24" i="2" s="1"/>
  <c r="Z24" i="2" a="1"/>
  <c r="Z24" i="2" s="1"/>
  <c r="X24" i="2" a="1"/>
  <c r="X24" i="2" s="1"/>
  <c r="Y24" i="2" a="1"/>
  <c r="Y24" i="2" s="1"/>
  <c r="U24" i="2" a="1"/>
  <c r="U24" i="2" s="1"/>
  <c r="W24" i="2" a="1"/>
  <c r="W24" i="2" s="1"/>
  <c r="S25" i="2" a="1"/>
  <c r="S25" i="2" s="1"/>
  <c r="V24" i="2" a="1"/>
  <c r="V24" i="2" s="1"/>
  <c r="AA24" i="2" a="1"/>
  <c r="AA24" i="2" s="1"/>
  <c r="L25" i="2" a="1"/>
  <c r="L25" i="2" s="1"/>
  <c r="K25" i="2" a="1"/>
  <c r="K25" i="2" s="1"/>
  <c r="M25" i="2" a="1"/>
  <c r="M25" i="2" s="1"/>
  <c r="N25" i="2" a="1"/>
  <c r="N25" i="2" s="1"/>
  <c r="O25" i="2" a="1"/>
  <c r="O25" i="2" s="1"/>
  <c r="I25" i="2" a="1"/>
  <c r="I25" i="2" s="1"/>
  <c r="J25" i="2" a="1"/>
  <c r="J25" i="2" s="1"/>
  <c r="H25" i="2" a="1"/>
  <c r="H25" i="2" s="1"/>
  <c r="A26" i="2" a="1"/>
  <c r="A26" i="2" s="1"/>
  <c r="G26" i="2"/>
  <c r="B25" i="3" l="1"/>
  <c r="B25" i="5" s="1" a="1"/>
  <c r="B25" i="5" s="1"/>
  <c r="I25" i="3"/>
  <c r="I25" i="5" s="1" a="1"/>
  <c r="I25" i="5" s="1"/>
  <c r="E25" i="3"/>
  <c r="E25" i="5" s="1" a="1"/>
  <c r="E25" i="5" s="1"/>
  <c r="C25" i="3"/>
  <c r="C25" i="5" s="1" a="1"/>
  <c r="C25" i="5" s="1"/>
  <c r="G25" i="3"/>
  <c r="G25" i="5" s="1" a="1"/>
  <c r="G25" i="5" s="1"/>
  <c r="F25" i="3"/>
  <c r="F25" i="5" s="1" a="1"/>
  <c r="F25" i="5" s="1"/>
  <c r="H25" i="3"/>
  <c r="H25" i="5" s="1" a="1"/>
  <c r="H25" i="5" s="1"/>
  <c r="D25" i="3"/>
  <c r="D25" i="5" s="1" a="1"/>
  <c r="D25" i="5" s="1"/>
  <c r="A26" i="3"/>
  <c r="A26" i="5" s="1" a="1"/>
  <c r="A26" i="5" s="1"/>
  <c r="U25" i="2" a="1"/>
  <c r="U25" i="2" s="1"/>
  <c r="AA25" i="2" a="1"/>
  <c r="AA25" i="2" s="1"/>
  <c r="Y25" i="2" a="1"/>
  <c r="Y25" i="2" s="1"/>
  <c r="Z25" i="2" a="1"/>
  <c r="Z25" i="2" s="1"/>
  <c r="S26" i="2" a="1"/>
  <c r="S26" i="2" s="1"/>
  <c r="W25" i="2" a="1"/>
  <c r="W25" i="2" s="1"/>
  <c r="X25" i="2" a="1"/>
  <c r="X25" i="2" s="1"/>
  <c r="T25" i="2" a="1"/>
  <c r="T25" i="2" s="1"/>
  <c r="V25" i="2" a="1"/>
  <c r="V25" i="2" s="1"/>
  <c r="L26" i="2" a="1"/>
  <c r="L26" i="2" s="1"/>
  <c r="K26" i="2" a="1"/>
  <c r="K26" i="2" s="1"/>
  <c r="M26" i="2" a="1"/>
  <c r="M26" i="2" s="1"/>
  <c r="N26" i="2" a="1"/>
  <c r="N26" i="2" s="1"/>
  <c r="O26" i="2" a="1"/>
  <c r="O26" i="2" s="1"/>
  <c r="I26" i="2" a="1"/>
  <c r="I26" i="2" s="1"/>
  <c r="J26" i="2" a="1"/>
  <c r="J26" i="2" s="1"/>
  <c r="H26" i="2" a="1"/>
  <c r="H26" i="2" s="1"/>
  <c r="A27" i="2" a="1"/>
  <c r="A27" i="2" s="1"/>
  <c r="G27" i="2"/>
  <c r="E26" i="3" l="1"/>
  <c r="E26" i="5" s="1" a="1"/>
  <c r="E26" i="5" s="1"/>
  <c r="A27" i="3"/>
  <c r="A27" i="5" s="1" a="1"/>
  <c r="A27" i="5" s="1"/>
  <c r="H26" i="3"/>
  <c r="H26" i="5" s="1" a="1"/>
  <c r="H26" i="5" s="1"/>
  <c r="G26" i="3"/>
  <c r="G26" i="5" s="1" a="1"/>
  <c r="G26" i="5" s="1"/>
  <c r="I26" i="3"/>
  <c r="I26" i="5" s="1" a="1"/>
  <c r="I26" i="5" s="1"/>
  <c r="C26" i="3"/>
  <c r="C26" i="5" s="1" a="1"/>
  <c r="C26" i="5" s="1"/>
  <c r="D26" i="3"/>
  <c r="D26" i="5" s="1" a="1"/>
  <c r="D26" i="5" s="1"/>
  <c r="B26" i="3"/>
  <c r="B26" i="5" s="1" a="1"/>
  <c r="B26" i="5" s="1"/>
  <c r="F26" i="3"/>
  <c r="F26" i="5" s="1" a="1"/>
  <c r="F26" i="5" s="1"/>
  <c r="U26" i="2" a="1"/>
  <c r="U26" i="2" s="1"/>
  <c r="Z26" i="2" a="1"/>
  <c r="Z26" i="2" s="1"/>
  <c r="AA26" i="2" a="1"/>
  <c r="AA26" i="2" s="1"/>
  <c r="Y26" i="2" a="1"/>
  <c r="Y26" i="2" s="1"/>
  <c r="S27" i="2" a="1"/>
  <c r="S27" i="2" s="1"/>
  <c r="W26" i="2" a="1"/>
  <c r="W26" i="2" s="1"/>
  <c r="T26" i="2" a="1"/>
  <c r="T26" i="2" s="1"/>
  <c r="X26" i="2" a="1"/>
  <c r="X26" i="2" s="1"/>
  <c r="V26" i="2" a="1"/>
  <c r="V26" i="2" s="1"/>
  <c r="K27" i="2" a="1"/>
  <c r="K27" i="2" s="1"/>
  <c r="M27" i="2" a="1"/>
  <c r="M27" i="2" s="1"/>
  <c r="N27" i="2" a="1"/>
  <c r="N27" i="2" s="1"/>
  <c r="O27" i="2" a="1"/>
  <c r="O27" i="2" s="1"/>
  <c r="H27" i="2" a="1"/>
  <c r="H27" i="2" s="1"/>
  <c r="I27" i="2" a="1"/>
  <c r="I27" i="2" s="1"/>
  <c r="J27" i="2" a="1"/>
  <c r="J27" i="2" s="1"/>
  <c r="L27" i="2" a="1"/>
  <c r="L27" i="2" s="1"/>
  <c r="A28" i="2" a="1"/>
  <c r="A28" i="2" s="1"/>
  <c r="G28" i="2"/>
  <c r="H27" i="3" l="1"/>
  <c r="H27" i="5" s="1" a="1"/>
  <c r="H27" i="5" s="1"/>
  <c r="E27" i="3"/>
  <c r="E27" i="5" s="1" a="1"/>
  <c r="E27" i="5" s="1"/>
  <c r="A28" i="3"/>
  <c r="A28" i="5" s="1" a="1"/>
  <c r="A28" i="5" s="1"/>
  <c r="G27" i="3"/>
  <c r="G27" i="5" s="1" a="1"/>
  <c r="G27" i="5" s="1"/>
  <c r="I27" i="3"/>
  <c r="I27" i="5" s="1" a="1"/>
  <c r="I27" i="5" s="1"/>
  <c r="D27" i="3"/>
  <c r="D27" i="5" s="1" a="1"/>
  <c r="D27" i="5" s="1"/>
  <c r="C27" i="3"/>
  <c r="C27" i="5" s="1" a="1"/>
  <c r="C27" i="5" s="1"/>
  <c r="F27" i="3"/>
  <c r="F27" i="5" s="1" a="1"/>
  <c r="F27" i="5" s="1"/>
  <c r="B27" i="3"/>
  <c r="B27" i="5" s="1" a="1"/>
  <c r="B27" i="5" s="1"/>
  <c r="U27" i="2" a="1"/>
  <c r="U27" i="2" s="1"/>
  <c r="S28" i="2" a="1"/>
  <c r="S28" i="2" s="1"/>
  <c r="T27" i="2" a="1"/>
  <c r="T27" i="2" s="1"/>
  <c r="Y27" i="2" a="1"/>
  <c r="Y27" i="2" s="1"/>
  <c r="AA27" i="2" a="1"/>
  <c r="AA27" i="2" s="1"/>
  <c r="Z27" i="2" a="1"/>
  <c r="Z27" i="2" s="1"/>
  <c r="W27" i="2" a="1"/>
  <c r="W27" i="2" s="1"/>
  <c r="X27" i="2" a="1"/>
  <c r="X27" i="2" s="1"/>
  <c r="V27" i="2" a="1"/>
  <c r="V27" i="2" s="1"/>
  <c r="K28" i="2" a="1"/>
  <c r="K28" i="2" s="1"/>
  <c r="I28" i="2" a="1"/>
  <c r="I28" i="2" s="1"/>
  <c r="J28" i="2" a="1"/>
  <c r="J28" i="2" s="1"/>
  <c r="N28" i="2" a="1"/>
  <c r="N28" i="2" s="1"/>
  <c r="O28" i="2" a="1"/>
  <c r="O28" i="2" s="1"/>
  <c r="M28" i="2" a="1"/>
  <c r="M28" i="2" s="1"/>
  <c r="H28" i="2" a="1"/>
  <c r="H28" i="2" s="1"/>
  <c r="L28" i="2" a="1"/>
  <c r="L28" i="2" s="1"/>
  <c r="A29" i="2" a="1"/>
  <c r="A29" i="2" s="1"/>
  <c r="G29" i="2"/>
  <c r="I28" i="3" l="1"/>
  <c r="I28" i="5" s="1" a="1"/>
  <c r="I28" i="5" s="1"/>
  <c r="G28" i="3"/>
  <c r="G28" i="5" s="1" a="1"/>
  <c r="G28" i="5" s="1"/>
  <c r="H28" i="3"/>
  <c r="H28" i="5" s="1" a="1"/>
  <c r="H28" i="5" s="1"/>
  <c r="C28" i="3"/>
  <c r="C28" i="5" s="1" a="1"/>
  <c r="C28" i="5" s="1"/>
  <c r="D28" i="3"/>
  <c r="D28" i="5" s="1" a="1"/>
  <c r="D28" i="5" s="1"/>
  <c r="F28" i="3"/>
  <c r="F28" i="5" s="1" a="1"/>
  <c r="F28" i="5" s="1"/>
  <c r="B28" i="3"/>
  <c r="B28" i="5" s="1" a="1"/>
  <c r="B28" i="5" s="1"/>
  <c r="A29" i="3"/>
  <c r="A29" i="5" s="1" a="1"/>
  <c r="A29" i="5" s="1"/>
  <c r="E28" i="3"/>
  <c r="E28" i="5" s="1" a="1"/>
  <c r="E28" i="5" s="1"/>
  <c r="Y28" i="2" a="1"/>
  <c r="Y28" i="2" s="1"/>
  <c r="Z28" i="2" a="1"/>
  <c r="Z28" i="2" s="1"/>
  <c r="AA28" i="2" a="1"/>
  <c r="AA28" i="2" s="1"/>
  <c r="V28" i="2" a="1"/>
  <c r="V28" i="2" s="1"/>
  <c r="S29" i="2" a="1"/>
  <c r="S29" i="2" s="1"/>
  <c r="U28" i="2" a="1"/>
  <c r="U28" i="2" s="1"/>
  <c r="W28" i="2" a="1"/>
  <c r="W28" i="2" s="1"/>
  <c r="X28" i="2" a="1"/>
  <c r="X28" i="2" s="1"/>
  <c r="T28" i="2" a="1"/>
  <c r="T28" i="2" s="1"/>
  <c r="I29" i="2" a="1"/>
  <c r="I29" i="2" s="1"/>
  <c r="J29" i="2" a="1"/>
  <c r="J29" i="2" s="1"/>
  <c r="H29" i="2" a="1"/>
  <c r="H29" i="2" s="1"/>
  <c r="K29" i="2" a="1"/>
  <c r="K29" i="2" s="1"/>
  <c r="L29" i="2" a="1"/>
  <c r="L29" i="2" s="1"/>
  <c r="M29" i="2" a="1"/>
  <c r="M29" i="2" s="1"/>
  <c r="N29" i="2" a="1"/>
  <c r="N29" i="2" s="1"/>
  <c r="O29" i="2" a="1"/>
  <c r="O29" i="2" s="1"/>
  <c r="A30" i="2" a="1"/>
  <c r="A30" i="2" s="1"/>
  <c r="G30" i="2"/>
  <c r="C29" i="3" l="1"/>
  <c r="C29" i="5" s="1" a="1"/>
  <c r="C29" i="5" s="1"/>
  <c r="A30" i="3"/>
  <c r="A30" i="5" s="1" a="1"/>
  <c r="A30" i="5" s="1"/>
  <c r="I29" i="3"/>
  <c r="I29" i="5" s="1" a="1"/>
  <c r="I29" i="5" s="1"/>
  <c r="G29" i="3"/>
  <c r="G29" i="5" s="1" a="1"/>
  <c r="G29" i="5" s="1"/>
  <c r="F29" i="3"/>
  <c r="F29" i="5" s="1" a="1"/>
  <c r="F29" i="5" s="1"/>
  <c r="D29" i="3"/>
  <c r="D29" i="5" s="1" a="1"/>
  <c r="D29" i="5" s="1"/>
  <c r="H29" i="3"/>
  <c r="H29" i="5" s="1" a="1"/>
  <c r="H29" i="5" s="1"/>
  <c r="B29" i="3"/>
  <c r="B29" i="5" s="1" a="1"/>
  <c r="B29" i="5" s="1"/>
  <c r="E29" i="3"/>
  <c r="E29" i="5" s="1" a="1"/>
  <c r="E29" i="5" s="1"/>
  <c r="Y29" i="2" a="1"/>
  <c r="Y29" i="2" s="1"/>
  <c r="S30" i="2" a="1"/>
  <c r="S30" i="2" s="1"/>
  <c r="X29" i="2" a="1"/>
  <c r="X29" i="2" s="1"/>
  <c r="U29" i="2" a="1"/>
  <c r="U29" i="2" s="1"/>
  <c r="W29" i="2" a="1"/>
  <c r="W29" i="2" s="1"/>
  <c r="T29" i="2" a="1"/>
  <c r="T29" i="2" s="1"/>
  <c r="V29" i="2" a="1"/>
  <c r="V29" i="2" s="1"/>
  <c r="AA29" i="2" a="1"/>
  <c r="AA29" i="2" s="1"/>
  <c r="Z29" i="2" a="1"/>
  <c r="Z29" i="2" s="1"/>
  <c r="H30" i="2" a="1"/>
  <c r="H30" i="2" s="1"/>
  <c r="O30" i="2" a="1"/>
  <c r="O30" i="2" s="1"/>
  <c r="M30" i="2" a="1"/>
  <c r="M30" i="2" s="1"/>
  <c r="L30" i="2" a="1"/>
  <c r="L30" i="2" s="1"/>
  <c r="K30" i="2" a="1"/>
  <c r="K30" i="2" s="1"/>
  <c r="N30" i="2" a="1"/>
  <c r="N30" i="2" s="1"/>
  <c r="I30" i="2" a="1"/>
  <c r="I30" i="2" s="1"/>
  <c r="J30" i="2" a="1"/>
  <c r="J30" i="2" s="1"/>
  <c r="A31" i="2" a="1"/>
  <c r="A31" i="2" s="1"/>
  <c r="G31" i="2"/>
  <c r="B30" i="3" l="1"/>
  <c r="B30" i="5" s="1" a="1"/>
  <c r="B30" i="5" s="1"/>
  <c r="A31" i="3"/>
  <c r="A31" i="5" s="1" a="1"/>
  <c r="A31" i="5" s="1"/>
  <c r="E30" i="3"/>
  <c r="E30" i="5" s="1" a="1"/>
  <c r="E30" i="5" s="1"/>
  <c r="F30" i="3"/>
  <c r="F30" i="5" s="1" a="1"/>
  <c r="F30" i="5" s="1"/>
  <c r="H30" i="3"/>
  <c r="H30" i="5" s="1" a="1"/>
  <c r="H30" i="5" s="1"/>
  <c r="G30" i="3"/>
  <c r="G30" i="5" s="1" a="1"/>
  <c r="G30" i="5" s="1"/>
  <c r="I30" i="3"/>
  <c r="I30" i="5" s="1" a="1"/>
  <c r="I30" i="5" s="1"/>
  <c r="C30" i="3"/>
  <c r="C30" i="5" s="1" a="1"/>
  <c r="C30" i="5" s="1"/>
  <c r="D30" i="3"/>
  <c r="D30" i="5" s="1" a="1"/>
  <c r="D30" i="5" s="1"/>
  <c r="V30" i="2" a="1"/>
  <c r="V30" i="2" s="1"/>
  <c r="Z30" i="2" a="1"/>
  <c r="Z30" i="2" s="1"/>
  <c r="W30" i="2" a="1"/>
  <c r="W30" i="2" s="1"/>
  <c r="Y30" i="2" a="1"/>
  <c r="Y30" i="2" s="1"/>
  <c r="X30" i="2" a="1"/>
  <c r="X30" i="2" s="1"/>
  <c r="S31" i="2" a="1"/>
  <c r="S31" i="2" s="1"/>
  <c r="AA30" i="2" a="1"/>
  <c r="AA30" i="2" s="1"/>
  <c r="T30" i="2" a="1"/>
  <c r="T30" i="2" s="1"/>
  <c r="U30" i="2" a="1"/>
  <c r="U30" i="2" s="1"/>
  <c r="H31" i="2" a="1"/>
  <c r="H31" i="2" s="1"/>
  <c r="L31" i="2" a="1"/>
  <c r="L31" i="2" s="1"/>
  <c r="K31" i="2" a="1"/>
  <c r="K31" i="2" s="1"/>
  <c r="M31" i="2" a="1"/>
  <c r="M31" i="2" s="1"/>
  <c r="N31" i="2" a="1"/>
  <c r="N31" i="2" s="1"/>
  <c r="O31" i="2" a="1"/>
  <c r="O31" i="2" s="1"/>
  <c r="I31" i="2" a="1"/>
  <c r="I31" i="2" s="1"/>
  <c r="J31" i="2" a="1"/>
  <c r="J31" i="2" s="1"/>
  <c r="A32" i="2" a="1"/>
  <c r="A32" i="2" s="1"/>
  <c r="G32" i="2"/>
  <c r="A32" i="3" l="1"/>
  <c r="A32" i="5" s="1" a="1"/>
  <c r="A32" i="5" s="1"/>
  <c r="F31" i="3"/>
  <c r="F31" i="5" s="1" a="1"/>
  <c r="F31" i="5" s="1"/>
  <c r="G31" i="3"/>
  <c r="G31" i="5" s="1" a="1"/>
  <c r="G31" i="5" s="1"/>
  <c r="E31" i="3"/>
  <c r="E31" i="5" s="1" a="1"/>
  <c r="E31" i="5" s="1"/>
  <c r="H31" i="3"/>
  <c r="H31" i="5" s="1" a="1"/>
  <c r="H31" i="5" s="1"/>
  <c r="C31" i="3"/>
  <c r="C31" i="5" s="1" a="1"/>
  <c r="C31" i="5" s="1"/>
  <c r="B31" i="3"/>
  <c r="B31" i="5" s="1" a="1"/>
  <c r="B31" i="5" s="1"/>
  <c r="D31" i="3"/>
  <c r="D31" i="5" s="1" a="1"/>
  <c r="D31" i="5" s="1"/>
  <c r="I31" i="3"/>
  <c r="I31" i="5" s="1" a="1"/>
  <c r="I31" i="5" s="1"/>
  <c r="AA31" i="2" a="1"/>
  <c r="AA31" i="2" s="1"/>
  <c r="Z31" i="2" a="1"/>
  <c r="Z31" i="2" s="1"/>
  <c r="S32" i="2" a="1"/>
  <c r="S32" i="2" s="1"/>
  <c r="Y31" i="2" a="1"/>
  <c r="Y31" i="2" s="1"/>
  <c r="X31" i="2" a="1"/>
  <c r="X31" i="2" s="1"/>
  <c r="W31" i="2" a="1"/>
  <c r="W31" i="2" s="1"/>
  <c r="T31" i="2" a="1"/>
  <c r="T31" i="2" s="1"/>
  <c r="V31" i="2" a="1"/>
  <c r="V31" i="2" s="1"/>
  <c r="U31" i="2" a="1"/>
  <c r="U31" i="2" s="1"/>
  <c r="L32" i="2" a="1"/>
  <c r="L32" i="2" s="1"/>
  <c r="K32" i="2" a="1"/>
  <c r="K32" i="2" s="1"/>
  <c r="M32" i="2" a="1"/>
  <c r="M32" i="2" s="1"/>
  <c r="N32" i="2" a="1"/>
  <c r="N32" i="2" s="1"/>
  <c r="O32" i="2" a="1"/>
  <c r="O32" i="2" s="1"/>
  <c r="I32" i="2" a="1"/>
  <c r="I32" i="2" s="1"/>
  <c r="J32" i="2" a="1"/>
  <c r="J32" i="2" s="1"/>
  <c r="H32" i="2" a="1"/>
  <c r="H32" i="2" s="1"/>
  <c r="A33" i="2" a="1"/>
  <c r="A33" i="2" s="1"/>
  <c r="G33" i="2"/>
  <c r="F32" i="3" l="1"/>
  <c r="F32" i="5" s="1" a="1"/>
  <c r="F32" i="5" s="1"/>
  <c r="H32" i="3"/>
  <c r="H32" i="5" s="1" a="1"/>
  <c r="H32" i="5" s="1"/>
  <c r="E32" i="3"/>
  <c r="E32" i="5" s="1" a="1"/>
  <c r="E32" i="5" s="1"/>
  <c r="C32" i="3"/>
  <c r="C32" i="5" s="1" a="1"/>
  <c r="C32" i="5" s="1"/>
  <c r="D32" i="3"/>
  <c r="D32" i="5" s="1" a="1"/>
  <c r="D32" i="5" s="1"/>
  <c r="G32" i="3"/>
  <c r="G32" i="5" s="1" a="1"/>
  <c r="G32" i="5" s="1"/>
  <c r="A33" i="3"/>
  <c r="A33" i="5" s="1" a="1"/>
  <c r="A33" i="5" s="1"/>
  <c r="I32" i="3"/>
  <c r="I32" i="5" s="1" a="1"/>
  <c r="I32" i="5" s="1"/>
  <c r="B32" i="3"/>
  <c r="B32" i="5" s="1" a="1"/>
  <c r="B32" i="5" s="1"/>
  <c r="U32" i="2" a="1"/>
  <c r="U32" i="2" s="1"/>
  <c r="Z32" i="2" a="1"/>
  <c r="Z32" i="2" s="1"/>
  <c r="AA32" i="2" a="1"/>
  <c r="AA32" i="2" s="1"/>
  <c r="Y32" i="2" a="1"/>
  <c r="Y32" i="2" s="1"/>
  <c r="W32" i="2" a="1"/>
  <c r="W32" i="2" s="1"/>
  <c r="S33" i="2" a="1"/>
  <c r="S33" i="2" s="1"/>
  <c r="T32" i="2" a="1"/>
  <c r="T32" i="2" s="1"/>
  <c r="X32" i="2" a="1"/>
  <c r="X32" i="2" s="1"/>
  <c r="V32" i="2" a="1"/>
  <c r="V32" i="2" s="1"/>
  <c r="K33" i="2" a="1"/>
  <c r="K33" i="2" s="1"/>
  <c r="M33" i="2" a="1"/>
  <c r="M33" i="2" s="1"/>
  <c r="N33" i="2" a="1"/>
  <c r="N33" i="2" s="1"/>
  <c r="O33" i="2" a="1"/>
  <c r="O33" i="2" s="1"/>
  <c r="H33" i="2" a="1"/>
  <c r="H33" i="2" s="1"/>
  <c r="I33" i="2" a="1"/>
  <c r="I33" i="2" s="1"/>
  <c r="J33" i="2" a="1"/>
  <c r="J33" i="2" s="1"/>
  <c r="L33" i="2" a="1"/>
  <c r="L33" i="2" s="1"/>
  <c r="A34" i="2" a="1"/>
  <c r="A34" i="2" s="1"/>
  <c r="G34" i="2"/>
  <c r="A34" i="3" l="1"/>
  <c r="A34" i="5" s="1" a="1"/>
  <c r="A34" i="5" s="1"/>
  <c r="E33" i="3"/>
  <c r="E33" i="5" s="1" a="1"/>
  <c r="E33" i="5" s="1"/>
  <c r="G33" i="3"/>
  <c r="G33" i="5" s="1" a="1"/>
  <c r="G33" i="5" s="1"/>
  <c r="D33" i="3"/>
  <c r="D33" i="5" s="1" a="1"/>
  <c r="D33" i="5" s="1"/>
  <c r="F33" i="3"/>
  <c r="F33" i="5" s="1" a="1"/>
  <c r="F33" i="5" s="1"/>
  <c r="I33" i="3"/>
  <c r="I33" i="5" s="1" a="1"/>
  <c r="I33" i="5" s="1"/>
  <c r="H33" i="3"/>
  <c r="H33" i="5" s="1" a="1"/>
  <c r="H33" i="5" s="1"/>
  <c r="C33" i="3"/>
  <c r="C33" i="5" s="1" a="1"/>
  <c r="C33" i="5" s="1"/>
  <c r="B33" i="3"/>
  <c r="B33" i="5" s="1" a="1"/>
  <c r="B33" i="5" s="1"/>
  <c r="S34" i="2" a="1"/>
  <c r="S34" i="2" s="1"/>
  <c r="U33" i="2" a="1"/>
  <c r="U33" i="2" s="1"/>
  <c r="T33" i="2" a="1"/>
  <c r="T33" i="2" s="1"/>
  <c r="W33" i="2" a="1"/>
  <c r="W33" i="2" s="1"/>
  <c r="AA33" i="2" a="1"/>
  <c r="AA33" i="2" s="1"/>
  <c r="Z33" i="2" a="1"/>
  <c r="Z33" i="2" s="1"/>
  <c r="Y33" i="2" a="1"/>
  <c r="Y33" i="2" s="1"/>
  <c r="X33" i="2" a="1"/>
  <c r="X33" i="2" s="1"/>
  <c r="V33" i="2" a="1"/>
  <c r="V33" i="2" s="1"/>
  <c r="M34" i="2" a="1"/>
  <c r="M34" i="2" s="1"/>
  <c r="N34" i="2" a="1"/>
  <c r="N34" i="2" s="1"/>
  <c r="O34" i="2" a="1"/>
  <c r="O34" i="2" s="1"/>
  <c r="I34" i="2" a="1"/>
  <c r="I34" i="2" s="1"/>
  <c r="K34" i="2" a="1"/>
  <c r="K34" i="2" s="1"/>
  <c r="J34" i="2" a="1"/>
  <c r="J34" i="2" s="1"/>
  <c r="H34" i="2" a="1"/>
  <c r="H34" i="2" s="1"/>
  <c r="L34" i="2" a="1"/>
  <c r="L34" i="2" s="1"/>
  <c r="A35" i="2" a="1"/>
  <c r="A35" i="2" s="1"/>
  <c r="G35" i="2"/>
  <c r="H34" i="3" l="1"/>
  <c r="H34" i="5" s="1" a="1"/>
  <c r="H34" i="5" s="1"/>
  <c r="I34" i="3"/>
  <c r="I34" i="5" s="1" a="1"/>
  <c r="I34" i="5" s="1"/>
  <c r="E34" i="3"/>
  <c r="E34" i="5" s="1" a="1"/>
  <c r="E34" i="5" s="1"/>
  <c r="B34" i="3"/>
  <c r="B34" i="5" s="1" a="1"/>
  <c r="B34" i="5" s="1"/>
  <c r="A35" i="3"/>
  <c r="A35" i="5" s="1" a="1"/>
  <c r="A35" i="5" s="1"/>
  <c r="C34" i="3"/>
  <c r="C34" i="5" s="1" a="1"/>
  <c r="C34" i="5" s="1"/>
  <c r="D34" i="3"/>
  <c r="D34" i="5" s="1" a="1"/>
  <c r="D34" i="5" s="1"/>
  <c r="F34" i="3"/>
  <c r="F34" i="5" s="1" a="1"/>
  <c r="F34" i="5" s="1"/>
  <c r="G34" i="3"/>
  <c r="G34" i="5" s="1" a="1"/>
  <c r="G34" i="5" s="1"/>
  <c r="V34" i="2" a="1"/>
  <c r="V34" i="2" s="1"/>
  <c r="Y34" i="2" a="1"/>
  <c r="Y34" i="2" s="1"/>
  <c r="W34" i="2" a="1"/>
  <c r="W34" i="2" s="1"/>
  <c r="U34" i="2" a="1"/>
  <c r="U34" i="2" s="1"/>
  <c r="Z34" i="2" a="1"/>
  <c r="Z34" i="2" s="1"/>
  <c r="AA34" i="2" a="1"/>
  <c r="AA34" i="2" s="1"/>
  <c r="X34" i="2" a="1"/>
  <c r="X34" i="2" s="1"/>
  <c r="S35" i="2" a="1"/>
  <c r="S35" i="2" s="1"/>
  <c r="T34" i="2" a="1"/>
  <c r="T34" i="2" s="1"/>
  <c r="M35" i="2" a="1"/>
  <c r="M35" i="2" s="1"/>
  <c r="N35" i="2" a="1"/>
  <c r="N35" i="2" s="1"/>
  <c r="O35" i="2" a="1"/>
  <c r="O35" i="2" s="1"/>
  <c r="I35" i="2" a="1"/>
  <c r="I35" i="2" s="1"/>
  <c r="J35" i="2" a="1"/>
  <c r="J35" i="2" s="1"/>
  <c r="H35" i="2" a="1"/>
  <c r="H35" i="2" s="1"/>
  <c r="L35" i="2" a="1"/>
  <c r="L35" i="2" s="1"/>
  <c r="K35" i="2" a="1"/>
  <c r="K35" i="2" s="1"/>
  <c r="A36" i="2" a="1"/>
  <c r="A36" i="2" s="1"/>
  <c r="G36" i="2"/>
  <c r="H35" i="3" l="1"/>
  <c r="H35" i="5" s="1" a="1"/>
  <c r="H35" i="5" s="1"/>
  <c r="C35" i="3"/>
  <c r="C35" i="5" s="1" a="1"/>
  <c r="C35" i="5" s="1"/>
  <c r="G35" i="3"/>
  <c r="G35" i="5" s="1" a="1"/>
  <c r="G35" i="5" s="1"/>
  <c r="B35" i="3"/>
  <c r="B35" i="5" s="1" a="1"/>
  <c r="B35" i="5" s="1"/>
  <c r="D35" i="3"/>
  <c r="D35" i="5" s="1" a="1"/>
  <c r="D35" i="5" s="1"/>
  <c r="E35" i="3"/>
  <c r="E35" i="5" s="1" a="1"/>
  <c r="E35" i="5" s="1"/>
  <c r="A36" i="3"/>
  <c r="A36" i="5" s="1" a="1"/>
  <c r="A36" i="5" s="1"/>
  <c r="I35" i="3"/>
  <c r="I35" i="5" s="1" a="1"/>
  <c r="I35" i="5" s="1"/>
  <c r="F35" i="3"/>
  <c r="F35" i="5" s="1" a="1"/>
  <c r="F35" i="5" s="1"/>
  <c r="S36" i="2" a="1"/>
  <c r="S36" i="2" s="1"/>
  <c r="T35" i="2" a="1"/>
  <c r="T35" i="2" s="1"/>
  <c r="Y35" i="2" a="1"/>
  <c r="Y35" i="2" s="1"/>
  <c r="V35" i="2" a="1"/>
  <c r="V35" i="2" s="1"/>
  <c r="Z35" i="2" a="1"/>
  <c r="Z35" i="2" s="1"/>
  <c r="U35" i="2" a="1"/>
  <c r="U35" i="2" s="1"/>
  <c r="AA35" i="2" a="1"/>
  <c r="AA35" i="2" s="1"/>
  <c r="W35" i="2" a="1"/>
  <c r="W35" i="2" s="1"/>
  <c r="X35" i="2" a="1"/>
  <c r="X35" i="2" s="1"/>
  <c r="I36" i="2" a="1"/>
  <c r="I36" i="2" s="1"/>
  <c r="J36" i="2" a="1"/>
  <c r="J36" i="2" s="1"/>
  <c r="K36" i="2" a="1"/>
  <c r="K36" i="2" s="1"/>
  <c r="M36" i="2" a="1"/>
  <c r="M36" i="2" s="1"/>
  <c r="H36" i="2" a="1"/>
  <c r="H36" i="2" s="1"/>
  <c r="L36" i="2" a="1"/>
  <c r="L36" i="2" s="1"/>
  <c r="N36" i="2" a="1"/>
  <c r="N36" i="2" s="1"/>
  <c r="O36" i="2" a="1"/>
  <c r="O36" i="2" s="1"/>
  <c r="A37" i="2" a="1"/>
  <c r="A37" i="2" s="1"/>
  <c r="G37" i="2"/>
  <c r="C36" i="3" l="1"/>
  <c r="C36" i="5" s="1" a="1"/>
  <c r="C36" i="5" s="1"/>
  <c r="D36" i="3"/>
  <c r="D36" i="5" s="1" a="1"/>
  <c r="D36" i="5" s="1"/>
  <c r="F36" i="3"/>
  <c r="F36" i="5" s="1" a="1"/>
  <c r="F36" i="5" s="1"/>
  <c r="B36" i="3"/>
  <c r="B36" i="5" s="1" a="1"/>
  <c r="B36" i="5" s="1"/>
  <c r="E36" i="3"/>
  <c r="E36" i="5" s="1" a="1"/>
  <c r="E36" i="5" s="1"/>
  <c r="H36" i="3"/>
  <c r="H36" i="5" s="1" a="1"/>
  <c r="H36" i="5" s="1"/>
  <c r="G36" i="3"/>
  <c r="G36" i="5" s="1" a="1"/>
  <c r="G36" i="5" s="1"/>
  <c r="A37" i="3"/>
  <c r="A37" i="5" s="1" a="1"/>
  <c r="A37" i="5" s="1"/>
  <c r="I36" i="3"/>
  <c r="I36" i="5" s="1" a="1"/>
  <c r="I36" i="5" s="1"/>
  <c r="S37" i="2" a="1"/>
  <c r="S37" i="2" s="1"/>
  <c r="X36" i="2" a="1"/>
  <c r="X36" i="2" s="1"/>
  <c r="T36" i="2" a="1"/>
  <c r="T36" i="2" s="1"/>
  <c r="U36" i="2" a="1"/>
  <c r="U36" i="2" s="1"/>
  <c r="Y36" i="2" a="1"/>
  <c r="Y36" i="2" s="1"/>
  <c r="W36" i="2" a="1"/>
  <c r="W36" i="2" s="1"/>
  <c r="V36" i="2" a="1"/>
  <c r="V36" i="2" s="1"/>
  <c r="AA36" i="2" a="1"/>
  <c r="AA36" i="2" s="1"/>
  <c r="Z36" i="2" a="1"/>
  <c r="Z36" i="2" s="1"/>
  <c r="H37" i="2" a="1"/>
  <c r="H37" i="2" s="1"/>
  <c r="J37" i="2" a="1"/>
  <c r="J37" i="2" s="1"/>
  <c r="L37" i="2" a="1"/>
  <c r="L37" i="2" s="1"/>
  <c r="K37" i="2" a="1"/>
  <c r="K37" i="2" s="1"/>
  <c r="M37" i="2" a="1"/>
  <c r="M37" i="2" s="1"/>
  <c r="N37" i="2" a="1"/>
  <c r="N37" i="2" s="1"/>
  <c r="O37" i="2" a="1"/>
  <c r="O37" i="2" s="1"/>
  <c r="I37" i="2" a="1"/>
  <c r="I37" i="2" s="1"/>
  <c r="A38" i="2" a="1"/>
  <c r="A38" i="2" s="1"/>
  <c r="G38" i="2"/>
  <c r="C37" i="3" l="1"/>
  <c r="C37" i="5" s="1" a="1"/>
  <c r="C37" i="5" s="1"/>
  <c r="G37" i="3"/>
  <c r="G37" i="5" s="1" a="1"/>
  <c r="G37" i="5" s="1"/>
  <c r="F37" i="3"/>
  <c r="F37" i="5" s="1" a="1"/>
  <c r="F37" i="5" s="1"/>
  <c r="A38" i="3"/>
  <c r="A38" i="5" s="1" a="1"/>
  <c r="A38" i="5" s="1"/>
  <c r="H37" i="3"/>
  <c r="H37" i="5" s="1" a="1"/>
  <c r="H37" i="5" s="1"/>
  <c r="I37" i="3"/>
  <c r="I37" i="5" s="1" a="1"/>
  <c r="I37" i="5" s="1"/>
  <c r="E37" i="3"/>
  <c r="E37" i="5" s="1" a="1"/>
  <c r="E37" i="5" s="1"/>
  <c r="B37" i="3"/>
  <c r="B37" i="5" s="1" a="1"/>
  <c r="B37" i="5" s="1"/>
  <c r="D37" i="3"/>
  <c r="D37" i="5" s="1" a="1"/>
  <c r="D37" i="5" s="1"/>
  <c r="S38" i="2" a="1"/>
  <c r="S38" i="2" s="1"/>
  <c r="Z37" i="2" a="1"/>
  <c r="Z37" i="2" s="1"/>
  <c r="Y37" i="2" a="1"/>
  <c r="Y37" i="2" s="1"/>
  <c r="V37" i="2" a="1"/>
  <c r="V37" i="2" s="1"/>
  <c r="W37" i="2" a="1"/>
  <c r="W37" i="2" s="1"/>
  <c r="X37" i="2" a="1"/>
  <c r="X37" i="2" s="1"/>
  <c r="U37" i="2" a="1"/>
  <c r="U37" i="2" s="1"/>
  <c r="T37" i="2" a="1"/>
  <c r="T37" i="2" s="1"/>
  <c r="AA37" i="2" a="1"/>
  <c r="AA37" i="2" s="1"/>
  <c r="L38" i="2" a="1"/>
  <c r="L38" i="2" s="1"/>
  <c r="I38" i="2" a="1"/>
  <c r="I38" i="2" s="1"/>
  <c r="K38" i="2" a="1"/>
  <c r="K38" i="2" s="1"/>
  <c r="N38" i="2" a="1"/>
  <c r="N38" i="2" s="1"/>
  <c r="M38" i="2" a="1"/>
  <c r="M38" i="2" s="1"/>
  <c r="O38" i="2" a="1"/>
  <c r="O38" i="2" s="1"/>
  <c r="H38" i="2" a="1"/>
  <c r="H38" i="2" s="1"/>
  <c r="J38" i="2" a="1"/>
  <c r="J38" i="2" s="1"/>
  <c r="A39" i="2" a="1"/>
  <c r="A39" i="2" s="1"/>
  <c r="G39" i="2"/>
  <c r="F38" i="3" l="1"/>
  <c r="F38" i="5" s="1" a="1"/>
  <c r="F38" i="5" s="1"/>
  <c r="E38" i="3"/>
  <c r="E38" i="5" s="1" a="1"/>
  <c r="E38" i="5" s="1"/>
  <c r="D38" i="3"/>
  <c r="D38" i="5" s="1" a="1"/>
  <c r="D38" i="5" s="1"/>
  <c r="I38" i="3"/>
  <c r="I38" i="5" s="1" a="1"/>
  <c r="I38" i="5" s="1"/>
  <c r="B38" i="3"/>
  <c r="B38" i="5" s="1" a="1"/>
  <c r="B38" i="5" s="1"/>
  <c r="G38" i="3"/>
  <c r="G38" i="5" s="1" a="1"/>
  <c r="G38" i="5" s="1"/>
  <c r="H38" i="3"/>
  <c r="H38" i="5" s="1" a="1"/>
  <c r="H38" i="5" s="1"/>
  <c r="A39" i="3"/>
  <c r="A39" i="5" s="1" a="1"/>
  <c r="A39" i="5" s="1"/>
  <c r="C38" i="3"/>
  <c r="C38" i="5" s="1" a="1"/>
  <c r="C38" i="5" s="1"/>
  <c r="AA38" i="2" a="1"/>
  <c r="AA38" i="2" s="1"/>
  <c r="S39" i="2" a="1"/>
  <c r="S39" i="2" s="1"/>
  <c r="Y38" i="2" a="1"/>
  <c r="Y38" i="2" s="1"/>
  <c r="Z38" i="2" a="1"/>
  <c r="Z38" i="2" s="1"/>
  <c r="W38" i="2" a="1"/>
  <c r="W38" i="2" s="1"/>
  <c r="U38" i="2" a="1"/>
  <c r="U38" i="2" s="1"/>
  <c r="V38" i="2" a="1"/>
  <c r="V38" i="2" s="1"/>
  <c r="X38" i="2" a="1"/>
  <c r="X38" i="2" s="1"/>
  <c r="T38" i="2" a="1"/>
  <c r="T38" i="2" s="1"/>
  <c r="L39" i="2" a="1"/>
  <c r="L39" i="2" s="1"/>
  <c r="K39" i="2" a="1"/>
  <c r="K39" i="2" s="1"/>
  <c r="I39" i="2" a="1"/>
  <c r="I39" i="2" s="1"/>
  <c r="M39" i="2" a="1"/>
  <c r="M39" i="2" s="1"/>
  <c r="N39" i="2" a="1"/>
  <c r="N39" i="2" s="1"/>
  <c r="O39" i="2" a="1"/>
  <c r="O39" i="2" s="1"/>
  <c r="H39" i="2" a="1"/>
  <c r="H39" i="2" s="1"/>
  <c r="J39" i="2" a="1"/>
  <c r="J39" i="2" s="1"/>
  <c r="A40" i="2" a="1"/>
  <c r="A40" i="2" s="1"/>
  <c r="G40" i="2"/>
  <c r="C39" i="3" l="1"/>
  <c r="C39" i="5" s="1" a="1"/>
  <c r="C39" i="5" s="1"/>
  <c r="E39" i="3"/>
  <c r="E39" i="5" s="1" a="1"/>
  <c r="E39" i="5" s="1"/>
  <c r="H39" i="3"/>
  <c r="H39" i="5" s="1" a="1"/>
  <c r="H39" i="5" s="1"/>
  <c r="G39" i="3"/>
  <c r="G39" i="5" s="1" a="1"/>
  <c r="G39" i="5" s="1"/>
  <c r="B39" i="3"/>
  <c r="B39" i="5" s="1" a="1"/>
  <c r="B39" i="5" s="1"/>
  <c r="A40" i="3"/>
  <c r="A40" i="5" s="1" a="1"/>
  <c r="A40" i="5" s="1"/>
  <c r="I39" i="3"/>
  <c r="I39" i="5" s="1" a="1"/>
  <c r="I39" i="5" s="1"/>
  <c r="F39" i="3"/>
  <c r="F39" i="5" s="1" a="1"/>
  <c r="F39" i="5" s="1"/>
  <c r="D39" i="3"/>
  <c r="D39" i="5" s="1" a="1"/>
  <c r="D39" i="5" s="1"/>
  <c r="AA39" i="2" a="1"/>
  <c r="AA39" i="2" s="1"/>
  <c r="S40" i="2" a="1"/>
  <c r="S40" i="2" s="1"/>
  <c r="Z39" i="2" a="1"/>
  <c r="Z39" i="2" s="1"/>
  <c r="Y39" i="2" a="1"/>
  <c r="Y39" i="2" s="1"/>
  <c r="X39" i="2" a="1"/>
  <c r="X39" i="2" s="1"/>
  <c r="U39" i="2" a="1"/>
  <c r="U39" i="2" s="1"/>
  <c r="W39" i="2" a="1"/>
  <c r="W39" i="2" s="1"/>
  <c r="V39" i="2" a="1"/>
  <c r="V39" i="2" s="1"/>
  <c r="T39" i="2" a="1"/>
  <c r="T39" i="2" s="1"/>
  <c r="K40" i="2" a="1"/>
  <c r="K40" i="2" s="1"/>
  <c r="L40" i="2" a="1"/>
  <c r="L40" i="2" s="1"/>
  <c r="J40" i="2" a="1"/>
  <c r="J40" i="2" s="1"/>
  <c r="I40" i="2" a="1"/>
  <c r="I40" i="2" s="1"/>
  <c r="M40" i="2" a="1"/>
  <c r="M40" i="2" s="1"/>
  <c r="N40" i="2" a="1"/>
  <c r="N40" i="2" s="1"/>
  <c r="O40" i="2" a="1"/>
  <c r="O40" i="2" s="1"/>
  <c r="H40" i="2" a="1"/>
  <c r="H40" i="2" s="1"/>
  <c r="A41" i="2" a="1"/>
  <c r="A41" i="2" s="1"/>
  <c r="G41" i="2"/>
  <c r="C40" i="3" l="1"/>
  <c r="C40" i="5" s="1" a="1"/>
  <c r="C40" i="5" s="1"/>
  <c r="A41" i="3"/>
  <c r="A41" i="5" s="1" a="1"/>
  <c r="A41" i="5" s="1"/>
  <c r="I40" i="3"/>
  <c r="I40" i="5" s="1" a="1"/>
  <c r="I40" i="5" s="1"/>
  <c r="D40" i="3"/>
  <c r="D40" i="5" s="1" a="1"/>
  <c r="D40" i="5" s="1"/>
  <c r="F40" i="3"/>
  <c r="F40" i="5" s="1" a="1"/>
  <c r="F40" i="5" s="1"/>
  <c r="G40" i="3"/>
  <c r="G40" i="5" s="1" a="1"/>
  <c r="G40" i="5" s="1"/>
  <c r="H40" i="3"/>
  <c r="H40" i="5" s="1" a="1"/>
  <c r="H40" i="5" s="1"/>
  <c r="B40" i="3"/>
  <c r="B40" i="5" s="1" a="1"/>
  <c r="B40" i="5" s="1"/>
  <c r="E40" i="3"/>
  <c r="E40" i="5" s="1" a="1"/>
  <c r="E40" i="5" s="1"/>
  <c r="Z40" i="2" a="1"/>
  <c r="Z40" i="2" s="1"/>
  <c r="Y40" i="2" a="1"/>
  <c r="Y40" i="2" s="1"/>
  <c r="S41" i="2" a="1"/>
  <c r="S41" i="2" s="1"/>
  <c r="U40" i="2" a="1"/>
  <c r="U40" i="2" s="1"/>
  <c r="W40" i="2" a="1"/>
  <c r="W40" i="2" s="1"/>
  <c r="V40" i="2" a="1"/>
  <c r="V40" i="2" s="1"/>
  <c r="X40" i="2" a="1"/>
  <c r="X40" i="2" s="1"/>
  <c r="T40" i="2" a="1"/>
  <c r="T40" i="2" s="1"/>
  <c r="AA40" i="2" a="1"/>
  <c r="AA40" i="2" s="1"/>
  <c r="I41" i="2" a="1"/>
  <c r="I41" i="2" s="1"/>
  <c r="M41" i="2" a="1"/>
  <c r="M41" i="2" s="1"/>
  <c r="N41" i="2" a="1"/>
  <c r="N41" i="2" s="1"/>
  <c r="O41" i="2" a="1"/>
  <c r="O41" i="2" s="1"/>
  <c r="H41" i="2" a="1"/>
  <c r="H41" i="2" s="1"/>
  <c r="J41" i="2" a="1"/>
  <c r="J41" i="2" s="1"/>
  <c r="L41" i="2" a="1"/>
  <c r="L41" i="2" s="1"/>
  <c r="K41" i="2" a="1"/>
  <c r="K41" i="2" s="1"/>
  <c r="A42" i="2" a="1"/>
  <c r="A42" i="2" s="1"/>
  <c r="G42" i="2"/>
  <c r="C41" i="3" l="1"/>
  <c r="C41" i="5" s="1" a="1"/>
  <c r="C41" i="5" s="1"/>
  <c r="D41" i="3"/>
  <c r="D41" i="5" s="1" a="1"/>
  <c r="D41" i="5" s="1"/>
  <c r="H41" i="3"/>
  <c r="H41" i="5" s="1" a="1"/>
  <c r="H41" i="5" s="1"/>
  <c r="B41" i="3"/>
  <c r="B41" i="5" s="1" a="1"/>
  <c r="B41" i="5" s="1"/>
  <c r="E41" i="3"/>
  <c r="E41" i="5" s="1" a="1"/>
  <c r="E41" i="5" s="1"/>
  <c r="A42" i="3"/>
  <c r="A42" i="5" s="1" a="1"/>
  <c r="A42" i="5" s="1"/>
  <c r="G41" i="3"/>
  <c r="G41" i="5" s="1" a="1"/>
  <c r="G41" i="5" s="1"/>
  <c r="I41" i="3"/>
  <c r="I41" i="5" s="1" a="1"/>
  <c r="I41" i="5" s="1"/>
  <c r="F41" i="3"/>
  <c r="F41" i="5" s="1" a="1"/>
  <c r="F41" i="5" s="1"/>
  <c r="V41" i="2" a="1"/>
  <c r="V41" i="2" s="1"/>
  <c r="T41" i="2" a="1"/>
  <c r="T41" i="2" s="1"/>
  <c r="AA41" i="2" a="1"/>
  <c r="AA41" i="2" s="1"/>
  <c r="U41" i="2" a="1"/>
  <c r="U41" i="2" s="1"/>
  <c r="Z41" i="2" a="1"/>
  <c r="Z41" i="2" s="1"/>
  <c r="Y41" i="2" a="1"/>
  <c r="Y41" i="2" s="1"/>
  <c r="S42" i="2" a="1"/>
  <c r="S42" i="2" s="1"/>
  <c r="W41" i="2" a="1"/>
  <c r="W41" i="2" s="1"/>
  <c r="X41" i="2" a="1"/>
  <c r="X41" i="2" s="1"/>
  <c r="I42" i="2" a="1"/>
  <c r="I42" i="2" s="1"/>
  <c r="M42" i="2" a="1"/>
  <c r="M42" i="2" s="1"/>
  <c r="N42" i="2" a="1"/>
  <c r="N42" i="2" s="1"/>
  <c r="O42" i="2" a="1"/>
  <c r="O42" i="2" s="1"/>
  <c r="H42" i="2" a="1"/>
  <c r="H42" i="2" s="1"/>
  <c r="J42" i="2" a="1"/>
  <c r="J42" i="2" s="1"/>
  <c r="K42" i="2" a="1"/>
  <c r="K42" i="2" s="1"/>
  <c r="L42" i="2" a="1"/>
  <c r="L42" i="2" s="1"/>
  <c r="A43" i="2" a="1"/>
  <c r="A43" i="2" s="1"/>
  <c r="G43" i="2"/>
  <c r="G42" i="3" l="1"/>
  <c r="G42" i="5" s="1" a="1"/>
  <c r="G42" i="5" s="1"/>
  <c r="H42" i="3"/>
  <c r="H42" i="5" s="1" a="1"/>
  <c r="H42" i="5" s="1"/>
  <c r="C42" i="3"/>
  <c r="C42" i="5" s="1" a="1"/>
  <c r="C42" i="5" s="1"/>
  <c r="B42" i="3"/>
  <c r="B42" i="5" s="1" a="1"/>
  <c r="B42" i="5" s="1"/>
  <c r="D42" i="3"/>
  <c r="D42" i="5" s="1" a="1"/>
  <c r="D42" i="5" s="1"/>
  <c r="I42" i="3"/>
  <c r="I42" i="5" s="1" a="1"/>
  <c r="I42" i="5" s="1"/>
  <c r="E42" i="3"/>
  <c r="E42" i="5" s="1" a="1"/>
  <c r="E42" i="5" s="1"/>
  <c r="F42" i="3"/>
  <c r="F42" i="5" s="1" a="1"/>
  <c r="F42" i="5" s="1"/>
  <c r="A43" i="3"/>
  <c r="A43" i="5" s="1" a="1"/>
  <c r="A43" i="5" s="1"/>
  <c r="V42" i="2" a="1"/>
  <c r="V42" i="2" s="1"/>
  <c r="T42" i="2" a="1"/>
  <c r="T42" i="2" s="1"/>
  <c r="S43" i="2" a="1"/>
  <c r="S43" i="2" s="1"/>
  <c r="AA42" i="2" a="1"/>
  <c r="AA42" i="2" s="1"/>
  <c r="Z42" i="2" a="1"/>
  <c r="Z42" i="2" s="1"/>
  <c r="Y42" i="2" a="1"/>
  <c r="Y42" i="2" s="1"/>
  <c r="X42" i="2" a="1"/>
  <c r="X42" i="2" s="1"/>
  <c r="U42" i="2" a="1"/>
  <c r="U42" i="2" s="1"/>
  <c r="W42" i="2" a="1"/>
  <c r="W42" i="2" s="1"/>
  <c r="M43" i="2" a="1"/>
  <c r="M43" i="2" s="1"/>
  <c r="N43" i="2" a="1"/>
  <c r="N43" i="2" s="1"/>
  <c r="O43" i="2" a="1"/>
  <c r="O43" i="2" s="1"/>
  <c r="H43" i="2" a="1"/>
  <c r="H43" i="2" s="1"/>
  <c r="J43" i="2" a="1"/>
  <c r="J43" i="2" s="1"/>
  <c r="L43" i="2" a="1"/>
  <c r="L43" i="2" s="1"/>
  <c r="K43" i="2" a="1"/>
  <c r="K43" i="2" s="1"/>
  <c r="I43" i="2" a="1"/>
  <c r="I43" i="2" s="1"/>
  <c r="A44" i="2" a="1"/>
  <c r="A44" i="2" s="1"/>
  <c r="G44" i="2"/>
  <c r="G43" i="3" l="1"/>
  <c r="G43" i="5" s="1" a="1"/>
  <c r="G43" i="5" s="1"/>
  <c r="A44" i="3"/>
  <c r="A44" i="5" s="1" a="1"/>
  <c r="A44" i="5" s="1"/>
  <c r="E43" i="3"/>
  <c r="E43" i="5" s="1" a="1"/>
  <c r="E43" i="5" s="1"/>
  <c r="H43" i="3"/>
  <c r="H43" i="5" s="1" a="1"/>
  <c r="H43" i="5" s="1"/>
  <c r="D43" i="3"/>
  <c r="D43" i="5" s="1" a="1"/>
  <c r="D43" i="5" s="1"/>
  <c r="I43" i="3"/>
  <c r="I43" i="5" s="1" a="1"/>
  <c r="I43" i="5" s="1"/>
  <c r="B43" i="3"/>
  <c r="B43" i="5" s="1" a="1"/>
  <c r="B43" i="5" s="1"/>
  <c r="C43" i="3"/>
  <c r="C43" i="5" s="1" a="1"/>
  <c r="C43" i="5" s="1"/>
  <c r="F43" i="3"/>
  <c r="F43" i="5" s="1" a="1"/>
  <c r="F43" i="5" s="1"/>
  <c r="X43" i="2" a="1"/>
  <c r="X43" i="2" s="1"/>
  <c r="S44" i="2" a="1"/>
  <c r="S44" i="2" s="1"/>
  <c r="V43" i="2" a="1"/>
  <c r="V43" i="2" s="1"/>
  <c r="T43" i="2" a="1"/>
  <c r="T43" i="2" s="1"/>
  <c r="Y43" i="2" a="1"/>
  <c r="Y43" i="2" s="1"/>
  <c r="AA43" i="2" a="1"/>
  <c r="AA43" i="2" s="1"/>
  <c r="U43" i="2" a="1"/>
  <c r="U43" i="2" s="1"/>
  <c r="Z43" i="2" a="1"/>
  <c r="Z43" i="2" s="1"/>
  <c r="W43" i="2" a="1"/>
  <c r="W43" i="2" s="1"/>
  <c r="H44" i="2" a="1"/>
  <c r="H44" i="2" s="1"/>
  <c r="J44" i="2" a="1"/>
  <c r="J44" i="2" s="1"/>
  <c r="L44" i="2" a="1"/>
  <c r="L44" i="2" s="1"/>
  <c r="K44" i="2" a="1"/>
  <c r="K44" i="2" s="1"/>
  <c r="M44" i="2" a="1"/>
  <c r="M44" i="2" s="1"/>
  <c r="O44" i="2" a="1"/>
  <c r="O44" i="2" s="1"/>
  <c r="I44" i="2" a="1"/>
  <c r="I44" i="2" s="1"/>
  <c r="N44" i="2" a="1"/>
  <c r="N44" i="2" s="1"/>
  <c r="A45" i="2" a="1"/>
  <c r="A45" i="2" s="1"/>
  <c r="G45" i="2"/>
  <c r="I44" i="3" l="1"/>
  <c r="I44" i="5" s="1" a="1"/>
  <c r="I44" i="5" s="1"/>
  <c r="D44" i="3"/>
  <c r="D44" i="5" s="1" a="1"/>
  <c r="D44" i="5" s="1"/>
  <c r="F44" i="3"/>
  <c r="F44" i="5" s="1" a="1"/>
  <c r="F44" i="5" s="1"/>
  <c r="G44" i="3"/>
  <c r="G44" i="5" s="1" a="1"/>
  <c r="G44" i="5" s="1"/>
  <c r="B44" i="3"/>
  <c r="B44" i="5" s="1" a="1"/>
  <c r="B44" i="5" s="1"/>
  <c r="H44" i="3"/>
  <c r="H44" i="5" s="1" a="1"/>
  <c r="H44" i="5" s="1"/>
  <c r="A45" i="3"/>
  <c r="A45" i="5" s="1" a="1"/>
  <c r="A45" i="5" s="1"/>
  <c r="E44" i="3"/>
  <c r="E44" i="5" s="1" a="1"/>
  <c r="E44" i="5" s="1"/>
  <c r="C44" i="3"/>
  <c r="C44" i="5" s="1" a="1"/>
  <c r="C44" i="5" s="1"/>
  <c r="AA44" i="2" a="1"/>
  <c r="AA44" i="2" s="1"/>
  <c r="Y44" i="2" a="1"/>
  <c r="Y44" i="2" s="1"/>
  <c r="W44" i="2" a="1"/>
  <c r="W44" i="2" s="1"/>
  <c r="T44" i="2" a="1"/>
  <c r="T44" i="2" s="1"/>
  <c r="X44" i="2" a="1"/>
  <c r="X44" i="2" s="1"/>
  <c r="S45" i="2" a="1"/>
  <c r="S45" i="2" s="1"/>
  <c r="V44" i="2" a="1"/>
  <c r="V44" i="2" s="1"/>
  <c r="Z44" i="2" a="1"/>
  <c r="Z44" i="2" s="1"/>
  <c r="U44" i="2" a="1"/>
  <c r="U44" i="2" s="1"/>
  <c r="J45" i="2" a="1"/>
  <c r="J45" i="2" s="1"/>
  <c r="L45" i="2" a="1"/>
  <c r="L45" i="2" s="1"/>
  <c r="K45" i="2" a="1"/>
  <c r="K45" i="2" s="1"/>
  <c r="I45" i="2" a="1"/>
  <c r="I45" i="2" s="1"/>
  <c r="H45" i="2" a="1"/>
  <c r="H45" i="2" s="1"/>
  <c r="M45" i="2" a="1"/>
  <c r="M45" i="2" s="1"/>
  <c r="N45" i="2" a="1"/>
  <c r="N45" i="2" s="1"/>
  <c r="O45" i="2" a="1"/>
  <c r="O45" i="2" s="1"/>
  <c r="A46" i="2" a="1"/>
  <c r="A46" i="2" s="1"/>
  <c r="G46" i="2"/>
  <c r="B45" i="3" l="1"/>
  <c r="B45" i="5" s="1" a="1"/>
  <c r="B45" i="5" s="1"/>
  <c r="A46" i="3"/>
  <c r="A46" i="5" s="1" a="1"/>
  <c r="A46" i="5" s="1"/>
  <c r="G45" i="3"/>
  <c r="G45" i="5" s="1" a="1"/>
  <c r="G45" i="5" s="1"/>
  <c r="E45" i="3"/>
  <c r="E45" i="5" s="1" a="1"/>
  <c r="E45" i="5" s="1"/>
  <c r="I45" i="3"/>
  <c r="I45" i="5" s="1" a="1"/>
  <c r="I45" i="5" s="1"/>
  <c r="H45" i="3"/>
  <c r="H45" i="5" s="1" a="1"/>
  <c r="H45" i="5" s="1"/>
  <c r="F45" i="3"/>
  <c r="F45" i="5" s="1" a="1"/>
  <c r="F45" i="5" s="1"/>
  <c r="C45" i="3"/>
  <c r="C45" i="5" s="1" a="1"/>
  <c r="C45" i="5" s="1"/>
  <c r="D45" i="3"/>
  <c r="D45" i="5" s="1" a="1"/>
  <c r="D45" i="5" s="1"/>
  <c r="Y45" i="2" a="1"/>
  <c r="Y45" i="2" s="1"/>
  <c r="X45" i="2" a="1"/>
  <c r="X45" i="2" s="1"/>
  <c r="T45" i="2" a="1"/>
  <c r="T45" i="2" s="1"/>
  <c r="U45" i="2" a="1"/>
  <c r="U45" i="2" s="1"/>
  <c r="W45" i="2" a="1"/>
  <c r="W45" i="2" s="1"/>
  <c r="S46" i="2" a="1"/>
  <c r="S46" i="2" s="1"/>
  <c r="AA45" i="2" a="1"/>
  <c r="AA45" i="2" s="1"/>
  <c r="V45" i="2" a="1"/>
  <c r="V45" i="2" s="1"/>
  <c r="Z45" i="2" a="1"/>
  <c r="Z45" i="2" s="1"/>
  <c r="K46" i="2" a="1"/>
  <c r="K46" i="2" s="1"/>
  <c r="O46" i="2" a="1"/>
  <c r="O46" i="2" s="1"/>
  <c r="I46" i="2" a="1"/>
  <c r="I46" i="2" s="1"/>
  <c r="N46" i="2" a="1"/>
  <c r="N46" i="2" s="1"/>
  <c r="H46" i="2" a="1"/>
  <c r="H46" i="2" s="1"/>
  <c r="M46" i="2" a="1"/>
  <c r="M46" i="2" s="1"/>
  <c r="L46" i="2" a="1"/>
  <c r="L46" i="2" s="1"/>
  <c r="J46" i="2" a="1"/>
  <c r="J46" i="2" s="1"/>
  <c r="A47" i="2" a="1"/>
  <c r="A47" i="2" s="1"/>
  <c r="G47" i="2"/>
  <c r="B46" i="3" l="1"/>
  <c r="B46" i="5" s="1" a="1"/>
  <c r="B46" i="5" s="1"/>
  <c r="E46" i="3"/>
  <c r="E46" i="5" s="1" a="1"/>
  <c r="E46" i="5" s="1"/>
  <c r="C46" i="3"/>
  <c r="C46" i="5" s="1" a="1"/>
  <c r="C46" i="5" s="1"/>
  <c r="G46" i="3"/>
  <c r="G46" i="5" s="1" a="1"/>
  <c r="G46" i="5" s="1"/>
  <c r="F46" i="3"/>
  <c r="F46" i="5" s="1" a="1"/>
  <c r="F46" i="5" s="1"/>
  <c r="D46" i="3"/>
  <c r="D46" i="5" s="1" a="1"/>
  <c r="D46" i="5" s="1"/>
  <c r="A47" i="3"/>
  <c r="A47" i="5" s="1" a="1"/>
  <c r="A47" i="5" s="1"/>
  <c r="H46" i="3"/>
  <c r="H46" i="5" s="1" a="1"/>
  <c r="H46" i="5" s="1"/>
  <c r="I46" i="3"/>
  <c r="I46" i="5" s="1" a="1"/>
  <c r="I46" i="5" s="1"/>
  <c r="Y46" i="2" a="1"/>
  <c r="Y46" i="2" s="1"/>
  <c r="T46" i="2" a="1"/>
  <c r="T46" i="2" s="1"/>
  <c r="AA46" i="2" a="1"/>
  <c r="AA46" i="2" s="1"/>
  <c r="Z46" i="2" a="1"/>
  <c r="Z46" i="2" s="1"/>
  <c r="W46" i="2" a="1"/>
  <c r="W46" i="2" s="1"/>
  <c r="U46" i="2" a="1"/>
  <c r="U46" i="2" s="1"/>
  <c r="S47" i="2" a="1"/>
  <c r="S47" i="2" s="1"/>
  <c r="V46" i="2" a="1"/>
  <c r="V46" i="2" s="1"/>
  <c r="X46" i="2" a="1"/>
  <c r="X46" i="2" s="1"/>
  <c r="I47" i="2" a="1"/>
  <c r="I47" i="2" s="1"/>
  <c r="H47" i="2" a="1"/>
  <c r="H47" i="2" s="1"/>
  <c r="M47" i="2" a="1"/>
  <c r="M47" i="2" s="1"/>
  <c r="N47" i="2" a="1"/>
  <c r="N47" i="2" s="1"/>
  <c r="O47" i="2" a="1"/>
  <c r="O47" i="2" s="1"/>
  <c r="K47" i="2" a="1"/>
  <c r="K47" i="2" s="1"/>
  <c r="J47" i="2" a="1"/>
  <c r="J47" i="2" s="1"/>
  <c r="L47" i="2" a="1"/>
  <c r="L47" i="2" s="1"/>
  <c r="A48" i="2" a="1"/>
  <c r="A48" i="2" s="1"/>
  <c r="G48" i="2"/>
  <c r="H47" i="3" l="1"/>
  <c r="H47" i="5" s="1" a="1"/>
  <c r="H47" i="5" s="1"/>
  <c r="I47" i="3"/>
  <c r="I47" i="5" s="1" a="1"/>
  <c r="I47" i="5" s="1"/>
  <c r="B47" i="3"/>
  <c r="B47" i="5" s="1" a="1"/>
  <c r="B47" i="5" s="1"/>
  <c r="E47" i="3"/>
  <c r="E47" i="5" s="1" a="1"/>
  <c r="E47" i="5" s="1"/>
  <c r="F47" i="3"/>
  <c r="F47" i="5" s="1" a="1"/>
  <c r="F47" i="5" s="1"/>
  <c r="G47" i="3"/>
  <c r="G47" i="5" s="1" a="1"/>
  <c r="G47" i="5" s="1"/>
  <c r="D47" i="3"/>
  <c r="D47" i="5" s="1" a="1"/>
  <c r="D47" i="5" s="1"/>
  <c r="C47" i="3"/>
  <c r="C47" i="5" s="1" a="1"/>
  <c r="C47" i="5" s="1"/>
  <c r="A48" i="3"/>
  <c r="A48" i="5" s="1" a="1"/>
  <c r="A48" i="5" s="1"/>
  <c r="W47" i="2" a="1"/>
  <c r="W47" i="2" s="1"/>
  <c r="T47" i="2" a="1"/>
  <c r="T47" i="2" s="1"/>
  <c r="AA47" i="2" a="1"/>
  <c r="AA47" i="2" s="1"/>
  <c r="Z47" i="2" a="1"/>
  <c r="Z47" i="2" s="1"/>
  <c r="Y47" i="2" a="1"/>
  <c r="Y47" i="2" s="1"/>
  <c r="S48" i="2" a="1"/>
  <c r="S48" i="2" s="1"/>
  <c r="U47" i="2" a="1"/>
  <c r="U47" i="2" s="1"/>
  <c r="X47" i="2" a="1"/>
  <c r="X47" i="2" s="1"/>
  <c r="V47" i="2" a="1"/>
  <c r="V47" i="2" s="1"/>
  <c r="I48" i="2" a="1"/>
  <c r="I48" i="2" s="1"/>
  <c r="L48" i="2" a="1"/>
  <c r="L48" i="2" s="1"/>
  <c r="H48" i="2" a="1"/>
  <c r="H48" i="2" s="1"/>
  <c r="M48" i="2" a="1"/>
  <c r="M48" i="2" s="1"/>
  <c r="N48" i="2" a="1"/>
  <c r="N48" i="2" s="1"/>
  <c r="O48" i="2" a="1"/>
  <c r="O48" i="2" s="1"/>
  <c r="J48" i="2" a="1"/>
  <c r="J48" i="2" s="1"/>
  <c r="K48" i="2" a="1"/>
  <c r="K48" i="2" s="1"/>
  <c r="A49" i="2" a="1"/>
  <c r="A49" i="2" s="1"/>
  <c r="G49" i="2"/>
  <c r="I48" i="3" l="1"/>
  <c r="I48" i="5" s="1" a="1"/>
  <c r="I48" i="5" s="1"/>
  <c r="A49" i="3"/>
  <c r="A49" i="5" s="1" a="1"/>
  <c r="A49" i="5" s="1"/>
  <c r="B48" i="3"/>
  <c r="B48" i="5" s="1" a="1"/>
  <c r="B48" i="5" s="1"/>
  <c r="E48" i="3"/>
  <c r="E48" i="5" s="1" a="1"/>
  <c r="E48" i="5" s="1"/>
  <c r="H48" i="3"/>
  <c r="H48" i="5" s="1" a="1"/>
  <c r="H48" i="5" s="1"/>
  <c r="F48" i="3"/>
  <c r="F48" i="5" s="1" a="1"/>
  <c r="F48" i="5" s="1"/>
  <c r="G48" i="3"/>
  <c r="G48" i="5" s="1" a="1"/>
  <c r="G48" i="5" s="1"/>
  <c r="D48" i="3"/>
  <c r="D48" i="5" s="1" a="1"/>
  <c r="D48" i="5" s="1"/>
  <c r="C48" i="3"/>
  <c r="C48" i="5" s="1" a="1"/>
  <c r="C48" i="5" s="1"/>
  <c r="AA48" i="2" a="1"/>
  <c r="AA48" i="2" s="1"/>
  <c r="X48" i="2" a="1"/>
  <c r="X48" i="2" s="1"/>
  <c r="Z48" i="2" a="1"/>
  <c r="Z48" i="2" s="1"/>
  <c r="Y48" i="2" a="1"/>
  <c r="Y48" i="2" s="1"/>
  <c r="U48" i="2" a="1"/>
  <c r="U48" i="2" s="1"/>
  <c r="T48" i="2" a="1"/>
  <c r="T48" i="2" s="1"/>
  <c r="S49" i="2" a="1"/>
  <c r="S49" i="2" s="1"/>
  <c r="W48" i="2" a="1"/>
  <c r="W48" i="2" s="1"/>
  <c r="V48" i="2" a="1"/>
  <c r="V48" i="2" s="1"/>
  <c r="I49" i="2" a="1"/>
  <c r="I49" i="2" s="1"/>
  <c r="H49" i="2" a="1"/>
  <c r="H49" i="2" s="1"/>
  <c r="M49" i="2" a="1"/>
  <c r="M49" i="2" s="1"/>
  <c r="N49" i="2" a="1"/>
  <c r="N49" i="2" s="1"/>
  <c r="O49" i="2" a="1"/>
  <c r="O49" i="2" s="1"/>
  <c r="L49" i="2" a="1"/>
  <c r="L49" i="2" s="1"/>
  <c r="J49" i="2" a="1"/>
  <c r="J49" i="2" s="1"/>
  <c r="K49" i="2" a="1"/>
  <c r="K49" i="2" s="1"/>
  <c r="A50" i="2" a="1"/>
  <c r="A50" i="2" s="1"/>
  <c r="G50" i="2"/>
  <c r="S50" i="2" s="1" a="1"/>
  <c r="S50" i="2" s="1"/>
  <c r="F49" i="3" l="1"/>
  <c r="F49" i="5" s="1" a="1"/>
  <c r="F49" i="5" s="1"/>
  <c r="B49" i="3"/>
  <c r="B49" i="5" s="1" a="1"/>
  <c r="B49" i="5" s="1"/>
  <c r="G49" i="3"/>
  <c r="G49" i="5" s="1" a="1"/>
  <c r="G49" i="5" s="1"/>
  <c r="C49" i="3"/>
  <c r="C49" i="5" s="1" a="1"/>
  <c r="C49" i="5" s="1"/>
  <c r="H49" i="3"/>
  <c r="H49" i="5" s="1" a="1"/>
  <c r="H49" i="5" s="1"/>
  <c r="D49" i="3"/>
  <c r="D49" i="5" s="1" a="1"/>
  <c r="D49" i="5" s="1"/>
  <c r="I49" i="3"/>
  <c r="I49" i="5" s="1" a="1"/>
  <c r="I49" i="5" s="1"/>
  <c r="E49" i="3"/>
  <c r="E49" i="5" s="1" a="1"/>
  <c r="E49" i="5" s="1"/>
  <c r="A50" i="3"/>
  <c r="A50" i="5" s="1" a="1"/>
  <c r="A50" i="5" s="1"/>
  <c r="X49" i="2" a="1"/>
  <c r="X49" i="2" s="1"/>
  <c r="AA49" i="2" a="1"/>
  <c r="AA49" i="2" s="1"/>
  <c r="Z49" i="2" a="1"/>
  <c r="Z49" i="2" s="1"/>
  <c r="T49" i="2" a="1"/>
  <c r="T49" i="2" s="1"/>
  <c r="Y49" i="2" a="1"/>
  <c r="Y49" i="2" s="1"/>
  <c r="U49" i="2" a="1"/>
  <c r="U49" i="2" s="1"/>
  <c r="W49" i="2" a="1"/>
  <c r="W49" i="2" s="1"/>
  <c r="V49" i="2" a="1"/>
  <c r="V49" i="2" s="1"/>
  <c r="H50" i="2" a="1"/>
  <c r="H50" i="2" s="1"/>
  <c r="T50" i="2" s="1" a="1"/>
  <c r="T50" i="2" s="1"/>
  <c r="M50" i="2" a="1"/>
  <c r="M50" i="2" s="1"/>
  <c r="Y50" i="2" s="1" a="1"/>
  <c r="Y50" i="2" s="1"/>
  <c r="N50" i="2" a="1"/>
  <c r="N50" i="2" s="1"/>
  <c r="Z50" i="2" s="1" a="1"/>
  <c r="Z50" i="2" s="1"/>
  <c r="O50" i="2" a="1"/>
  <c r="O50" i="2" s="1"/>
  <c r="AA50" i="2" s="1" a="1"/>
  <c r="AA50" i="2" s="1"/>
  <c r="L50" i="2" a="1"/>
  <c r="L50" i="2" s="1"/>
  <c r="X50" i="2" s="1" a="1"/>
  <c r="X50" i="2" s="1"/>
  <c r="J50" i="2" a="1"/>
  <c r="J50" i="2" s="1"/>
  <c r="V50" i="2" s="1" a="1"/>
  <c r="V50" i="2" s="1"/>
  <c r="K50" i="2" a="1"/>
  <c r="K50" i="2" s="1"/>
  <c r="W50" i="2" s="1" a="1"/>
  <c r="W50" i="2" s="1"/>
  <c r="I50" i="2" a="1"/>
  <c r="I50" i="2" s="1"/>
  <c r="U50" i="2" s="1" a="1"/>
  <c r="U50" i="2" s="1"/>
  <c r="A51" i="2" a="1"/>
  <c r="A51" i="2" s="1"/>
  <c r="G51" i="2"/>
  <c r="H50" i="3" l="1"/>
  <c r="H50" i="5" s="1" a="1"/>
  <c r="H50" i="5" s="1"/>
  <c r="C50" i="3"/>
  <c r="C50" i="5" s="1" a="1"/>
  <c r="C50" i="5" s="1"/>
  <c r="G50" i="3"/>
  <c r="G50" i="5" s="1" a="1"/>
  <c r="G50" i="5" s="1"/>
  <c r="B50" i="3"/>
  <c r="B50" i="5" s="1" a="1"/>
  <c r="B50" i="5" s="1"/>
  <c r="I50" i="3"/>
  <c r="I50" i="5" s="1" a="1"/>
  <c r="I50" i="5" s="1"/>
  <c r="F50" i="3"/>
  <c r="F50" i="5" s="1" a="1"/>
  <c r="F50" i="5" s="1"/>
  <c r="D50" i="3"/>
  <c r="D50" i="5" s="1" a="1"/>
  <c r="D50" i="5" s="1"/>
  <c r="E50" i="3"/>
  <c r="E50" i="5" s="1" a="1"/>
  <c r="E50" i="5" s="1"/>
  <c r="M51" i="2" a="1"/>
  <c r="M51" i="2" s="1"/>
  <c r="N51" i="2" a="1"/>
  <c r="N51" i="2" s="1"/>
  <c r="O51" i="2" a="1"/>
  <c r="O51" i="2" s="1"/>
  <c r="L51" i="2" a="1"/>
  <c r="L51" i="2" s="1"/>
  <c r="J51" i="2" a="1"/>
  <c r="J51" i="2" s="1"/>
  <c r="K51" i="2" a="1"/>
  <c r="K51" i="2" s="1"/>
  <c r="I51" i="2" a="1"/>
  <c r="I51" i="2" s="1"/>
  <c r="H51" i="2" a="1"/>
  <c r="H5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<sst xmlns="http://schemas.openxmlformats.org/spreadsheetml/2006/main" count="26" uniqueCount="21">
  <si>
    <t>Weight Type</t>
  </si>
  <si>
    <t>Period</t>
  </si>
  <si>
    <t>Unit</t>
  </si>
  <si>
    <t>Weight</t>
  </si>
  <si>
    <t>Unit Alternative</t>
  </si>
  <si>
    <t>Weight Alternative</t>
  </si>
  <si>
    <t>Unique Data</t>
  </si>
  <si>
    <t>Transformed Data</t>
  </si>
  <si>
    <t>Weights</t>
  </si>
  <si>
    <t>Formatted Data</t>
  </si>
  <si>
    <t># of Periods</t>
  </si>
  <si>
    <t>Weight Name</t>
  </si>
  <si>
    <t>Rank</t>
  </si>
  <si>
    <t>Maximum Taxi Weight (MTW)</t>
  </si>
  <si>
    <t>Maximum Taxi Weight - second weight (MTW)</t>
  </si>
  <si>
    <t>Maximum Take Off Weight (MTOW)</t>
  </si>
  <si>
    <t>Maximum Take Off Weight - second weight (MTOW)</t>
  </si>
  <si>
    <t>Maximum Landing Weight (MLW)</t>
  </si>
  <si>
    <t>Maximum Landing Weight - second weight (MLW)</t>
  </si>
  <si>
    <t>Maximum Zero Fuel Weight (MZFW)</t>
  </si>
  <si>
    <t>Basic Empty Weight (BEW)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</si>
</sst>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3" fontId="0" fillId="0" borderId="3" xfId="0" applyNumberFormat="1" applyBorder="1" applyAlignment="1">
      <alignment horizontal="right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0" fontId="1" fillId="2" borderId="4" xfId="0" applyFont="1" applyFill="1" applyBorder="1"/>
    <xf numFmtId="0" fontId="0" fillId="0" borderId="4" xfId="0" applyBorder="1"/>
    <xf numFmtId="0" fontId="0" fillId="3" borderId="0" xfId="0" applyFill="1"/>
    <xf numFmtId="0" fontId="0" fillId="4" borderId="4" xfId="0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5" borderId="5" xfId="0" applyFont="1" applyFill="1" applyBorder="1"/>
    <xf numFmtId="0" fontId="1" fillId="5" borderId="0" xfId="0" applyFont="1" applyFill="1"/>
    <xf numFmtId="0" fontId="1" fillId="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4" xfId="0" applyNumberFormat="1" applyBorder="1"/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textRotation="90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BD6A-5203-4568-8AFF-B7C2598C08E9}">
  <dimension ref="A1:G10"/>
  <sheetViews>
    <sheetView workbookViewId="0">
      <selection activeCell="A2" sqref="A2"/>
    </sheetView>
  </sheetViews>
  <sheetFormatPr defaultColWidth="8.81640625" defaultRowHeight="14.5" x14ac:dyDescent="0.35"/>
  <cols>
    <col min="1" max="1" width="31.36328125" bestFit="1" customWidth="1"/>
    <col min="2" max="2" width="12.453125" bestFit="1" customWidth="1"/>
    <col min="3" max="3" width="4.36328125" customWidth="1"/>
    <col min="4" max="4" width="7.6328125" bestFit="1" customWidth="1"/>
    <col min="5" max="5" width="13.81640625" bestFit="1" customWidth="1"/>
    <col min="6" max="6" width="16.453125" bestFit="1" customWidth="1"/>
    <col min="7" max="7" width="16.453125" customWidth="1"/>
  </cols>
  <sheetData>
    <row r="1" spans="1:7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</row>
    <row r="2" spans="1:7" ht="15" thickBot="1" x14ac:dyDescent="0.4">
      <c r="A2" s="3"/>
      <c r="B2" s="3"/>
      <c r="C2" s="3"/>
      <c r="D2" s="4"/>
      <c r="E2" s="3"/>
      <c r="F2" s="4"/>
      <c r="G2" s="6"/>
    </row>
    <row r="3" spans="1:7" ht="15" thickBot="1" x14ac:dyDescent="0.4">
      <c r="A3" s="3"/>
      <c r="B3" s="3"/>
      <c r="C3" s="3"/>
      <c r="D3" s="4"/>
      <c r="E3" s="3"/>
      <c r="F3" s="4"/>
      <c r="G3" s="6"/>
    </row>
    <row r="4" spans="1:7" ht="15" thickBot="1" x14ac:dyDescent="0.4">
      <c r="A4" s="3"/>
      <c r="B4" s="3"/>
      <c r="C4" s="3"/>
      <c r="D4" s="4"/>
      <c r="E4" s="3"/>
      <c r="F4" s="4"/>
      <c r="G4" s="6"/>
    </row>
    <row r="5" spans="1:7" ht="15" thickBot="1" x14ac:dyDescent="0.4">
      <c r="A5" s="3"/>
      <c r="B5" s="3"/>
      <c r="C5" s="3"/>
      <c r="D5" s="4"/>
      <c r="E5" s="3"/>
      <c r="F5" s="4"/>
      <c r="G5" s="6"/>
    </row>
    <row r="6" spans="1:7" ht="15" thickBot="1" x14ac:dyDescent="0.4">
      <c r="A6" s="3"/>
      <c r="B6" s="3"/>
      <c r="C6" s="3"/>
      <c r="D6" s="4"/>
      <c r="E6" s="3"/>
      <c r="F6" s="4"/>
      <c r="G6" s="6"/>
    </row>
    <row r="7" spans="1:7" ht="15" thickBot="1" x14ac:dyDescent="0.4">
      <c r="A7" s="3"/>
      <c r="B7" s="3"/>
      <c r="C7" s="3"/>
      <c r="D7" s="4"/>
      <c r="E7" s="3"/>
      <c r="F7" s="4"/>
    </row>
    <row r="8" spans="1:7" ht="15" thickBot="1" x14ac:dyDescent="0.4">
      <c r="A8" s="3"/>
      <c r="B8" s="3"/>
      <c r="C8" s="3"/>
      <c r="D8" s="4"/>
      <c r="E8" s="3"/>
      <c r="F8" s="4"/>
    </row>
    <row r="9" spans="1:7" ht="15" thickBot="1" x14ac:dyDescent="0.4">
      <c r="A9" s="3"/>
      <c r="B9" s="3"/>
      <c r="C9" s="3"/>
      <c r="D9" s="4"/>
      <c r="E9" s="3"/>
      <c r="F9" s="4"/>
    </row>
    <row r="10" spans="1:7" ht="15" thickBot="1" x14ac:dyDescent="0.4">
      <c r="A10" s="3"/>
      <c r="B10" s="3"/>
      <c r="C10" s="3"/>
      <c r="D10" s="4"/>
      <c r="E10" s="3"/>
      <c r="F1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9BC2-2530-40FE-9E02-CCEEA57BA8BE}">
  <dimension ref="A1:AB51"/>
  <sheetViews>
    <sheetView workbookViewId="0">
      <selection activeCell="Y14" sqref="Y14"/>
    </sheetView>
  </sheetViews>
  <sheetFormatPr defaultColWidth="8.81640625" defaultRowHeight="14.5" x14ac:dyDescent="0.35"/>
  <cols>
    <col min="1" max="1" width="31.36328125" bestFit="1" customWidth="1"/>
    <col min="2" max="3" width="10.453125" bestFit="1" customWidth="1"/>
    <col min="4" max="4" width="3.1796875" bestFit="1" customWidth="1"/>
    <col min="5" max="5" width="5.453125" bestFit="1" customWidth="1"/>
    <col min="6" max="6" width="7.36328125" customWidth="1"/>
    <col min="7" max="7" width="31.36328125" bestFit="1" customWidth="1"/>
    <col min="8" max="9" width="7.36328125" bestFit="1" customWidth="1"/>
    <col min="10" max="11" width="9.453125" bestFit="1" customWidth="1"/>
    <col min="12" max="13" width="10.453125" bestFit="1" customWidth="1"/>
    <col min="14" max="15" width="1.81640625" bestFit="1" customWidth="1"/>
    <col min="16" max="16" width="3.1796875" customWidth="1"/>
    <col min="17" max="17" width="5.453125" bestFit="1" customWidth="1"/>
    <col min="18" max="18" width="1.6328125" customWidth="1"/>
    <col min="19" max="19" width="31.453125" bestFit="1" customWidth="1"/>
    <col min="20" max="21" width="7.36328125" bestFit="1" customWidth="1"/>
    <col min="22" max="23" width="9.453125" bestFit="1" customWidth="1"/>
    <col min="24" max="25" width="10.453125" bestFit="1" customWidth="1"/>
  </cols>
  <sheetData>
    <row r="1" spans="1:28" x14ac:dyDescent="0.35">
      <c r="A1" s="23" t="s">
        <v>6</v>
      </c>
      <c r="B1" s="23"/>
      <c r="E1" s="9"/>
      <c r="Q1" s="9"/>
    </row>
    <row r="2" spans="1:28" x14ac:dyDescent="0.35">
      <c r="A2" s="7" t="s">
        <v>0</v>
      </c>
      <c r="B2" s="7" t="s">
        <v>1</v>
      </c>
      <c r="E2" s="24" t="s">
        <v>7</v>
      </c>
      <c r="G2" s="10"/>
      <c r="H2" s="12" t="str" cm="1">
        <f t="array" ref="H2:O2">TRANSPOSE(C3:C10)</f>
        <v/>
      </c>
      <c r="I2" s="12" t="str">
        <v/>
      </c>
      <c r="J2" s="12" t="str">
        <v/>
      </c>
      <c r="K2" s="12" t="str">
        <v/>
      </c>
      <c r="L2" s="12" t="str">
        <v/>
      </c>
      <c r="M2" s="12" t="str">
        <v/>
      </c>
      <c r="N2" s="11" t="str">
        <v/>
      </c>
      <c r="O2" s="11" t="str">
        <v/>
      </c>
      <c r="Q2" s="24" t="s">
        <v>9</v>
      </c>
      <c r="S2" s="8" t="str" cm="1">
        <f t="array" aca="1" ref="S2" ca="1">IF(CELL("contents",G2)=0,"",CELL("contents",G2))</f>
        <v/>
      </c>
      <c r="T2" s="15" t="str" cm="1">
        <f t="array" aca="1" ref="T2" ca="1">IF(CELL("contents",H2)=0,"",CELL("contents",H2))</f>
        <v/>
      </c>
      <c r="U2" s="15" t="str" cm="1">
        <f t="array" aca="1" ref="U2" ca="1">IF(CELL("contents",I2)=0,"",CELL("contents",I2))</f>
        <v/>
      </c>
      <c r="V2" s="15" t="str" cm="1">
        <f t="array" aca="1" ref="V2" ca="1">IF(CELL("contents",J2)=0,"",CELL("contents",J2))</f>
        <v/>
      </c>
      <c r="W2" s="15" t="str" cm="1">
        <f t="array" aca="1" ref="W2" ca="1">IF(CELL("contents",K2)=0,"",CELL("contents",K2))</f>
        <v/>
      </c>
      <c r="X2" s="15" t="str" cm="1">
        <f t="array" aca="1" ref="X2" ca="1">IF(CELL("contents",L2)=0,"",CELL("contents",L2))</f>
        <v/>
      </c>
      <c r="Y2" s="15" t="str" cm="1">
        <f t="array" aca="1" ref="Y2" ca="1">IF(CELL("contents",M2)=0,"",CELL("contents",M2))</f>
        <v/>
      </c>
      <c r="Z2" s="15" t="str" cm="1">
        <f t="array" aca="1" ref="Z2" ca="1">IF(CELL("contents",N2)=0,"",CELL("contents",N2))</f>
        <v/>
      </c>
      <c r="AA2" s="15" t="str" cm="1">
        <f t="array" aca="1" ref="AA2" ca="1">IF(CELL("contents",O2)=0,"",CELL("contents",O2))</f>
        <v/>
      </c>
      <c r="AB2" t="s">
        <v>10</v>
      </c>
    </row>
    <row r="3" spans="1:28" x14ac:dyDescent="0.35">
      <c r="A3" s="8" t="str" cm="1">
        <f t="array" ref="A3">IF(IFERROR(INDEX(SalesforceData!$A$2:'SalesforceData'!$A$36, MATCH(0, COUNTIF(DataTransformation!$A$2:'DataTransformation'!$A2, SalesforceData!$A$2:'SalesforceData'!$A$36), 0)),"") = 0,"", IFERROR(INDEX(SalesforceData!$A$2:'SalesforceData'!$A$36, MATCH(0, COUNTIF(DataTransformation!$A$2:'DataTransformation'!$A2, SalesforceData!$A$2:'SalesforceData'!$A$36), 0)),""))</f>
        <v/>
      </c>
      <c r="B3" s="8" t="str" cm="1">
        <f t="array" ref="B3">IF(IFERROR(INDEX(SalesforceData!$B$2:'SalesforceData'!$B$36, MATCH(0, COUNTIF(DataTransformation!$B$2:'DataTransformation'!$B2, SalesforceData!$B$2:'SalesforceData'!$B$36), 0)),"") = 0,"", IFERROR(INDEX(SalesforceData!$B$2:'SalesforceData'!$B$36, MATCH(0, COUNTIF(DataTransformation!$B$2:'DataTransformation'!$B2, SalesforceData!$B$2:'SalesforceData'!$B$36), 0)),""))</f>
        <v/>
      </c>
      <c r="C3" t="str">
        <f>B3</f>
        <v/>
      </c>
      <c r="D3" t="str">
        <f>IF(LEN(C3)&gt;0,"kg","")</f>
        <v/>
      </c>
      <c r="E3" s="24"/>
      <c r="G3" s="10"/>
      <c r="H3" s="12" t="str" cm="1">
        <f t="array" ref="H3:O3">TRANSPOSE(D3:D10)</f>
        <v/>
      </c>
      <c r="I3" s="12" t="str">
        <v/>
      </c>
      <c r="J3" s="12" t="str">
        <v/>
      </c>
      <c r="K3" s="12" t="str">
        <v/>
      </c>
      <c r="L3" s="12" t="str">
        <v/>
      </c>
      <c r="M3" s="12" t="str">
        <v/>
      </c>
      <c r="N3" s="12" t="str">
        <v/>
      </c>
      <c r="O3" s="12" t="str">
        <v/>
      </c>
      <c r="Q3" s="24"/>
      <c r="S3" s="8" t="str" cm="1">
        <f t="array" aca="1" ref="S3" ca="1">IF(CELL("contents",G3)=0,"",CELL("contents",G3))</f>
        <v/>
      </c>
      <c r="T3" s="15" t="str" cm="1">
        <f t="array" aca="1" ref="T3" ca="1">IF(CELL("contents",H3)=0,"",CELL("contents",H3))</f>
        <v/>
      </c>
      <c r="U3" s="15" t="str" cm="1">
        <f t="array" aca="1" ref="U3" ca="1">IF(CELL("contents",I3)=0,"",CELL("contents",I3))</f>
        <v/>
      </c>
      <c r="V3" s="15" t="str" cm="1">
        <f t="array" aca="1" ref="V3" ca="1">IF(CELL("contents",J3)=0,"",CELL("contents",J3))</f>
        <v/>
      </c>
      <c r="W3" s="15" t="str" cm="1">
        <f t="array" aca="1" ref="W3" ca="1">IF(CELL("contents",K3)=0,"",CELL("contents",K3))</f>
        <v/>
      </c>
      <c r="X3" s="15" t="str" cm="1">
        <f t="array" aca="1" ref="X3" ca="1">IF(CELL("contents",L3)=0,"",CELL("contents",L3))</f>
        <v/>
      </c>
      <c r="Y3" s="15" t="str" cm="1">
        <f t="array" aca="1" ref="Y3" ca="1">IF(CELL("contents",M3)=0,"",CELL("contents",M3))</f>
        <v/>
      </c>
      <c r="Z3" s="8" t="str" cm="1">
        <f t="array" aca="1" ref="Z3" ca="1">IF(CELL("contents",N3)=0,"",CELL("contents",N3))</f>
        <v/>
      </c>
      <c r="AA3" s="8" t="str" cm="1">
        <f t="array" aca="1" ref="AA3" ca="1">IF(CELL("contents",O3)=0,"",CELL("contents",O3))</f>
        <v/>
      </c>
      <c r="AB3" s="20">
        <f>COUNTIF(B3:B7,"&gt;""")</f>
        <v>0</v>
      </c>
    </row>
    <row r="4" spans="1:28" x14ac:dyDescent="0.35">
      <c r="A4" s="8" t="str" cm="1">
        <f t="array" ref="A4">IF(IFERROR(INDEX(SalesforceData!$A$2:'SalesforceData'!$A$36, MATCH(0, COUNTIF(DataTransformation!$A$2:'DataTransformation'!$A3, SalesforceData!$A$2:'SalesforceData'!$A$36), 0)),"") = 0,"", IFERROR(INDEX(SalesforceData!$A$2:'SalesforceData'!$A$36, MATCH(0, COUNTIF(DataTransformation!$A$2:'DataTransformation'!$A3, SalesforceData!$A$2:'SalesforceData'!$A$36), 0)),""))</f>
        <v/>
      </c>
      <c r="B4" s="8" t="str" cm="1">
        <f t="array" ref="B4">IF(IFERROR(INDEX(SalesforceData!$B$2:'SalesforceData'!$B$36, MATCH(0, COUNTIF(DataTransformation!$B$2:'DataTransformation'!$B3, SalesforceData!$B$2:'SalesforceData'!$B$36), 0)),"") = 0,"", IFERROR(INDEX(SalesforceData!$B$2:'SalesforceData'!$B$36, MATCH(0, COUNTIF(DataTransformation!$B$2:'DataTransformation'!$B3, SalesforceData!$B$2:'SalesforceData'!$B$36), 0)),""))</f>
        <v/>
      </c>
      <c r="C4" t="str">
        <f>C3</f>
        <v/>
      </c>
      <c r="D4" t="str">
        <f>IF(LEN(C4)&gt;0,"lbs","")</f>
        <v/>
      </c>
      <c r="E4" s="24"/>
      <c r="G4" s="8" t="str">
        <f>A3</f>
        <v/>
      </c>
      <c r="H4" s="8" cm="1">
        <f t="array" ref="H4">IFERROR(IF(COUNT(INDEX(SalesforceData!$D$2:$D$36,MATCH(1,($G4=SalesforceData!$A$2:$A$36)*(H$2=SalesforceData!$B$2:'SalesforceData'!$B$36)*(H$3=SalesforceData!$C$2:'SalesforceData'!$C$36),0)))=0,INDEX(SalesforceData!$F$2:$F$36,MATCH(1,($G4=SalesforceData!$A$2:$A$36)*(H$2=SalesforceData!$B$2:'SalesforceData'!$B$36) * (H$3=SalesforceData!$E$2:'SalesforceData'!$E$36),0)),INDEX(SalesforceData!$D$2:$D$36,MATCH(1,($G4=SalesforceData!$A$2:$A$36)*(H$2=SalesforceData!$B$2:'SalesforceData'!$B$36)*(H$3=SalesforceData!$C$2:'SalesforceData'!$C$36),0))),"")</f>
        <v>0</v>
      </c>
      <c r="I4" s="8" cm="1">
        <f t="array" ref="I4">IFERROR(IF(COUNT(INDEX(SalesforceData!$D$2:$D$36,MATCH(1,($G4=SalesforceData!$A$2:$A$36)*(I$2=SalesforceData!$B$2:'SalesforceData'!$B$36)*(I$3=SalesforceData!$C$2:'SalesforceData'!$C$36),0)))=0,INDEX(SalesforceData!$F$2:$F$36,MATCH(1,($G4=SalesforceData!$A$2:$A$36)*(I$2=SalesforceData!$B$2:'SalesforceData'!$B$36) * (I$3=SalesforceData!$E$2:'SalesforceData'!$E$36),0)),INDEX(SalesforceData!$D$2:$D$36,MATCH(1,($G4=SalesforceData!$A$2:$A$36)*(I$2=SalesforceData!$B$2:'SalesforceData'!$B$36)*(I$3=SalesforceData!$C$2:'SalesforceData'!$C$36),0))),"")</f>
        <v>0</v>
      </c>
      <c r="J4" s="8" cm="1">
        <f t="array" ref="J4">IFERROR(IF(COUNT(INDEX(SalesforceData!$D$2:$D$36,MATCH(1,($G4=SalesforceData!$A$2:$A$36)*(J$2=SalesforceData!$B$2:'SalesforceData'!$B$36)*(J$3=SalesforceData!$C$2:'SalesforceData'!$C$36),0)))=0,INDEX(SalesforceData!$F$2:$F$36,MATCH(1,($G4=SalesforceData!$A$2:$A$36)*(J$2=SalesforceData!$B$2:'SalesforceData'!$B$36) * (J$3=SalesforceData!$E$2:'SalesforceData'!$E$36),0)),INDEX(SalesforceData!$D$2:$D$36,MATCH(1,($G4=SalesforceData!$A$2:$A$36)*(J$2=SalesforceData!$B$2:'SalesforceData'!$B$36)*(J$3=SalesforceData!$C$2:'SalesforceData'!$C$36),0))),"")</f>
        <v>0</v>
      </c>
      <c r="K4" s="8" cm="1">
        <f t="array" ref="K4">IFERROR(IF(COUNT(INDEX(SalesforceData!$D$2:$D$36,MATCH(1,($G4=SalesforceData!$A$2:$A$36)*(K$2=SalesforceData!$B$2:'SalesforceData'!$B$36)*(K$3=SalesforceData!$C$2:'SalesforceData'!$C$36),0)))=0,INDEX(SalesforceData!$F$2:$F$36,MATCH(1,($G4=SalesforceData!$A$2:$A$36)*(K$2=SalesforceData!$B$2:'SalesforceData'!$B$36) * (K$3=SalesforceData!$E$2:'SalesforceData'!$E$36),0)),INDEX(SalesforceData!$D$2:$D$36,MATCH(1,($G4=SalesforceData!$A$2:$A$36)*(K$2=SalesforceData!$B$2:'SalesforceData'!$B$36)*(K$3=SalesforceData!$C$2:'SalesforceData'!$C$36),0))),"")</f>
        <v>0</v>
      </c>
      <c r="L4" s="8" cm="1">
        <f t="array" ref="L4">IFERROR(IF(COUNT(INDEX(SalesforceData!$D$2:$D$36,MATCH(1,($G4=SalesforceData!$A$2:$A$36)*(L$2=SalesforceData!$B$2:'SalesforceData'!$B$36)*(L$3=SalesforceData!$C$2:'SalesforceData'!$C$36),0)))=0,INDEX(SalesforceData!$F$2:$F$36,MATCH(1,($G4=SalesforceData!$A$2:$A$36)*(L$2=SalesforceData!$B$2:'SalesforceData'!$B$36) * (L$3=SalesforceData!$E$2:'SalesforceData'!$E$36),0)),INDEX(SalesforceData!$D$2:$D$36,MATCH(1,($G4=SalesforceData!$A$2:$A$36)*(L$2=SalesforceData!$B$2:'SalesforceData'!$B$36)*(L$3=SalesforceData!$C$2:'SalesforceData'!$C$36),0))),"")</f>
        <v>0</v>
      </c>
      <c r="M4" s="8" cm="1">
        <f t="array" ref="M4">IFERROR(IF(COUNT(INDEX(SalesforceData!$D$2:$D$36,MATCH(1,($G4=SalesforceData!$A$2:$A$36)*(M$2=SalesforceData!$B$2:'SalesforceData'!$B$36)*(M$3=SalesforceData!$C$2:'SalesforceData'!$C$36),0)))=0,INDEX(SalesforceData!$F$2:$F$36,MATCH(1,($G4=SalesforceData!$A$2:$A$36)*(M$2=SalesforceData!$B$2:'SalesforceData'!$B$36) * (M$3=SalesforceData!$E$2:'SalesforceData'!$E$36),0)),INDEX(SalesforceData!$D$2:$D$36,MATCH(1,($G4=SalesforceData!$A$2:$A$36)*(M$2=SalesforceData!$B$2:'SalesforceData'!$B$36)*(M$3=SalesforceData!$C$2:'SalesforceData'!$C$36),0))),"")</f>
        <v>0</v>
      </c>
      <c r="N4" s="8" cm="1">
        <f t="array" ref="N4">IFERROR(IF(COUNT(INDEX(SalesforceData!$D$2:$D$36,MATCH(1,($G4=SalesforceData!$A$2:$A$36)*(N$2=SalesforceData!$B$2:'SalesforceData'!$B$36)*(N$3=SalesforceData!$C$2:'SalesforceData'!$C$36),0)))=0,INDEX(SalesforceData!$F$2:$F$36,MATCH(1,($G4=SalesforceData!$A$2:$A$36)*(N$2=SalesforceData!$B$2:'SalesforceData'!$B$36) * (N$3=SalesforceData!$E$2:'SalesforceData'!$E$36),0)),INDEX(SalesforceData!$D$2:$D$36,MATCH(1,($G4=SalesforceData!$A$2:$A$36)*(N$2=SalesforceData!$B$2:'SalesforceData'!$B$36)*(N$3=SalesforceData!$C$2:'SalesforceData'!$C$36),0))),"")</f>
        <v>0</v>
      </c>
      <c r="O4" s="8" cm="1">
        <f t="array" ref="O4">IFERROR(IF(COUNT(INDEX(SalesforceData!$D$2:$D$36,MATCH(1,($G4=SalesforceData!$A$2:$A$36)*(O$2=SalesforceData!$B$2:'SalesforceData'!$B$36)*(O$3=SalesforceData!$C$2:'SalesforceData'!$C$36),0)))=0,INDEX(SalesforceData!$F$2:$F$36,MATCH(1,($G4=SalesforceData!$A$2:$A$36)*(O$2=SalesforceData!$B$2:'SalesforceData'!$B$36) * (O$3=SalesforceData!$E$2:'SalesforceData'!$E$36),0)),INDEX(SalesforceData!$D$2:$D$36,MATCH(1,($G4=SalesforceData!$A$2:$A$36)*(O$2=SalesforceData!$B$2:'SalesforceData'!$B$36)*(O$3=SalesforceData!$C$2:'SalesforceData'!$C$36),0))),"")</f>
        <v>0</v>
      </c>
      <c r="Q4" s="24"/>
      <c r="S4" s="16" t="str" cm="1">
        <f t="array" aca="1" ref="S4" ca="1">IF(CELL("contents",G4)=0,"",CELL("contents",G4))</f>
        <v/>
      </c>
      <c r="T4" s="8" t="str" cm="1">
        <f t="array" aca="1" ref="T4" ca="1">IF(CELL("contents",H4)=0,"",CELL("contents",H4))</f>
        <v/>
      </c>
      <c r="U4" s="8" t="str" cm="1">
        <f t="array" aca="1" ref="U4" ca="1">IF(CELL("contents",I4)=0,"",CELL("contents",I4))</f>
        <v/>
      </c>
      <c r="V4" s="8" t="str" cm="1">
        <f t="array" aca="1" ref="V4" ca="1">IF(CELL("contents",J4)=0,"",CELL("contents",J4))</f>
        <v/>
      </c>
      <c r="W4" s="8" t="str" cm="1">
        <f t="array" aca="1" ref="W4" ca="1">IF(CELL("contents",K4)=0,"",CELL("contents",K4))</f>
        <v/>
      </c>
      <c r="X4" s="8" t="str" cm="1">
        <f t="array" aca="1" ref="X4" ca="1">IF(CELL("contents",L4)=0,"",CELL("contents",L4))</f>
        <v/>
      </c>
      <c r="Y4" s="8" t="str" cm="1">
        <f t="array" aca="1" ref="Y4" ca="1">IF(CELL("contents",M4)=0,"",CELL("contents",M4))</f>
        <v/>
      </c>
      <c r="Z4" s="8" t="str" cm="1">
        <f t="array" aca="1" ref="Z4" ca="1">IF(CELL("contents",N4)=0,"",CELL("contents",N4))</f>
        <v/>
      </c>
      <c r="AA4" s="8" t="str" cm="1">
        <f t="array" aca="1" ref="AA4" ca="1">IF(CELL("contents",O4)=0,"",CELL("contents",O4))</f>
        <v/>
      </c>
    </row>
    <row r="5" spans="1:28" x14ac:dyDescent="0.35">
      <c r="A5" s="8" t="str" cm="1">
        <f t="array" ref="A5">IF(IFERROR(INDEX(SalesforceData!$A$2:'SalesforceData'!$A$36, MATCH(0, COUNTIF(DataTransformation!$A$2:'DataTransformation'!$A4, SalesforceData!$A$2:'SalesforceData'!$A$36), 0)),"") = 0,"", IFERROR(INDEX(SalesforceData!$A$2:'SalesforceData'!$A$36, MATCH(0, COUNTIF(DataTransformation!$A$2:'DataTransformation'!$A4, SalesforceData!$A$2:'SalesforceData'!$A$36), 0)),""))</f>
        <v/>
      </c>
      <c r="B5" s="8" t="str" cm="1">
        <f t="array" ref="B5">IF(IFERROR(INDEX(SalesforceData!$B$2:'SalesforceData'!$B$36, MATCH(0, COUNTIF(DataTransformation!$B$2:'DataTransformation'!$B4, SalesforceData!$B$2:'SalesforceData'!$B$36), 0)),"") = 0,"", IFERROR(INDEX(SalesforceData!$B$2:'SalesforceData'!$B$36, MATCH(0, COUNTIF(DataTransformation!$B$2:'DataTransformation'!$B4, SalesforceData!$B$2:'SalesforceData'!$B$36), 0)),""))</f>
        <v/>
      </c>
      <c r="C5" t="str">
        <f>B4</f>
        <v/>
      </c>
      <c r="D5" t="str">
        <f t="shared" ref="D5:D11" si="0">IF(LEN(C5)&gt;0,"kg","")</f>
        <v/>
      </c>
      <c r="E5" s="24"/>
      <c r="G5" s="8" t="str">
        <f>A4</f>
        <v/>
      </c>
      <c r="H5" s="8" cm="1">
        <f t="array" ref="H5">IFERROR(IF(COUNT(INDEX(SalesforceData!$D$2:$D$36,MATCH(1,($G5=SalesforceData!$A$2:$A$36)*(H$2=SalesforceData!$B$2:'SalesforceData'!$B$36)*(H$3=SalesforceData!$C$2:'SalesforceData'!$C$36),0)))=0,INDEX(SalesforceData!$F$2:$F$36,MATCH(1,($G5=SalesforceData!$A$2:$A$36)*(H$2=SalesforceData!$B$2:'SalesforceData'!$B$36) * (H$3=SalesforceData!$E$2:'SalesforceData'!$E$36),0)),INDEX(SalesforceData!$D$2:$D$36,MATCH(1,($G5=SalesforceData!$A$2:$A$36)*(H$2=SalesforceData!$B$2:'SalesforceData'!$B$36)*(H$3=SalesforceData!$C$2:'SalesforceData'!$C$36),0))),"")</f>
        <v>0</v>
      </c>
      <c r="I5" s="8" cm="1">
        <f t="array" ref="I5">IFERROR(IF(COUNT(INDEX(SalesforceData!$D$2:$D$36,MATCH(1,($G5=SalesforceData!$A$2:$A$36)*(I$2=SalesforceData!$B$2:'SalesforceData'!$B$36)*(I$3=SalesforceData!$C$2:'SalesforceData'!$C$36),0)))=0,INDEX(SalesforceData!$F$2:$F$36,MATCH(1,($G5=SalesforceData!$A$2:$A$36)*(I$2=SalesforceData!$B$2:'SalesforceData'!$B$36) * (I$3=SalesforceData!$E$2:'SalesforceData'!$E$36),0)),INDEX(SalesforceData!$D$2:$D$36,MATCH(1,($G5=SalesforceData!$A$2:$A$36)*(I$2=SalesforceData!$B$2:'SalesforceData'!$B$36)*(I$3=SalesforceData!$C$2:'SalesforceData'!$C$36),0))),"")</f>
        <v>0</v>
      </c>
      <c r="J5" s="8" cm="1">
        <f t="array" ref="J5">IFERROR(IF(COUNT(INDEX(SalesforceData!$D$2:$D$36,MATCH(1,($G5=SalesforceData!$A$2:$A$36)*(J$2=SalesforceData!$B$2:'SalesforceData'!$B$36)*(J$3=SalesforceData!$C$2:'SalesforceData'!$C$36),0)))=0,INDEX(SalesforceData!$F$2:$F$36,MATCH(1,($G5=SalesforceData!$A$2:$A$36)*(J$2=SalesforceData!$B$2:'SalesforceData'!$B$36) * (J$3=SalesforceData!$E$2:'SalesforceData'!$E$36),0)),INDEX(SalesforceData!$D$2:$D$36,MATCH(1,($G5=SalesforceData!$A$2:$A$36)*(J$2=SalesforceData!$B$2:'SalesforceData'!$B$36)*(J$3=SalesforceData!$C$2:'SalesforceData'!$C$36),0))),"")</f>
        <v>0</v>
      </c>
      <c r="K5" s="8" cm="1">
        <f t="array" ref="K5">IFERROR(IF(COUNT(INDEX(SalesforceData!$D$2:$D$36,MATCH(1,($G5=SalesforceData!$A$2:$A$36)*(K$2=SalesforceData!$B$2:'SalesforceData'!$B$36)*(K$3=SalesforceData!$C$2:'SalesforceData'!$C$36),0)))=0,INDEX(SalesforceData!$F$2:$F$36,MATCH(1,($G5=SalesforceData!$A$2:$A$36)*(K$2=SalesforceData!$B$2:'SalesforceData'!$B$36) * (K$3=SalesforceData!$E$2:'SalesforceData'!$E$36),0)),INDEX(SalesforceData!$D$2:$D$36,MATCH(1,($G5=SalesforceData!$A$2:$A$36)*(K$2=SalesforceData!$B$2:'SalesforceData'!$B$36)*(K$3=SalesforceData!$C$2:'SalesforceData'!$C$36),0))),"")</f>
        <v>0</v>
      </c>
      <c r="L5" s="8" cm="1">
        <f t="array" ref="L5">IFERROR(IF(COUNT(INDEX(SalesforceData!$D$2:$D$36,MATCH(1,($G5=SalesforceData!$A$2:$A$36)*(L$2=SalesforceData!$B$2:'SalesforceData'!$B$36)*(L$3=SalesforceData!$C$2:'SalesforceData'!$C$36),0)))=0,INDEX(SalesforceData!$F$2:$F$36,MATCH(1,($G5=SalesforceData!$A$2:$A$36)*(L$2=SalesforceData!$B$2:'SalesforceData'!$B$36) * (L$3=SalesforceData!$E$2:'SalesforceData'!$E$36),0)),INDEX(SalesforceData!$D$2:$D$36,MATCH(1,($G5=SalesforceData!$A$2:$A$36)*(L$2=SalesforceData!$B$2:'SalesforceData'!$B$36)*(L$3=SalesforceData!$C$2:'SalesforceData'!$C$36),0))),"")</f>
        <v>0</v>
      </c>
      <c r="M5" s="8" cm="1">
        <f t="array" ref="M5">IFERROR(IF(COUNT(INDEX(SalesforceData!$D$2:$D$36,MATCH(1,($G5=SalesforceData!$A$2:$A$36)*(M$2=SalesforceData!$B$2:'SalesforceData'!$B$36)*(M$3=SalesforceData!$C$2:'SalesforceData'!$C$36),0)))=0,INDEX(SalesforceData!$F$2:$F$36,MATCH(1,($G5=SalesforceData!$A$2:$A$36)*(M$2=SalesforceData!$B$2:'SalesforceData'!$B$36) * (M$3=SalesforceData!$E$2:'SalesforceData'!$E$36),0)),INDEX(SalesforceData!$D$2:$D$36,MATCH(1,($G5=SalesforceData!$A$2:$A$36)*(M$2=SalesforceData!$B$2:'SalesforceData'!$B$36)*(M$3=SalesforceData!$C$2:'SalesforceData'!$C$36),0))),"")</f>
        <v>0</v>
      </c>
      <c r="N5" s="8" cm="1">
        <f t="array" ref="N5">IFERROR(IF(COUNT(INDEX(SalesforceData!$D$2:$D$36,MATCH(1,($G5=SalesforceData!$A$2:$A$36)*(N$2=SalesforceData!$B$2:'SalesforceData'!$B$36)*(N$3=SalesforceData!$C$2:'SalesforceData'!$C$36),0)))=0,INDEX(SalesforceData!$F$2:$F$36,MATCH(1,($G5=SalesforceData!$A$2:$A$36)*(N$2=SalesforceData!$B$2:'SalesforceData'!$B$36) * (N$3=SalesforceData!$E$2:'SalesforceData'!$E$36),0)),INDEX(SalesforceData!$D$2:$D$36,MATCH(1,($G5=SalesforceData!$A$2:$A$36)*(N$2=SalesforceData!$B$2:'SalesforceData'!$B$36)*(N$3=SalesforceData!$C$2:'SalesforceData'!$C$36),0))),"")</f>
        <v>0</v>
      </c>
      <c r="O5" s="8" cm="1">
        <f t="array" ref="O5">IFERROR(IF(COUNT(INDEX(SalesforceData!$D$2:$D$36,MATCH(1,($G5=SalesforceData!$A$2:$A$36)*(O$2=SalesforceData!$B$2:'SalesforceData'!$B$36)*(O$3=SalesforceData!$C$2:'SalesforceData'!$C$36),0)))=0,INDEX(SalesforceData!$F$2:$F$36,MATCH(1,($G5=SalesforceData!$A$2:$A$36)*(O$2=SalesforceData!$B$2:'SalesforceData'!$B$36) * (O$3=SalesforceData!$E$2:'SalesforceData'!$E$36),0)),INDEX(SalesforceData!$D$2:$D$36,MATCH(1,($G5=SalesforceData!$A$2:$A$36)*(O$2=SalesforceData!$B$2:'SalesforceData'!$B$36)*(O$3=SalesforceData!$C$2:'SalesforceData'!$C$36),0))),"")</f>
        <v>0</v>
      </c>
      <c r="Q5" s="24"/>
      <c r="S5" s="16" t="str" cm="1">
        <f t="array" aca="1" ref="S5" ca="1">IF(CELL("contents",G5)=0,"",CELL("contents",G5))</f>
        <v/>
      </c>
      <c r="T5" s="8" t="str" cm="1">
        <f t="array" aca="1" ref="T5" ca="1">IF(CELL("contents",H5)=0,"",CELL("contents",H5))</f>
        <v/>
      </c>
      <c r="U5" s="8" t="str" cm="1">
        <f t="array" aca="1" ref="U5" ca="1">IF(CELL("contents",I5)=0,"",CELL("contents",I5))</f>
        <v/>
      </c>
      <c r="V5" s="8" t="str" cm="1">
        <f t="array" aca="1" ref="V5" ca="1">IF(CELL("contents",J5)=0,"",CELL("contents",J5))</f>
        <v/>
      </c>
      <c r="W5" s="8" t="str" cm="1">
        <f t="array" aca="1" ref="W5" ca="1">IF(CELL("contents",K5)=0,"",CELL("contents",K5))</f>
        <v/>
      </c>
      <c r="X5" s="8" t="str" cm="1">
        <f t="array" aca="1" ref="X5" ca="1">IF(CELL("contents",L5)=0,"",CELL("contents",L5))</f>
        <v/>
      </c>
      <c r="Y5" s="8" t="str" cm="1">
        <f t="array" aca="1" ref="Y5" ca="1">IF(CELL("contents",M5)=0,"",CELL("contents",M5))</f>
        <v/>
      </c>
      <c r="Z5" s="8" t="str" cm="1">
        <f t="array" aca="1" ref="Z5" ca="1">IF(CELL("contents",N5)=0,"",CELL("contents",N5))</f>
        <v/>
      </c>
      <c r="AA5" s="8" t="str" cm="1">
        <f t="array" aca="1" ref="AA5" ca="1">IF(CELL("contents",O5)=0,"",CELL("contents",O5))</f>
        <v/>
      </c>
    </row>
    <row r="6" spans="1:28" x14ac:dyDescent="0.35">
      <c r="A6" s="8" t="str" cm="1">
        <f t="array" ref="A6">IF(IFERROR(INDEX(SalesforceData!$A$2:'SalesforceData'!$A$36, MATCH(0, COUNTIF(DataTransformation!$A$2:'DataTransformation'!$A5, SalesforceData!$A$2:'SalesforceData'!$A$36), 0)),"") = 0,"", IFERROR(INDEX(SalesforceData!$A$2:'SalesforceData'!$A$36, MATCH(0, COUNTIF(DataTransformation!$A$2:'DataTransformation'!$A5, SalesforceData!$A$2:'SalesforceData'!$A$36), 0)),""))</f>
        <v/>
      </c>
      <c r="B6" s="8" t="str" cm="1">
        <f t="array" ref="B6">IF(IFERROR(INDEX(SalesforceData!$B$2:'SalesforceData'!$B$36, MATCH(0, COUNTIF(DataTransformation!$B$2:'DataTransformation'!$B5, SalesforceData!$B$2:'SalesforceData'!$B$36), 0)),"") = 0,"", IFERROR(INDEX(SalesforceData!$B$2:'SalesforceData'!$B$36, MATCH(0, COUNTIF(DataTransformation!$B$2:'DataTransformation'!$B5, SalesforceData!$B$2:'SalesforceData'!$B$36), 0)),""))</f>
        <v/>
      </c>
      <c r="C6" t="str">
        <f>C5</f>
        <v/>
      </c>
      <c r="D6" t="str">
        <f>IF(LEN(C6)&gt;0,"lbs","")</f>
        <v/>
      </c>
      <c r="E6" s="24"/>
      <c r="G6" s="8" t="str">
        <f>A5</f>
        <v/>
      </c>
      <c r="H6" s="8" cm="1">
        <f t="array" ref="H6">IFERROR(IF(COUNT(INDEX(SalesforceData!$D$2:$D$36,MATCH(1,($G6=SalesforceData!$A$2:$A$36)*(H$2=SalesforceData!$B$2:'SalesforceData'!$B$36)*(H$3=SalesforceData!$C$2:'SalesforceData'!$C$36),0)))=0,INDEX(SalesforceData!$F$2:$F$36,MATCH(1,($G6=SalesforceData!$A$2:$A$36)*(H$2=SalesforceData!$B$2:'SalesforceData'!$B$36) * (H$3=SalesforceData!$E$2:'SalesforceData'!$E$36),0)),INDEX(SalesforceData!$D$2:$D$36,MATCH(1,($G6=SalesforceData!$A$2:$A$36)*(H$2=SalesforceData!$B$2:'SalesforceData'!$B$36)*(H$3=SalesforceData!$C$2:'SalesforceData'!$C$36),0))),"")</f>
        <v>0</v>
      </c>
      <c r="I6" s="8" cm="1">
        <f t="array" ref="I6">IFERROR(IF(COUNT(INDEX(SalesforceData!$D$2:$D$36,MATCH(1,($G6=SalesforceData!$A$2:$A$36)*(I$2=SalesforceData!$B$2:'SalesforceData'!$B$36)*(I$3=SalesforceData!$C$2:'SalesforceData'!$C$36),0)))=0,INDEX(SalesforceData!$F$2:$F$36,MATCH(1,($G6=SalesforceData!$A$2:$A$36)*(I$2=SalesforceData!$B$2:'SalesforceData'!$B$36) * (I$3=SalesforceData!$E$2:'SalesforceData'!$E$36),0)),INDEX(SalesforceData!$D$2:$D$36,MATCH(1,($G6=SalesforceData!$A$2:$A$36)*(I$2=SalesforceData!$B$2:'SalesforceData'!$B$36)*(I$3=SalesforceData!$C$2:'SalesforceData'!$C$36),0))),"")</f>
        <v>0</v>
      </c>
      <c r="J6" s="8" cm="1">
        <f t="array" ref="J6">IFERROR(IF(COUNT(INDEX(SalesforceData!$D$2:$D$36,MATCH(1,($G6=SalesforceData!$A$2:$A$36)*(J$2=SalesforceData!$B$2:'SalesforceData'!$B$36)*(J$3=SalesforceData!$C$2:'SalesforceData'!$C$36),0)))=0,INDEX(SalesforceData!$F$2:$F$36,MATCH(1,($G6=SalesforceData!$A$2:$A$36)*(J$2=SalesforceData!$B$2:'SalesforceData'!$B$36) * (J$3=SalesforceData!$E$2:'SalesforceData'!$E$36),0)),INDEX(SalesforceData!$D$2:$D$36,MATCH(1,($G6=SalesforceData!$A$2:$A$36)*(J$2=SalesforceData!$B$2:'SalesforceData'!$B$36)*(J$3=SalesforceData!$C$2:'SalesforceData'!$C$36),0))),"")</f>
        <v>0</v>
      </c>
      <c r="K6" s="8" cm="1">
        <f t="array" ref="K6">IFERROR(IF(COUNT(INDEX(SalesforceData!$D$2:$D$36,MATCH(1,($G6=SalesforceData!$A$2:$A$36)*(K$2=SalesforceData!$B$2:'SalesforceData'!$B$36)*(K$3=SalesforceData!$C$2:'SalesforceData'!$C$36),0)))=0,INDEX(SalesforceData!$F$2:$F$36,MATCH(1,($G6=SalesforceData!$A$2:$A$36)*(K$2=SalesforceData!$B$2:'SalesforceData'!$B$36) * (K$3=SalesforceData!$E$2:'SalesforceData'!$E$36),0)),INDEX(SalesforceData!$D$2:$D$36,MATCH(1,($G6=SalesforceData!$A$2:$A$36)*(K$2=SalesforceData!$B$2:'SalesforceData'!$B$36)*(K$3=SalesforceData!$C$2:'SalesforceData'!$C$36),0))),"")</f>
        <v>0</v>
      </c>
      <c r="L6" s="8" cm="1">
        <f t="array" ref="L6">IFERROR(IF(COUNT(INDEX(SalesforceData!$D$2:$D$36,MATCH(1,($G6=SalesforceData!$A$2:$A$36)*(L$2=SalesforceData!$B$2:'SalesforceData'!$B$36)*(L$3=SalesforceData!$C$2:'SalesforceData'!$C$36),0)))=0,INDEX(SalesforceData!$F$2:$F$36,MATCH(1,($G6=SalesforceData!$A$2:$A$36)*(L$2=SalesforceData!$B$2:'SalesforceData'!$B$36) * (L$3=SalesforceData!$E$2:'SalesforceData'!$E$36),0)),INDEX(SalesforceData!$D$2:$D$36,MATCH(1,($G6=SalesforceData!$A$2:$A$36)*(L$2=SalesforceData!$B$2:'SalesforceData'!$B$36)*(L$3=SalesforceData!$C$2:'SalesforceData'!$C$36),0))),"")</f>
        <v>0</v>
      </c>
      <c r="M6" s="8" cm="1">
        <f t="array" ref="M6">IFERROR(IF(COUNT(INDEX(SalesforceData!$D$2:$D$36,MATCH(1,($G6=SalesforceData!$A$2:$A$36)*(M$2=SalesforceData!$B$2:'SalesforceData'!$B$36)*(M$3=SalesforceData!$C$2:'SalesforceData'!$C$36),0)))=0,INDEX(SalesforceData!$F$2:$F$36,MATCH(1,($G6=SalesforceData!$A$2:$A$36)*(M$2=SalesforceData!$B$2:'SalesforceData'!$B$36) * (M$3=SalesforceData!$E$2:'SalesforceData'!$E$36),0)),INDEX(SalesforceData!$D$2:$D$36,MATCH(1,($G6=SalesforceData!$A$2:$A$36)*(M$2=SalesforceData!$B$2:'SalesforceData'!$B$36)*(M$3=SalesforceData!$C$2:'SalesforceData'!$C$36),0))),"")</f>
        <v>0</v>
      </c>
      <c r="N6" s="8" cm="1">
        <f t="array" ref="N6">IFERROR(IF(COUNT(INDEX(SalesforceData!$D$2:$D$36,MATCH(1,($G6=SalesforceData!$A$2:$A$36)*(N$2=SalesforceData!$B$2:'SalesforceData'!$B$36)*(N$3=SalesforceData!$C$2:'SalesforceData'!$C$36),0)))=0,INDEX(SalesforceData!$F$2:$F$36,MATCH(1,($G6=SalesforceData!$A$2:$A$36)*(N$2=SalesforceData!$B$2:'SalesforceData'!$B$36) * (N$3=SalesforceData!$E$2:'SalesforceData'!$E$36),0)),INDEX(SalesforceData!$D$2:$D$36,MATCH(1,($G6=SalesforceData!$A$2:$A$36)*(N$2=SalesforceData!$B$2:'SalesforceData'!$B$36)*(N$3=SalesforceData!$C$2:'SalesforceData'!$C$36),0))),"")</f>
        <v>0</v>
      </c>
      <c r="O6" s="8" cm="1">
        <f t="array" ref="O6">IFERROR(IF(COUNT(INDEX(SalesforceData!$D$2:$D$36,MATCH(1,($G6=SalesforceData!$A$2:$A$36)*(O$2=SalesforceData!$B$2:'SalesforceData'!$B$36)*(O$3=SalesforceData!$C$2:'SalesforceData'!$C$36),0)))=0,INDEX(SalesforceData!$F$2:$F$36,MATCH(1,($G6=SalesforceData!$A$2:$A$36)*(O$2=SalesforceData!$B$2:'SalesforceData'!$B$36) * (O$3=SalesforceData!$E$2:'SalesforceData'!$E$36),0)),INDEX(SalesforceData!$D$2:$D$36,MATCH(1,($G6=SalesforceData!$A$2:$A$36)*(O$2=SalesforceData!$B$2:'SalesforceData'!$B$36)*(O$3=SalesforceData!$C$2:'SalesforceData'!$C$36),0))),"")</f>
        <v>0</v>
      </c>
      <c r="Q6" s="24"/>
      <c r="S6" s="16" t="str" cm="1">
        <f t="array" aca="1" ref="S6" ca="1">IF(CELL("contents",G6)=0,"",CELL("contents",G6))</f>
        <v/>
      </c>
      <c r="T6" s="8" t="str" cm="1">
        <f t="array" aca="1" ref="T6" ca="1">IF(CELL("contents",H6)=0,"",CELL("contents",H6))</f>
        <v/>
      </c>
      <c r="U6" s="8" t="str" cm="1">
        <f t="array" aca="1" ref="U6" ca="1">IF(CELL("contents",I6)=0,"",CELL("contents",I6))</f>
        <v/>
      </c>
      <c r="V6" s="8" t="str" cm="1">
        <f t="array" aca="1" ref="V6" ca="1">IF(CELL("contents",J6)=0,"",CELL("contents",J6))</f>
        <v/>
      </c>
      <c r="W6" s="8" t="str" cm="1">
        <f t="array" aca="1" ref="W6" ca="1">IF(CELL("contents",K6)=0,"",CELL("contents",K6))</f>
        <v/>
      </c>
      <c r="X6" s="8" t="str" cm="1">
        <f t="array" aca="1" ref="X6" ca="1">IF(CELL("contents",L6)=0,"",CELL("contents",L6))</f>
        <v/>
      </c>
      <c r="Y6" s="8" t="str" cm="1">
        <f t="array" aca="1" ref="Y6" ca="1">IF(CELL("contents",M6)=0,"",CELL("contents",M6))</f>
        <v/>
      </c>
      <c r="Z6" s="8" t="str" cm="1">
        <f t="array" aca="1" ref="Z6" ca="1">IF(CELL("contents",N6)=0,"",CELL("contents",N6))</f>
        <v/>
      </c>
      <c r="AA6" s="8" t="str" cm="1">
        <f t="array" aca="1" ref="AA6" ca="1">IF(CELL("contents",O6)=0,"",CELL("contents",O6))</f>
        <v/>
      </c>
    </row>
    <row r="7" spans="1:28" x14ac:dyDescent="0.35">
      <c r="A7" s="8" t="str" cm="1">
        <f t="array" ref="A7">IF(IFERROR(INDEX(SalesforceData!$A$2:'SalesforceData'!$A$36, MATCH(0, COUNTIF(DataTransformation!$A$2:'DataTransformation'!$A6, SalesforceData!$A$2:'SalesforceData'!$A$36), 0)),"") = 0,"", IFERROR(INDEX(SalesforceData!$A$2:'SalesforceData'!$A$36, MATCH(0, COUNTIF(DataTransformation!$A$2:'DataTransformation'!$A6, SalesforceData!$A$2:'SalesforceData'!$A$36), 0)),""))</f>
        <v/>
      </c>
      <c r="B7" s="8" t="str" cm="1">
        <f t="array" ref="B7">IF(IFERROR(INDEX(SalesforceData!$B$2:'SalesforceData'!$B$36, MATCH(0, COUNTIF(DataTransformation!$B$2:'DataTransformation'!$B6, SalesforceData!$B$2:'SalesforceData'!$B$36), 0)),"") = 0,"", IFERROR(INDEX(SalesforceData!$B$2:'SalesforceData'!$B$36, MATCH(0, COUNTIF(DataTransformation!$B$2:'DataTransformation'!$B6, SalesforceData!$B$2:'SalesforceData'!$B$36), 0)),""))</f>
        <v/>
      </c>
      <c r="C7" t="str">
        <f>B5</f>
        <v/>
      </c>
      <c r="D7" t="str">
        <f t="shared" si="0"/>
        <v/>
      </c>
      <c r="E7" s="24"/>
      <c r="G7" s="8" t="str">
        <f>A6</f>
        <v/>
      </c>
      <c r="H7" s="8" cm="1">
        <f t="array" ref="H7">IFERROR(IF(COUNT(INDEX(SalesforceData!$D$2:$D$36,MATCH(1,($G7=SalesforceData!$A$2:$A$36)*(H$2=SalesforceData!$B$2:'SalesforceData'!$B$36)*(H$3=SalesforceData!$C$2:'SalesforceData'!$C$36),0)))=0,INDEX(SalesforceData!$F$2:$F$36,MATCH(1,($G7=SalesforceData!$A$2:$A$36)*(H$2=SalesforceData!$B$2:'SalesforceData'!$B$36) * (H$3=SalesforceData!$E$2:'SalesforceData'!$E$36),0)),INDEX(SalesforceData!$D$2:$D$36,MATCH(1,($G7=SalesforceData!$A$2:$A$36)*(H$2=SalesforceData!$B$2:'SalesforceData'!$B$36)*(H$3=SalesforceData!$C$2:'SalesforceData'!$C$36),0))),"")</f>
        <v>0</v>
      </c>
      <c r="I7" s="8" cm="1">
        <f t="array" ref="I7">IFERROR(IF(COUNT(INDEX(SalesforceData!$D$2:$D$36,MATCH(1,($G7=SalesforceData!$A$2:$A$36)*(I$2=SalesforceData!$B$2:'SalesforceData'!$B$36)*(I$3=SalesforceData!$C$2:'SalesforceData'!$C$36),0)))=0,INDEX(SalesforceData!$F$2:$F$36,MATCH(1,($G7=SalesforceData!$A$2:$A$36)*(I$2=SalesforceData!$B$2:'SalesforceData'!$B$36) * (I$3=SalesforceData!$E$2:'SalesforceData'!$E$36),0)),INDEX(SalesforceData!$D$2:$D$36,MATCH(1,($G7=SalesforceData!$A$2:$A$36)*(I$2=SalesforceData!$B$2:'SalesforceData'!$B$36)*(I$3=SalesforceData!$C$2:'SalesforceData'!$C$36),0))),"")</f>
        <v>0</v>
      </c>
      <c r="J7" s="8" cm="1">
        <f t="array" ref="J7">IFERROR(IF(COUNT(INDEX(SalesforceData!$D$2:$D$36,MATCH(1,($G7=SalesforceData!$A$2:$A$36)*(J$2=SalesforceData!$B$2:'SalesforceData'!$B$36)*(J$3=SalesforceData!$C$2:'SalesforceData'!$C$36),0)))=0,INDEX(SalesforceData!$F$2:$F$36,MATCH(1,($G7=SalesforceData!$A$2:$A$36)*(J$2=SalesforceData!$B$2:'SalesforceData'!$B$36) * (J$3=SalesforceData!$E$2:'SalesforceData'!$E$36),0)),INDEX(SalesforceData!$D$2:$D$36,MATCH(1,($G7=SalesforceData!$A$2:$A$36)*(J$2=SalesforceData!$B$2:'SalesforceData'!$B$36)*(J$3=SalesforceData!$C$2:'SalesforceData'!$C$36),0))),"")</f>
        <v>0</v>
      </c>
      <c r="K7" s="8" cm="1">
        <f t="array" ref="K7">IFERROR(IF(COUNT(INDEX(SalesforceData!$D$2:$D$36,MATCH(1,($G7=SalesforceData!$A$2:$A$36)*(K$2=SalesforceData!$B$2:'SalesforceData'!$B$36)*(K$3=SalesforceData!$C$2:'SalesforceData'!$C$36),0)))=0,INDEX(SalesforceData!$F$2:$F$36,MATCH(1,($G7=SalesforceData!$A$2:$A$36)*(K$2=SalesforceData!$B$2:'SalesforceData'!$B$36) * (K$3=SalesforceData!$E$2:'SalesforceData'!$E$36),0)),INDEX(SalesforceData!$D$2:$D$36,MATCH(1,($G7=SalesforceData!$A$2:$A$36)*(K$2=SalesforceData!$B$2:'SalesforceData'!$B$36)*(K$3=SalesforceData!$C$2:'SalesforceData'!$C$36),0))),"")</f>
        <v>0</v>
      </c>
      <c r="L7" s="8" cm="1">
        <f t="array" ref="L7">IFERROR(IF(COUNT(INDEX(SalesforceData!$D$2:$D$36,MATCH(1,($G7=SalesforceData!$A$2:$A$36)*(L$2=SalesforceData!$B$2:'SalesforceData'!$B$36)*(L$3=SalesforceData!$C$2:'SalesforceData'!$C$36),0)))=0,INDEX(SalesforceData!$F$2:$F$36,MATCH(1,($G7=SalesforceData!$A$2:$A$36)*(L$2=SalesforceData!$B$2:'SalesforceData'!$B$36) * (L$3=SalesforceData!$E$2:'SalesforceData'!$E$36),0)),INDEX(SalesforceData!$D$2:$D$36,MATCH(1,($G7=SalesforceData!$A$2:$A$36)*(L$2=SalesforceData!$B$2:'SalesforceData'!$B$36)*(L$3=SalesforceData!$C$2:'SalesforceData'!$C$36),0))),"")</f>
        <v>0</v>
      </c>
      <c r="M7" s="8" cm="1">
        <f t="array" ref="M7">IFERROR(IF(COUNT(INDEX(SalesforceData!$D$2:$D$36,MATCH(1,($G7=SalesforceData!$A$2:$A$36)*(M$2=SalesforceData!$B$2:'SalesforceData'!$B$36)*(M$3=SalesforceData!$C$2:'SalesforceData'!$C$36),0)))=0,INDEX(SalesforceData!$F$2:$F$36,MATCH(1,($G7=SalesforceData!$A$2:$A$36)*(M$2=SalesforceData!$B$2:'SalesforceData'!$B$36) * (M$3=SalesforceData!$E$2:'SalesforceData'!$E$36),0)),INDEX(SalesforceData!$D$2:$D$36,MATCH(1,($G7=SalesforceData!$A$2:$A$36)*(M$2=SalesforceData!$B$2:'SalesforceData'!$B$36)*(M$3=SalesforceData!$C$2:'SalesforceData'!$C$36),0))),"")</f>
        <v>0</v>
      </c>
      <c r="N7" s="8" cm="1">
        <f t="array" ref="N7">IFERROR(IF(COUNT(INDEX(SalesforceData!$D$2:$D$36,MATCH(1,($G7=SalesforceData!$A$2:$A$36)*(N$2=SalesforceData!$B$2:'SalesforceData'!$B$36)*(N$3=SalesforceData!$C$2:'SalesforceData'!$C$36),0)))=0,INDEX(SalesforceData!$F$2:$F$36,MATCH(1,($G7=SalesforceData!$A$2:$A$36)*(N$2=SalesforceData!$B$2:'SalesforceData'!$B$36) * (N$3=SalesforceData!$E$2:'SalesforceData'!$E$36),0)),INDEX(SalesforceData!$D$2:$D$36,MATCH(1,($G7=SalesforceData!$A$2:$A$36)*(N$2=SalesforceData!$B$2:'SalesforceData'!$B$36)*(N$3=SalesforceData!$C$2:'SalesforceData'!$C$36),0))),"")</f>
        <v>0</v>
      </c>
      <c r="O7" s="8" cm="1">
        <f t="array" ref="O7">IFERROR(IF(COUNT(INDEX(SalesforceData!$D$2:$D$36,MATCH(1,($G7=SalesforceData!$A$2:$A$36)*(O$2=SalesforceData!$B$2:'SalesforceData'!$B$36)*(O$3=SalesforceData!$C$2:'SalesforceData'!$C$36),0)))=0,INDEX(SalesforceData!$F$2:$F$36,MATCH(1,($G7=SalesforceData!$A$2:$A$36)*(O$2=SalesforceData!$B$2:'SalesforceData'!$B$36) * (O$3=SalesforceData!$E$2:'SalesforceData'!$E$36),0)),INDEX(SalesforceData!$D$2:$D$36,MATCH(1,($G7=SalesforceData!$A$2:$A$36)*(O$2=SalesforceData!$B$2:'SalesforceData'!$B$36)*(O$3=SalesforceData!$C$2:'SalesforceData'!$C$36),0))),"")</f>
        <v>0</v>
      </c>
      <c r="Q7" s="24"/>
      <c r="S7" s="16" t="str" cm="1">
        <f t="array" aca="1" ref="S7" ca="1">IF(CELL("contents",G7)=0,"",CELL("contents",G7))</f>
        <v/>
      </c>
      <c r="T7" s="8" t="str" cm="1">
        <f t="array" aca="1" ref="T7" ca="1">IF(CELL("contents",H7)=0,"",CELL("contents",H7))</f>
        <v/>
      </c>
      <c r="U7" s="8" t="str" cm="1">
        <f t="array" aca="1" ref="U7" ca="1">IF(CELL("contents",I7)=0,"",CELL("contents",I7))</f>
        <v/>
      </c>
      <c r="V7" s="8" t="str" cm="1">
        <f t="array" aca="1" ref="V7" ca="1">IF(CELL("contents",J7)=0,"",CELL("contents",J7))</f>
        <v/>
      </c>
      <c r="W7" s="8" t="str" cm="1">
        <f t="array" aca="1" ref="W7" ca="1">IF(CELL("contents",K7)=0,"",CELL("contents",K7))</f>
        <v/>
      </c>
      <c r="X7" s="8" t="str" cm="1">
        <f t="array" aca="1" ref="X7" ca="1">IF(CELL("contents",L7)=0,"",CELL("contents",L7))</f>
        <v/>
      </c>
      <c r="Y7" s="8" t="str" cm="1">
        <f t="array" aca="1" ref="Y7" ca="1">IF(CELL("contents",M7)=0,"",CELL("contents",M7))</f>
        <v/>
      </c>
      <c r="Z7" s="8" t="str" cm="1">
        <f t="array" aca="1" ref="Z7" ca="1">IF(CELL("contents",N7)=0,"",CELL("contents",N7))</f>
        <v/>
      </c>
      <c r="AA7" s="8" t="str" cm="1">
        <f t="array" aca="1" ref="AA7" ca="1">IF(CELL("contents",O7)=0,"",CELL("contents",O7))</f>
        <v/>
      </c>
    </row>
    <row r="8" spans="1:28" x14ac:dyDescent="0.35">
      <c r="A8" s="8" t="str" cm="1">
        <f t="array" ref="A8">IF(IFERROR(INDEX(SalesforceData!$A$2:'SalesforceData'!$A$36, MATCH(0, COUNTIF(DataTransformation!$A$2:'DataTransformation'!$A7, SalesforceData!$A$2:'SalesforceData'!$A$36), 0)),"") = 0,"", IFERROR(INDEX(SalesforceData!$A$2:'SalesforceData'!$A$36, MATCH(0, COUNTIF(DataTransformation!$A$2:'DataTransformation'!$A7, SalesforceData!$A$2:'SalesforceData'!$A$36), 0)),""))</f>
        <v/>
      </c>
      <c r="B8" s="8" t="str" cm="1">
        <f t="array" ref="B8">IF(IFERROR(INDEX(SalesforceData!$B$2:'SalesforceData'!$B$36, MATCH(0, COUNTIF(DataTransformation!$B$2:'DataTransformation'!$B7, SalesforceData!$B$2:'SalesforceData'!$B$36), 0)),"") = 0,"", IFERROR(INDEX(SalesforceData!$B$2:'SalesforceData'!$B$36, MATCH(0, COUNTIF(DataTransformation!$B$2:'DataTransformation'!$B7, SalesforceData!$B$2:'SalesforceData'!$B$36), 0)),""))</f>
        <v/>
      </c>
      <c r="C8" t="str">
        <f>C7</f>
        <v/>
      </c>
      <c r="D8" t="str">
        <f>IF(LEN(C8)&gt;0,"lbs","")</f>
        <v/>
      </c>
      <c r="E8" s="24"/>
      <c r="G8" s="8" t="str">
        <f>A7</f>
        <v/>
      </c>
      <c r="H8" s="8" cm="1">
        <f t="array" ref="H8">IFERROR(IF(COUNT(INDEX(SalesforceData!$D$2:$D$36,MATCH(1,($G8=SalesforceData!$A$2:$A$36)*(H$2=SalesforceData!$B$2:'SalesforceData'!$B$36)*(H$3=SalesforceData!$C$2:'SalesforceData'!$C$36),0)))=0,INDEX(SalesforceData!$F$2:$F$36,MATCH(1,($G8=SalesforceData!$A$2:$A$36)*(H$2=SalesforceData!$B$2:'SalesforceData'!$B$36) * (H$3=SalesforceData!$E$2:'SalesforceData'!$E$36),0)),INDEX(SalesforceData!$D$2:$D$36,MATCH(1,($G8=SalesforceData!$A$2:$A$36)*(H$2=SalesforceData!$B$2:'SalesforceData'!$B$36)*(H$3=SalesforceData!$C$2:'SalesforceData'!$C$36),0))),"")</f>
        <v>0</v>
      </c>
      <c r="I8" s="8" cm="1">
        <f t="array" ref="I8">IFERROR(IF(COUNT(INDEX(SalesforceData!$D$2:$D$36,MATCH(1,($G8=SalesforceData!$A$2:$A$36)*(I$2=SalesforceData!$B$2:'SalesforceData'!$B$36)*(I$3=SalesforceData!$C$2:'SalesforceData'!$C$36),0)))=0,INDEX(SalesforceData!$F$2:$F$36,MATCH(1,($G8=SalesforceData!$A$2:$A$36)*(I$2=SalesforceData!$B$2:'SalesforceData'!$B$36) * (I$3=SalesforceData!$E$2:'SalesforceData'!$E$36),0)),INDEX(SalesforceData!$D$2:$D$36,MATCH(1,($G8=SalesforceData!$A$2:$A$36)*(I$2=SalesforceData!$B$2:'SalesforceData'!$B$36)*(I$3=SalesforceData!$C$2:'SalesforceData'!$C$36),0))),"")</f>
        <v>0</v>
      </c>
      <c r="J8" s="8" cm="1">
        <f t="array" ref="J8">IFERROR(IF(COUNT(INDEX(SalesforceData!$D$2:$D$36,MATCH(1,($G8=SalesforceData!$A$2:$A$36)*(J$2=SalesforceData!$B$2:'SalesforceData'!$B$36)*(J$3=SalesforceData!$C$2:'SalesforceData'!$C$36),0)))=0,INDEX(SalesforceData!$F$2:$F$36,MATCH(1,($G8=SalesforceData!$A$2:$A$36)*(J$2=SalesforceData!$B$2:'SalesforceData'!$B$36) * (J$3=SalesforceData!$E$2:'SalesforceData'!$E$36),0)),INDEX(SalesforceData!$D$2:$D$36,MATCH(1,($G8=SalesforceData!$A$2:$A$36)*(J$2=SalesforceData!$B$2:'SalesforceData'!$B$36)*(J$3=SalesforceData!$C$2:'SalesforceData'!$C$36),0))),"")</f>
        <v>0</v>
      </c>
      <c r="K8" s="8" cm="1">
        <f t="array" ref="K8">IFERROR(IF(COUNT(INDEX(SalesforceData!$D$2:$D$36,MATCH(1,($G8=SalesforceData!$A$2:$A$36)*(K$2=SalesforceData!$B$2:'SalesforceData'!$B$36)*(K$3=SalesforceData!$C$2:'SalesforceData'!$C$36),0)))=0,INDEX(SalesforceData!$F$2:$F$36,MATCH(1,($G8=SalesforceData!$A$2:$A$36)*(K$2=SalesforceData!$B$2:'SalesforceData'!$B$36) * (K$3=SalesforceData!$E$2:'SalesforceData'!$E$36),0)),INDEX(SalesforceData!$D$2:$D$36,MATCH(1,($G8=SalesforceData!$A$2:$A$36)*(K$2=SalesforceData!$B$2:'SalesforceData'!$B$36)*(K$3=SalesforceData!$C$2:'SalesforceData'!$C$36),0))),"")</f>
        <v>0</v>
      </c>
      <c r="L8" s="8" cm="1">
        <f t="array" ref="L8">IFERROR(IF(COUNT(INDEX(SalesforceData!$D$2:$D$36,MATCH(1,($G8=SalesforceData!$A$2:$A$36)*(L$2=SalesforceData!$B$2:'SalesforceData'!$B$36)*(L$3=SalesforceData!$C$2:'SalesforceData'!$C$36),0)))=0,INDEX(SalesforceData!$F$2:$F$36,MATCH(1,($G8=SalesforceData!$A$2:$A$36)*(L$2=SalesforceData!$B$2:'SalesforceData'!$B$36) * (L$3=SalesforceData!$E$2:'SalesforceData'!$E$36),0)),INDEX(SalesforceData!$D$2:$D$36,MATCH(1,($G8=SalesforceData!$A$2:$A$36)*(L$2=SalesforceData!$B$2:'SalesforceData'!$B$36)*(L$3=SalesforceData!$C$2:'SalesforceData'!$C$36),0))),"")</f>
        <v>0</v>
      </c>
      <c r="M8" s="8" cm="1">
        <f t="array" ref="M8">IFERROR(IF(COUNT(INDEX(SalesforceData!$D$2:$D$36,MATCH(1,($G8=SalesforceData!$A$2:$A$36)*(M$2=SalesforceData!$B$2:'SalesforceData'!$B$36)*(M$3=SalesforceData!$C$2:'SalesforceData'!$C$36),0)))=0,INDEX(SalesforceData!$F$2:$F$36,MATCH(1,($G8=SalesforceData!$A$2:$A$36)*(M$2=SalesforceData!$B$2:'SalesforceData'!$B$36) * (M$3=SalesforceData!$E$2:'SalesforceData'!$E$36),0)),INDEX(SalesforceData!$D$2:$D$36,MATCH(1,($G8=SalesforceData!$A$2:$A$36)*(M$2=SalesforceData!$B$2:'SalesforceData'!$B$36)*(M$3=SalesforceData!$C$2:'SalesforceData'!$C$36),0))),"")</f>
        <v>0</v>
      </c>
      <c r="N8" s="8" cm="1">
        <f t="array" ref="N8">IFERROR(IF(COUNT(INDEX(SalesforceData!$D$2:$D$36,MATCH(1,($G8=SalesforceData!$A$2:$A$36)*(N$2=SalesforceData!$B$2:'SalesforceData'!$B$36)*(N$3=SalesforceData!$C$2:'SalesforceData'!$C$36),0)))=0,INDEX(SalesforceData!$F$2:$F$36,MATCH(1,($G8=SalesforceData!$A$2:$A$36)*(N$2=SalesforceData!$B$2:'SalesforceData'!$B$36) * (N$3=SalesforceData!$E$2:'SalesforceData'!$E$36),0)),INDEX(SalesforceData!$D$2:$D$36,MATCH(1,($G8=SalesforceData!$A$2:$A$36)*(N$2=SalesforceData!$B$2:'SalesforceData'!$B$36)*(N$3=SalesforceData!$C$2:'SalesforceData'!$C$36),0))),"")</f>
        <v>0</v>
      </c>
      <c r="O8" s="8" cm="1">
        <f t="array" ref="O8">IFERROR(IF(COUNT(INDEX(SalesforceData!$D$2:$D$36,MATCH(1,($G8=SalesforceData!$A$2:$A$36)*(O$2=SalesforceData!$B$2:'SalesforceData'!$B$36)*(O$3=SalesforceData!$C$2:'SalesforceData'!$C$36),0)))=0,INDEX(SalesforceData!$F$2:$F$36,MATCH(1,($G8=SalesforceData!$A$2:$A$36)*(O$2=SalesforceData!$B$2:'SalesforceData'!$B$36) * (O$3=SalesforceData!$E$2:'SalesforceData'!$E$36),0)),INDEX(SalesforceData!$D$2:$D$36,MATCH(1,($G8=SalesforceData!$A$2:$A$36)*(O$2=SalesforceData!$B$2:'SalesforceData'!$B$36)*(O$3=SalesforceData!$C$2:'SalesforceData'!$C$36),0))),"")</f>
        <v>0</v>
      </c>
      <c r="Q8" s="24"/>
      <c r="S8" s="16" t="str" cm="1">
        <f t="array" aca="1" ref="S8" ca="1">IF(CELL("contents",G8)=0,"",CELL("contents",G8))</f>
        <v/>
      </c>
      <c r="T8" s="8" t="str" cm="1">
        <f t="array" aca="1" ref="T8" ca="1">IF(CELL("contents",H8)=0,"",CELL("contents",H8))</f>
        <v/>
      </c>
      <c r="U8" s="8" t="str" cm="1">
        <f t="array" aca="1" ref="U8" ca="1">IF(CELL("contents",I8)=0,"",CELL("contents",I8))</f>
        <v/>
      </c>
      <c r="V8" s="8" t="str" cm="1">
        <f t="array" aca="1" ref="V8" ca="1">IF(CELL("contents",J8)=0,"",CELL("contents",J8))</f>
        <v/>
      </c>
      <c r="W8" s="8" t="str" cm="1">
        <f t="array" aca="1" ref="W8" ca="1">IF(CELL("contents",K8)=0,"",CELL("contents",K8))</f>
        <v/>
      </c>
      <c r="X8" s="8" t="str" cm="1">
        <f t="array" aca="1" ref="X8" ca="1">IF(CELL("contents",L8)=0,"",CELL("contents",L8))</f>
        <v/>
      </c>
      <c r="Y8" s="8" t="str" cm="1">
        <f t="array" aca="1" ref="Y8" ca="1">IF(CELL("contents",M8)=0,"",CELL("contents",M8))</f>
        <v/>
      </c>
      <c r="Z8" s="8" t="str" cm="1">
        <f t="array" aca="1" ref="Z8" ca="1">IF(CELL("contents",N8)=0,"",CELL("contents",N8))</f>
        <v/>
      </c>
      <c r="AA8" s="8" t="str" cm="1">
        <f t="array" aca="1" ref="AA8" ca="1">IF(CELL("contents",O8)=0,"",CELL("contents",O8))</f>
        <v/>
      </c>
    </row>
    <row r="9" spans="1:28" x14ac:dyDescent="0.35">
      <c r="A9" s="8" t="str" cm="1">
        <f t="array" ref="A9">IF(IFERROR(INDEX(SalesforceData!$A$2:'SalesforceData'!$A$36, MATCH(0, COUNTIF(DataTransformation!$A$2:'DataTransformation'!$A8, SalesforceData!$A$2:'SalesforceData'!$A$36), 0)),"") = 0,"", IFERROR(INDEX(SalesforceData!$A$2:'SalesforceData'!$A$36, MATCH(0, COUNTIF(DataTransformation!$A$2:'DataTransformation'!$A8, SalesforceData!$A$2:'SalesforceData'!$A$36), 0)),""))</f>
        <v/>
      </c>
      <c r="B9" s="8" t="str" cm="1">
        <f t="array" ref="B9">IF(IFERROR(INDEX(SalesforceData!$B$2:'SalesforceData'!$B$36, MATCH(0, COUNTIF(DataTransformation!$B$2:'DataTransformation'!$B8, SalesforceData!$B$2:'SalesforceData'!$B$36), 0)),"") = 0,"", IFERROR(INDEX(SalesforceData!$B$2:'SalesforceData'!$B$36, MATCH(0, COUNTIF(DataTransformation!$B$2:'DataTransformation'!$B8, SalesforceData!$B$2:'SalesforceData'!$B$36), 0)),""))</f>
        <v/>
      </c>
      <c r="C9" t="str">
        <f>B6</f>
        <v/>
      </c>
      <c r="D9" t="str">
        <f t="shared" si="0"/>
        <v/>
      </c>
      <c r="E9" s="24"/>
      <c r="G9" s="8" t="str">
        <f t="shared" ref="G9:G51" si="1">A8</f>
        <v/>
      </c>
      <c r="H9" s="8" cm="1">
        <f t="array" ref="H9">IFERROR(IF(COUNT(INDEX(SalesforceData!$D$2:$D$36,MATCH(1,($G9=SalesforceData!$A$2:$A$36)*(H$2=SalesforceData!$B$2:'SalesforceData'!$B$36)*(H$3=SalesforceData!$C$2:'SalesforceData'!$C$36),0)))=0,INDEX(SalesforceData!$F$2:$F$36,MATCH(1,($G9=SalesforceData!$A$2:$A$36)*(H$2=SalesforceData!$B$2:'SalesforceData'!$B$36) * (H$3=SalesforceData!$E$2:'SalesforceData'!$E$36),0)),INDEX(SalesforceData!$D$2:$D$36,MATCH(1,($G9=SalesforceData!$A$2:$A$36)*(H$2=SalesforceData!$B$2:'SalesforceData'!$B$36)*(H$3=SalesforceData!$C$2:'SalesforceData'!$C$36),0))),"")</f>
        <v>0</v>
      </c>
      <c r="I9" s="8" cm="1">
        <f t="array" ref="I9">IFERROR(IF(COUNT(INDEX(SalesforceData!$D$2:$D$36,MATCH(1,($G9=SalesforceData!$A$2:$A$36)*(I$2=SalesforceData!$B$2:'SalesforceData'!$B$36)*(I$3=SalesforceData!$C$2:'SalesforceData'!$C$36),0)))=0,INDEX(SalesforceData!$F$2:$F$36,MATCH(1,($G9=SalesforceData!$A$2:$A$36)*(I$2=SalesforceData!$B$2:'SalesforceData'!$B$36) * (I$3=SalesforceData!$E$2:'SalesforceData'!$E$36),0)),INDEX(SalesforceData!$D$2:$D$36,MATCH(1,($G9=SalesforceData!$A$2:$A$36)*(I$2=SalesforceData!$B$2:'SalesforceData'!$B$36)*(I$3=SalesforceData!$C$2:'SalesforceData'!$C$36),0))),"")</f>
        <v>0</v>
      </c>
      <c r="J9" s="8" cm="1">
        <f t="array" ref="J9">IFERROR(IF(COUNT(INDEX(SalesforceData!$D$2:$D$36,MATCH(1,($G9=SalesforceData!$A$2:$A$36)*(J$2=SalesforceData!$B$2:'SalesforceData'!$B$36)*(J$3=SalesforceData!$C$2:'SalesforceData'!$C$36),0)))=0,INDEX(SalesforceData!$F$2:$F$36,MATCH(1,($G9=SalesforceData!$A$2:$A$36)*(J$2=SalesforceData!$B$2:'SalesforceData'!$B$36) * (J$3=SalesforceData!$E$2:'SalesforceData'!$E$36),0)),INDEX(SalesforceData!$D$2:$D$36,MATCH(1,($G9=SalesforceData!$A$2:$A$36)*(J$2=SalesforceData!$B$2:'SalesforceData'!$B$36)*(J$3=SalesforceData!$C$2:'SalesforceData'!$C$36),0))),"")</f>
        <v>0</v>
      </c>
      <c r="K9" s="8" cm="1">
        <f t="array" ref="K9">IFERROR(IF(COUNT(INDEX(SalesforceData!$D$2:$D$36,MATCH(1,($G9=SalesforceData!$A$2:$A$36)*(K$2=SalesforceData!$B$2:'SalesforceData'!$B$36)*(K$3=SalesforceData!$C$2:'SalesforceData'!$C$36),0)))=0,INDEX(SalesforceData!$F$2:$F$36,MATCH(1,($G9=SalesforceData!$A$2:$A$36)*(K$2=SalesforceData!$B$2:'SalesforceData'!$B$36) * (K$3=SalesforceData!$E$2:'SalesforceData'!$E$36),0)),INDEX(SalesforceData!$D$2:$D$36,MATCH(1,($G9=SalesforceData!$A$2:$A$36)*(K$2=SalesforceData!$B$2:'SalesforceData'!$B$36)*(K$3=SalesforceData!$C$2:'SalesforceData'!$C$36),0))),"")</f>
        <v>0</v>
      </c>
      <c r="L9" s="8" cm="1">
        <f t="array" ref="L9">IFERROR(IF(COUNT(INDEX(SalesforceData!$D$2:$D$36,MATCH(1,($G9=SalesforceData!$A$2:$A$36)*(L$2=SalesforceData!$B$2:'SalesforceData'!$B$36)*(L$3=SalesforceData!$C$2:'SalesforceData'!$C$36),0)))=0,INDEX(SalesforceData!$F$2:$F$36,MATCH(1,($G9=SalesforceData!$A$2:$A$36)*(L$2=SalesforceData!$B$2:'SalesforceData'!$B$36) * (L$3=SalesforceData!$E$2:'SalesforceData'!$E$36),0)),INDEX(SalesforceData!$D$2:$D$36,MATCH(1,($G9=SalesforceData!$A$2:$A$36)*(L$2=SalesforceData!$B$2:'SalesforceData'!$B$36)*(L$3=SalesforceData!$C$2:'SalesforceData'!$C$36),0))),"")</f>
        <v>0</v>
      </c>
      <c r="M9" s="8" cm="1">
        <f t="array" ref="M9">IFERROR(IF(COUNT(INDEX(SalesforceData!$D$2:$D$36,MATCH(1,($G9=SalesforceData!$A$2:$A$36)*(M$2=SalesforceData!$B$2:'SalesforceData'!$B$36)*(M$3=SalesforceData!$C$2:'SalesforceData'!$C$36),0)))=0,INDEX(SalesforceData!$F$2:$F$36,MATCH(1,($G9=SalesforceData!$A$2:$A$36)*(M$2=SalesforceData!$B$2:'SalesforceData'!$B$36) * (M$3=SalesforceData!$E$2:'SalesforceData'!$E$36),0)),INDEX(SalesforceData!$D$2:$D$36,MATCH(1,($G9=SalesforceData!$A$2:$A$36)*(M$2=SalesforceData!$B$2:'SalesforceData'!$B$36)*(M$3=SalesforceData!$C$2:'SalesforceData'!$C$36),0))),"")</f>
        <v>0</v>
      </c>
      <c r="N9" s="8" cm="1">
        <f t="array" ref="N9">IFERROR(IF(COUNT(INDEX(SalesforceData!$D$2:$D$36,MATCH(1,($G9=SalesforceData!$A$2:$A$36)*(N$2=SalesforceData!$B$2:'SalesforceData'!$B$36)*(N$3=SalesforceData!$C$2:'SalesforceData'!$C$36),0)))=0,INDEX(SalesforceData!$F$2:$F$36,MATCH(1,($G9=SalesforceData!$A$2:$A$36)*(N$2=SalesforceData!$B$2:'SalesforceData'!$B$36) * (N$3=SalesforceData!$E$2:'SalesforceData'!$E$36),0)),INDEX(SalesforceData!$D$2:$D$36,MATCH(1,($G9=SalesforceData!$A$2:$A$36)*(N$2=SalesforceData!$B$2:'SalesforceData'!$B$36)*(N$3=SalesforceData!$C$2:'SalesforceData'!$C$36),0))),"")</f>
        <v>0</v>
      </c>
      <c r="O9" s="8" cm="1">
        <f t="array" ref="O9">IFERROR(IF(COUNT(INDEX(SalesforceData!$D$2:$D$36,MATCH(1,($G9=SalesforceData!$A$2:$A$36)*(O$2=SalesforceData!$B$2:'SalesforceData'!$B$36)*(O$3=SalesforceData!$C$2:'SalesforceData'!$C$36),0)))=0,INDEX(SalesforceData!$F$2:$F$36,MATCH(1,($G9=SalesforceData!$A$2:$A$36)*(O$2=SalesforceData!$B$2:'SalesforceData'!$B$36) * (O$3=SalesforceData!$E$2:'SalesforceData'!$E$36),0)),INDEX(SalesforceData!$D$2:$D$36,MATCH(1,($G9=SalesforceData!$A$2:$A$36)*(O$2=SalesforceData!$B$2:'SalesforceData'!$B$36)*(O$3=SalesforceData!$C$2:'SalesforceData'!$C$36),0))),"")</f>
        <v>0</v>
      </c>
      <c r="Q9" s="24"/>
      <c r="S9" t="str" cm="1">
        <f t="array" aca="1" ref="S9" ca="1">IF(CELL("contents",G9)=0,"",CELL("contents",G9))</f>
        <v/>
      </c>
      <c r="T9" t="str" cm="1">
        <f t="array" aca="1" ref="T9" ca="1">IF(CELL("contents",H9)=0,"",CELL("contents",H9))</f>
        <v/>
      </c>
      <c r="U9" t="str" cm="1">
        <f t="array" aca="1" ref="U9" ca="1">IF(CELL("contents",I9)=0,"",CELL("contents",I9))</f>
        <v/>
      </c>
      <c r="V9" t="str" cm="1">
        <f t="array" aca="1" ref="V9" ca="1">IF(CELL("contents",J9)=0,"",CELL("contents",J9))</f>
        <v/>
      </c>
      <c r="W9" t="str" cm="1">
        <f t="array" aca="1" ref="W9" ca="1">IF(CELL("contents",K9)=0,"",CELL("contents",K9))</f>
        <v/>
      </c>
      <c r="X9" t="str" cm="1">
        <f t="array" aca="1" ref="X9" ca="1">IF(CELL("contents",L9)=0,"",CELL("contents",L9))</f>
        <v/>
      </c>
      <c r="Y9" t="str" cm="1">
        <f t="array" aca="1" ref="Y9" ca="1">IF(CELL("contents",M9)=0,"",CELL("contents",M9))</f>
        <v/>
      </c>
      <c r="Z9" t="str" cm="1">
        <f t="array" aca="1" ref="Z9" ca="1">IF(CELL("contents",N9)=0,"",CELL("contents",N9))</f>
        <v/>
      </c>
      <c r="AA9" t="str" cm="1">
        <f t="array" aca="1" ref="AA9" ca="1">IF(CELL("contents",O9)=0,"",CELL("contents",O9))</f>
        <v/>
      </c>
    </row>
    <row r="10" spans="1:28" x14ac:dyDescent="0.35">
      <c r="A10" s="8" t="str" cm="1">
        <f t="array" ref="A10">IF(IFERROR(INDEX(SalesforceData!$A$2:'SalesforceData'!$A$36, MATCH(0, COUNTIF(DataTransformation!$A$2:'DataTransformation'!$A9, SalesforceData!$A$2:'SalesforceData'!$A$36), 0)),"") = 0,"", IFERROR(INDEX(SalesforceData!$A$2:'SalesforceData'!$A$36, MATCH(0, COUNTIF(DataTransformation!$A$2:'DataTransformation'!$A9, SalesforceData!$A$2:'SalesforceData'!$A$36), 0)),""))</f>
        <v/>
      </c>
      <c r="B10" s="8" t="str" cm="1">
        <f t="array" ref="B10">IF(IFERROR(INDEX(SalesforceData!$B$2:'SalesforceData'!$B$36, MATCH(0, COUNTIF(DataTransformation!$B$2:'DataTransformation'!$B9, SalesforceData!$B$2:'SalesforceData'!$B$36), 0)),"") = 0,"", IFERROR(INDEX(SalesforceData!$B$2:'SalesforceData'!$B$36, MATCH(0, COUNTIF(DataTransformation!$B$2:'DataTransformation'!$B9, SalesforceData!$B$2:'SalesforceData'!$B$36), 0)),""))</f>
        <v/>
      </c>
      <c r="C10" t="str">
        <f>C9</f>
        <v/>
      </c>
      <c r="D10" t="str">
        <f>IF(LEN(C10)&gt;0,"lbs","")</f>
        <v/>
      </c>
      <c r="E10" s="24"/>
      <c r="G10" s="8" t="str">
        <f t="shared" si="1"/>
        <v/>
      </c>
      <c r="H10" s="8" cm="1">
        <f t="array" ref="H10">IFERROR(IF(COUNT(INDEX(SalesforceData!$D$2:$D$36,MATCH(1,($G10=SalesforceData!$A$2:$A$36)*(H$2=SalesforceData!$B$2:'SalesforceData'!$B$36)*(H$3=SalesforceData!$C$2:'SalesforceData'!$C$36),0)))=0,INDEX(SalesforceData!$F$2:$F$36,MATCH(1,($G10=SalesforceData!$A$2:$A$36)*(H$2=SalesforceData!$B$2:'SalesforceData'!$B$36) * (H$3=SalesforceData!$E$2:'SalesforceData'!$E$36),0)),INDEX(SalesforceData!$D$2:$D$36,MATCH(1,($G10=SalesforceData!$A$2:$A$36)*(H$2=SalesforceData!$B$2:'SalesforceData'!$B$36)*(H$3=SalesforceData!$C$2:'SalesforceData'!$C$36),0))),"")</f>
        <v>0</v>
      </c>
      <c r="I10" s="8" cm="1">
        <f t="array" ref="I10">IFERROR(IF(COUNT(INDEX(SalesforceData!$D$2:$D$36,MATCH(1,($G10=SalesforceData!$A$2:$A$36)*(I$2=SalesforceData!$B$2:'SalesforceData'!$B$36)*(I$3=SalesforceData!$C$2:'SalesforceData'!$C$36),0)))=0,INDEX(SalesforceData!$F$2:$F$36,MATCH(1,($G10=SalesforceData!$A$2:$A$36)*(I$2=SalesforceData!$B$2:'SalesforceData'!$B$36) * (I$3=SalesforceData!$E$2:'SalesforceData'!$E$36),0)),INDEX(SalesforceData!$D$2:$D$36,MATCH(1,($G10=SalesforceData!$A$2:$A$36)*(I$2=SalesforceData!$B$2:'SalesforceData'!$B$36)*(I$3=SalesforceData!$C$2:'SalesforceData'!$C$36),0))),"")</f>
        <v>0</v>
      </c>
      <c r="J10" s="8" cm="1">
        <f t="array" ref="J10">IFERROR(IF(COUNT(INDEX(SalesforceData!$D$2:$D$36,MATCH(1,($G10=SalesforceData!$A$2:$A$36)*(J$2=SalesforceData!$B$2:'SalesforceData'!$B$36)*(J$3=SalesforceData!$C$2:'SalesforceData'!$C$36),0)))=0,INDEX(SalesforceData!$F$2:$F$36,MATCH(1,($G10=SalesforceData!$A$2:$A$36)*(J$2=SalesforceData!$B$2:'SalesforceData'!$B$36) * (J$3=SalesforceData!$E$2:'SalesforceData'!$E$36),0)),INDEX(SalesforceData!$D$2:$D$36,MATCH(1,($G10=SalesforceData!$A$2:$A$36)*(J$2=SalesforceData!$B$2:'SalesforceData'!$B$36)*(J$3=SalesforceData!$C$2:'SalesforceData'!$C$36),0))),"")</f>
        <v>0</v>
      </c>
      <c r="K10" s="8" cm="1">
        <f t="array" ref="K10">IFERROR(IF(COUNT(INDEX(SalesforceData!$D$2:$D$36,MATCH(1,($G10=SalesforceData!$A$2:$A$36)*(K$2=SalesforceData!$B$2:'SalesforceData'!$B$36)*(K$3=SalesforceData!$C$2:'SalesforceData'!$C$36),0)))=0,INDEX(SalesforceData!$F$2:$F$36,MATCH(1,($G10=SalesforceData!$A$2:$A$36)*(K$2=SalesforceData!$B$2:'SalesforceData'!$B$36) * (K$3=SalesforceData!$E$2:'SalesforceData'!$E$36),0)),INDEX(SalesforceData!$D$2:$D$36,MATCH(1,($G10=SalesforceData!$A$2:$A$36)*(K$2=SalesforceData!$B$2:'SalesforceData'!$B$36)*(K$3=SalesforceData!$C$2:'SalesforceData'!$C$36),0))),"")</f>
        <v>0</v>
      </c>
      <c r="L10" s="8" cm="1">
        <f t="array" ref="L10">IFERROR(IF(COUNT(INDEX(SalesforceData!$D$2:$D$36,MATCH(1,($G10=SalesforceData!$A$2:$A$36)*(L$2=SalesforceData!$B$2:'SalesforceData'!$B$36)*(L$3=SalesforceData!$C$2:'SalesforceData'!$C$36),0)))=0,INDEX(SalesforceData!$F$2:$F$36,MATCH(1,($G10=SalesforceData!$A$2:$A$36)*(L$2=SalesforceData!$B$2:'SalesforceData'!$B$36) * (L$3=SalesforceData!$E$2:'SalesforceData'!$E$36),0)),INDEX(SalesforceData!$D$2:$D$36,MATCH(1,($G10=SalesforceData!$A$2:$A$36)*(L$2=SalesforceData!$B$2:'SalesforceData'!$B$36)*(L$3=SalesforceData!$C$2:'SalesforceData'!$C$36),0))),"")</f>
        <v>0</v>
      </c>
      <c r="M10" s="8" cm="1">
        <f t="array" ref="M10">IFERROR(IF(COUNT(INDEX(SalesforceData!$D$2:$D$36,MATCH(1,($G10=SalesforceData!$A$2:$A$36)*(M$2=SalesforceData!$B$2:'SalesforceData'!$B$36)*(M$3=SalesforceData!$C$2:'SalesforceData'!$C$36),0)))=0,INDEX(SalesforceData!$F$2:$F$36,MATCH(1,($G10=SalesforceData!$A$2:$A$36)*(M$2=SalesforceData!$B$2:'SalesforceData'!$B$36) * (M$3=SalesforceData!$E$2:'SalesforceData'!$E$36),0)),INDEX(SalesforceData!$D$2:$D$36,MATCH(1,($G10=SalesforceData!$A$2:$A$36)*(M$2=SalesforceData!$B$2:'SalesforceData'!$B$36)*(M$3=SalesforceData!$C$2:'SalesforceData'!$C$36),0))),"")</f>
        <v>0</v>
      </c>
      <c r="N10" s="8" cm="1">
        <f t="array" ref="N10">IFERROR(IF(COUNT(INDEX(SalesforceData!$D$2:$D$36,MATCH(1,($G10=SalesforceData!$A$2:$A$36)*(N$2=SalesforceData!$B$2:'SalesforceData'!$B$36)*(N$3=SalesforceData!$C$2:'SalesforceData'!$C$36),0)))=0,INDEX(SalesforceData!$F$2:$F$36,MATCH(1,($G10=SalesforceData!$A$2:$A$36)*(N$2=SalesforceData!$B$2:'SalesforceData'!$B$36) * (N$3=SalesforceData!$E$2:'SalesforceData'!$E$36),0)),INDEX(SalesforceData!$D$2:$D$36,MATCH(1,($G10=SalesforceData!$A$2:$A$36)*(N$2=SalesforceData!$B$2:'SalesforceData'!$B$36)*(N$3=SalesforceData!$C$2:'SalesforceData'!$C$36),0))),"")</f>
        <v>0</v>
      </c>
      <c r="O10" s="8" cm="1">
        <f t="array" ref="O10">IFERROR(IF(COUNT(INDEX(SalesforceData!$D$2:$D$36,MATCH(1,($G10=SalesforceData!$A$2:$A$36)*(O$2=SalesforceData!$B$2:'SalesforceData'!$B$36)*(O$3=SalesforceData!$C$2:'SalesforceData'!$C$36),0)))=0,INDEX(SalesforceData!$F$2:$F$36,MATCH(1,($G10=SalesforceData!$A$2:$A$36)*(O$2=SalesforceData!$B$2:'SalesforceData'!$B$36) * (O$3=SalesforceData!$E$2:'SalesforceData'!$E$36),0)),INDEX(SalesforceData!$D$2:$D$36,MATCH(1,($G10=SalesforceData!$A$2:$A$36)*(O$2=SalesforceData!$B$2:'SalesforceData'!$B$36)*(O$3=SalesforceData!$C$2:'SalesforceData'!$C$36),0))),"")</f>
        <v>0</v>
      </c>
      <c r="Q10" s="24"/>
      <c r="S10" t="str" cm="1">
        <f t="array" aca="1" ref="S10" ca="1">IF(CELL("contents",G10)=0,"",CELL("contents",G10))</f>
        <v/>
      </c>
      <c r="T10" t="str" cm="1">
        <f t="array" aca="1" ref="T10" ca="1">IF(CELL("contents",H10)=0,"",CELL("contents",H10))</f>
        <v/>
      </c>
      <c r="U10" t="str" cm="1">
        <f t="array" aca="1" ref="U10" ca="1">IF(CELL("contents",I10)=0,"",CELL("contents",I10))</f>
        <v/>
      </c>
      <c r="V10" t="str" cm="1">
        <f t="array" aca="1" ref="V10" ca="1">IF(CELL("contents",J10)=0,"",CELL("contents",J10))</f>
        <v/>
      </c>
      <c r="W10" t="str" cm="1">
        <f t="array" aca="1" ref="W10" ca="1">IF(CELL("contents",K10)=0,"",CELL("contents",K10))</f>
        <v/>
      </c>
      <c r="X10" t="str" cm="1">
        <f t="array" aca="1" ref="X10" ca="1">IF(CELL("contents",L10)=0,"",CELL("contents",L10))</f>
        <v/>
      </c>
      <c r="Y10" t="str" cm="1">
        <f t="array" aca="1" ref="Y10" ca="1">IF(CELL("contents",M10)=0,"",CELL("contents",M10))</f>
        <v/>
      </c>
      <c r="Z10" t="str" cm="1">
        <f t="array" aca="1" ref="Z10" ca="1">IF(CELL("contents",N10)=0,"",CELL("contents",N10))</f>
        <v/>
      </c>
      <c r="AA10" t="str" cm="1">
        <f t="array" aca="1" ref="AA10" ca="1">IF(CELL("contents",O10)=0,"",CELL("contents",O10))</f>
        <v/>
      </c>
    </row>
    <row r="11" spans="1:28" x14ac:dyDescent="0.35">
      <c r="A11" s="8" t="str" cm="1">
        <f t="array" ref="A11">IF(IFERROR(INDEX(SalesforceData!$A$2:'SalesforceData'!$A$36, MATCH(0, COUNTIF(DataTransformation!$A$2:'DataTransformation'!$A10, SalesforceData!$A$2:'SalesforceData'!$A$36), 0)),"") = 0,"", IFERROR(INDEX(SalesforceData!$A$2:'SalesforceData'!$A$36, MATCH(0, COUNTIF(DataTransformation!$A$2:'DataTransformation'!$A10, SalesforceData!$A$2:'SalesforceData'!$A$36), 0)),""))</f>
        <v/>
      </c>
      <c r="B11" s="8" t="str" cm="1">
        <f t="array" ref="B11">IF(IFERROR(INDEX(SalesforceData!$B$2:'SalesforceData'!$B$36, MATCH(0, COUNTIF(DataTransformation!$B$2:'DataTransformation'!$B10, SalesforceData!$B$2:'SalesforceData'!$B$36), 0)),"") = 0,"", IFERROR(INDEX(SalesforceData!$B$2:'SalesforceData'!$B$36, MATCH(0, COUNTIF(DataTransformation!$B$2:'DataTransformation'!$B10, SalesforceData!$B$2:'SalesforceData'!$B$36), 0)),""))</f>
        <v/>
      </c>
      <c r="D11" t="str">
        <f t="shared" si="0"/>
        <v/>
      </c>
      <c r="E11" s="24"/>
      <c r="G11" s="8" t="str">
        <f t="shared" si="1"/>
        <v/>
      </c>
      <c r="H11" s="8" cm="1">
        <f t="array" ref="H11">IFERROR(IF(COUNT(INDEX(SalesforceData!$D$2:$D$36,MATCH(1,($G11=SalesforceData!$A$2:$A$36)*(H$2=SalesforceData!$B$2:'SalesforceData'!$B$36)*(H$3=SalesforceData!$C$2:'SalesforceData'!$C$36),0)))=0,INDEX(SalesforceData!$F$2:$F$36,MATCH(1,($G11=SalesforceData!$A$2:$A$36)*(H$2=SalesforceData!$B$2:'SalesforceData'!$B$36) * (H$3=SalesforceData!$E$2:'SalesforceData'!$E$36),0)),INDEX(SalesforceData!$D$2:$D$36,MATCH(1,($G11=SalesforceData!$A$2:$A$36)*(H$2=SalesforceData!$B$2:'SalesforceData'!$B$36)*(H$3=SalesforceData!$C$2:'SalesforceData'!$C$36),0))),"")</f>
        <v>0</v>
      </c>
      <c r="I11" s="8" cm="1">
        <f t="array" ref="I11">IFERROR(IF(COUNT(INDEX(SalesforceData!$D$2:$D$36,MATCH(1,($G11=SalesforceData!$A$2:$A$36)*(I$2=SalesforceData!$B$2:'SalesforceData'!$B$36)*(I$3=SalesforceData!$C$2:'SalesforceData'!$C$36),0)))=0,INDEX(SalesforceData!$F$2:$F$36,MATCH(1,($G11=SalesforceData!$A$2:$A$36)*(I$2=SalesforceData!$B$2:'SalesforceData'!$B$36) * (I$3=SalesforceData!$E$2:'SalesforceData'!$E$36),0)),INDEX(SalesforceData!$D$2:$D$36,MATCH(1,($G11=SalesforceData!$A$2:$A$36)*(I$2=SalesforceData!$B$2:'SalesforceData'!$B$36)*(I$3=SalesforceData!$C$2:'SalesforceData'!$C$36),0))),"")</f>
        <v>0</v>
      </c>
      <c r="J11" s="8" cm="1">
        <f t="array" ref="J11">IFERROR(IF(COUNT(INDEX(SalesforceData!$D$2:$D$36,MATCH(1,($G11=SalesforceData!$A$2:$A$36)*(J$2=SalesforceData!$B$2:'SalesforceData'!$B$36)*(J$3=SalesforceData!$C$2:'SalesforceData'!$C$36),0)))=0,INDEX(SalesforceData!$F$2:$F$36,MATCH(1,($G11=SalesforceData!$A$2:$A$36)*(J$2=SalesforceData!$B$2:'SalesforceData'!$B$36) * (J$3=SalesforceData!$E$2:'SalesforceData'!$E$36),0)),INDEX(SalesforceData!$D$2:$D$36,MATCH(1,($G11=SalesforceData!$A$2:$A$36)*(J$2=SalesforceData!$B$2:'SalesforceData'!$B$36)*(J$3=SalesforceData!$C$2:'SalesforceData'!$C$36),0))),"")</f>
        <v>0</v>
      </c>
      <c r="K11" s="8" cm="1">
        <f t="array" ref="K11">IFERROR(IF(COUNT(INDEX(SalesforceData!$D$2:$D$36,MATCH(1,($G11=SalesforceData!$A$2:$A$36)*(K$2=SalesforceData!$B$2:'SalesforceData'!$B$36)*(K$3=SalesforceData!$C$2:'SalesforceData'!$C$36),0)))=0,INDEX(SalesforceData!$F$2:$F$36,MATCH(1,($G11=SalesforceData!$A$2:$A$36)*(K$2=SalesforceData!$B$2:'SalesforceData'!$B$36) * (K$3=SalesforceData!$E$2:'SalesforceData'!$E$36),0)),INDEX(SalesforceData!$D$2:$D$36,MATCH(1,($G11=SalesforceData!$A$2:$A$36)*(K$2=SalesforceData!$B$2:'SalesforceData'!$B$36)*(K$3=SalesforceData!$C$2:'SalesforceData'!$C$36),0))),"")</f>
        <v>0</v>
      </c>
      <c r="L11" s="8" cm="1">
        <f t="array" ref="L11">IFERROR(IF(COUNT(INDEX(SalesforceData!$D$2:$D$36,MATCH(1,($G11=SalesforceData!$A$2:$A$36)*(L$2=SalesforceData!$B$2:'SalesforceData'!$B$36)*(L$3=SalesforceData!$C$2:'SalesforceData'!$C$36),0)))=0,INDEX(SalesforceData!$F$2:$F$36,MATCH(1,($G11=SalesforceData!$A$2:$A$36)*(L$2=SalesforceData!$B$2:'SalesforceData'!$B$36) * (L$3=SalesforceData!$E$2:'SalesforceData'!$E$36),0)),INDEX(SalesforceData!$D$2:$D$36,MATCH(1,($G11=SalesforceData!$A$2:$A$36)*(L$2=SalesforceData!$B$2:'SalesforceData'!$B$36)*(L$3=SalesforceData!$C$2:'SalesforceData'!$C$36),0))),"")</f>
        <v>0</v>
      </c>
      <c r="M11" s="8" cm="1">
        <f t="array" ref="M11">IFERROR(IF(COUNT(INDEX(SalesforceData!$D$2:$D$36,MATCH(1,($G11=SalesforceData!$A$2:$A$36)*(M$2=SalesforceData!$B$2:'SalesforceData'!$B$36)*(M$3=SalesforceData!$C$2:'SalesforceData'!$C$36),0)))=0,INDEX(SalesforceData!$F$2:$F$36,MATCH(1,($G11=SalesforceData!$A$2:$A$36)*(M$2=SalesforceData!$B$2:'SalesforceData'!$B$36) * (M$3=SalesforceData!$E$2:'SalesforceData'!$E$36),0)),INDEX(SalesforceData!$D$2:$D$36,MATCH(1,($G11=SalesforceData!$A$2:$A$36)*(M$2=SalesforceData!$B$2:'SalesforceData'!$B$36)*(M$3=SalesforceData!$C$2:'SalesforceData'!$C$36),0))),"")</f>
        <v>0</v>
      </c>
      <c r="N11" s="8" cm="1">
        <f t="array" ref="N11">IFERROR(IF(COUNT(INDEX(SalesforceData!$D$2:$D$36,MATCH(1,($G11=SalesforceData!$A$2:$A$36)*(N$2=SalesforceData!$B$2:'SalesforceData'!$B$36)*(N$3=SalesforceData!$C$2:'SalesforceData'!$C$36),0)))=0,INDEX(SalesforceData!$F$2:$F$36,MATCH(1,($G11=SalesforceData!$A$2:$A$36)*(N$2=SalesforceData!$B$2:'SalesforceData'!$B$36) * (N$3=SalesforceData!$E$2:'SalesforceData'!$E$36),0)),INDEX(SalesforceData!$D$2:$D$36,MATCH(1,($G11=SalesforceData!$A$2:$A$36)*(N$2=SalesforceData!$B$2:'SalesforceData'!$B$36)*(N$3=SalesforceData!$C$2:'SalesforceData'!$C$36),0))),"")</f>
        <v>0</v>
      </c>
      <c r="O11" s="8" cm="1">
        <f t="array" ref="O11">IFERROR(IF(COUNT(INDEX(SalesforceData!$D$2:$D$36,MATCH(1,($G11=SalesforceData!$A$2:$A$36)*(O$2=SalesforceData!$B$2:'SalesforceData'!$B$36)*(O$3=SalesforceData!$C$2:'SalesforceData'!$C$36),0)))=0,INDEX(SalesforceData!$F$2:$F$36,MATCH(1,($G11=SalesforceData!$A$2:$A$36)*(O$2=SalesforceData!$B$2:'SalesforceData'!$B$36) * (O$3=SalesforceData!$E$2:'SalesforceData'!$E$36),0)),INDEX(SalesforceData!$D$2:$D$36,MATCH(1,($G11=SalesforceData!$A$2:$A$36)*(O$2=SalesforceData!$B$2:'SalesforceData'!$B$36)*(O$3=SalesforceData!$C$2:'SalesforceData'!$C$36),0))),"")</f>
        <v>0</v>
      </c>
      <c r="Q11" s="24"/>
      <c r="S11" t="str" cm="1">
        <f t="array" aca="1" ref="S11" ca="1">IF(CELL("contents",G11)=0,"",CELL("contents",G11))</f>
        <v/>
      </c>
      <c r="T11" t="str" cm="1">
        <f t="array" aca="1" ref="T11" ca="1">IF(CELL("contents",H11)=0,"",CELL("contents",H11))</f>
        <v/>
      </c>
      <c r="U11" t="str" cm="1">
        <f t="array" aca="1" ref="U11" ca="1">IF(CELL("contents",I11)=0,"",CELL("contents",I11))</f>
        <v/>
      </c>
      <c r="V11" t="str" cm="1">
        <f t="array" aca="1" ref="V11" ca="1">IF(CELL("contents",J11)=0,"",CELL("contents",J11))</f>
        <v/>
      </c>
      <c r="W11" t="str" cm="1">
        <f t="array" aca="1" ref="W11" ca="1">IF(CELL("contents",K11)=0,"",CELL("contents",K11))</f>
        <v/>
      </c>
      <c r="X11" t="str" cm="1">
        <f t="array" aca="1" ref="X11" ca="1">IF(CELL("contents",L11)=0,"",CELL("contents",L11))</f>
        <v/>
      </c>
      <c r="Y11" t="str" cm="1">
        <f t="array" aca="1" ref="Y11" ca="1">IF(CELL("contents",M11)=0,"",CELL("contents",M11))</f>
        <v/>
      </c>
      <c r="Z11" t="str" cm="1">
        <f t="array" aca="1" ref="Z11" ca="1">IF(CELL("contents",N11)=0,"",CELL("contents",N11))</f>
        <v/>
      </c>
      <c r="AA11" t="str" cm="1">
        <f t="array" aca="1" ref="AA11" ca="1">IF(CELL("contents",O11)=0,"",CELL("contents",O11))</f>
        <v/>
      </c>
    </row>
    <row r="12" spans="1:28" x14ac:dyDescent="0.35">
      <c r="A12" s="8" t="str" cm="1">
        <f t="array" ref="A12">IF(IFERROR(INDEX(SalesforceData!$A$2:'SalesforceData'!$A$36, MATCH(0, COUNTIF(DataTransformation!$A$2:'DataTransformation'!$A11, SalesforceData!$A$2:'SalesforceData'!$A$36), 0)),"") = 0,"", IFERROR(INDEX(SalesforceData!$A$2:'SalesforceData'!$A$36, MATCH(0, COUNTIF(DataTransformation!$A$2:'DataTransformation'!$A11, SalesforceData!$A$2:'SalesforceData'!$A$36), 0)),""))</f>
        <v/>
      </c>
      <c r="B12" s="8" t="str" cm="1">
        <f t="array" ref="B12">IF(IFERROR(INDEX(SalesforceData!$B$2:'SalesforceData'!$B$36, MATCH(0, COUNTIF(DataTransformation!$B$2:'DataTransformation'!$B11, SalesforceData!$B$2:'SalesforceData'!$B$36), 0)),"") = 0,"", IFERROR(INDEX(SalesforceData!$B$2:'SalesforceData'!$B$36, MATCH(0, COUNTIF(DataTransformation!$B$2:'DataTransformation'!$B11, SalesforceData!$B$2:'SalesforceData'!$B$36), 0)),""))</f>
        <v/>
      </c>
      <c r="E12" s="24"/>
      <c r="G12" s="8" t="str">
        <f t="shared" si="1"/>
        <v/>
      </c>
      <c r="H12" s="8" cm="1">
        <f t="array" ref="H12">IFERROR(IF(COUNT(INDEX(SalesforceData!$D$2:$D$36,MATCH(1,($G12=SalesforceData!$A$2:$A$36)*(H$2=SalesforceData!$B$2:'SalesforceData'!$B$36)*(H$3=SalesforceData!$C$2:'SalesforceData'!$C$36),0)))=0,INDEX(SalesforceData!$F$2:$F$36,MATCH(1,($G12=SalesforceData!$A$2:$A$36)*(H$2=SalesforceData!$B$2:'SalesforceData'!$B$36) * (H$3=SalesforceData!$E$2:'SalesforceData'!$E$36),0)),INDEX(SalesforceData!$D$2:$D$36,MATCH(1,($G12=SalesforceData!$A$2:$A$36)*(H$2=SalesforceData!$B$2:'SalesforceData'!$B$36)*(H$3=SalesforceData!$C$2:'SalesforceData'!$C$36),0))),"")</f>
        <v>0</v>
      </c>
      <c r="I12" s="8" cm="1">
        <f t="array" ref="I12">IFERROR(IF(COUNT(INDEX(SalesforceData!$D$2:$D$36,MATCH(1,($G12=SalesforceData!$A$2:$A$36)*(I$2=SalesforceData!$B$2:'SalesforceData'!$B$36)*(I$3=SalesforceData!$C$2:'SalesforceData'!$C$36),0)))=0,INDEX(SalesforceData!$F$2:$F$36,MATCH(1,($G12=SalesforceData!$A$2:$A$36)*(I$2=SalesforceData!$B$2:'SalesforceData'!$B$36) * (I$3=SalesforceData!$E$2:'SalesforceData'!$E$36),0)),INDEX(SalesforceData!$D$2:$D$36,MATCH(1,($G12=SalesforceData!$A$2:$A$36)*(I$2=SalesforceData!$B$2:'SalesforceData'!$B$36)*(I$3=SalesforceData!$C$2:'SalesforceData'!$C$36),0))),"")</f>
        <v>0</v>
      </c>
      <c r="J12" s="8" cm="1">
        <f t="array" ref="J12">IFERROR(IF(COUNT(INDEX(SalesforceData!$D$2:$D$36,MATCH(1,($G12=SalesforceData!$A$2:$A$36)*(J$2=SalesforceData!$B$2:'SalesforceData'!$B$36)*(J$3=SalesforceData!$C$2:'SalesforceData'!$C$36),0)))=0,INDEX(SalesforceData!$F$2:$F$36,MATCH(1,($G12=SalesforceData!$A$2:$A$36)*(J$2=SalesforceData!$B$2:'SalesforceData'!$B$36) * (J$3=SalesforceData!$E$2:'SalesforceData'!$E$36),0)),INDEX(SalesforceData!$D$2:$D$36,MATCH(1,($G12=SalesforceData!$A$2:$A$36)*(J$2=SalesforceData!$B$2:'SalesforceData'!$B$36)*(J$3=SalesforceData!$C$2:'SalesforceData'!$C$36),0))),"")</f>
        <v>0</v>
      </c>
      <c r="K12" s="8" cm="1">
        <f t="array" ref="K12">IFERROR(IF(COUNT(INDEX(SalesforceData!$D$2:$D$36,MATCH(1,($G12=SalesforceData!$A$2:$A$36)*(K$2=SalesforceData!$B$2:'SalesforceData'!$B$36)*(K$3=SalesforceData!$C$2:'SalesforceData'!$C$36),0)))=0,INDEX(SalesforceData!$F$2:$F$36,MATCH(1,($G12=SalesforceData!$A$2:$A$36)*(K$2=SalesforceData!$B$2:'SalesforceData'!$B$36) * (K$3=SalesforceData!$E$2:'SalesforceData'!$E$36),0)),INDEX(SalesforceData!$D$2:$D$36,MATCH(1,($G12=SalesforceData!$A$2:$A$36)*(K$2=SalesforceData!$B$2:'SalesforceData'!$B$36)*(K$3=SalesforceData!$C$2:'SalesforceData'!$C$36),0))),"")</f>
        <v>0</v>
      </c>
      <c r="L12" s="8" cm="1">
        <f t="array" ref="L12">IFERROR(IF(COUNT(INDEX(SalesforceData!$D$2:$D$36,MATCH(1,($G12=SalesforceData!$A$2:$A$36)*(L$2=SalesforceData!$B$2:'SalesforceData'!$B$36)*(L$3=SalesforceData!$C$2:'SalesforceData'!$C$36),0)))=0,INDEX(SalesforceData!$F$2:$F$36,MATCH(1,($G12=SalesforceData!$A$2:$A$36)*(L$2=SalesforceData!$B$2:'SalesforceData'!$B$36) * (L$3=SalesforceData!$E$2:'SalesforceData'!$E$36),0)),INDEX(SalesforceData!$D$2:$D$36,MATCH(1,($G12=SalesforceData!$A$2:$A$36)*(L$2=SalesforceData!$B$2:'SalesforceData'!$B$36)*(L$3=SalesforceData!$C$2:'SalesforceData'!$C$36),0))),"")</f>
        <v>0</v>
      </c>
      <c r="M12" s="8" cm="1">
        <f t="array" ref="M12">IFERROR(IF(COUNT(INDEX(SalesforceData!$D$2:$D$36,MATCH(1,($G12=SalesforceData!$A$2:$A$36)*(M$2=SalesforceData!$B$2:'SalesforceData'!$B$36)*(M$3=SalesforceData!$C$2:'SalesforceData'!$C$36),0)))=0,INDEX(SalesforceData!$F$2:$F$36,MATCH(1,($G12=SalesforceData!$A$2:$A$36)*(M$2=SalesforceData!$B$2:'SalesforceData'!$B$36) * (M$3=SalesforceData!$E$2:'SalesforceData'!$E$36),0)),INDEX(SalesforceData!$D$2:$D$36,MATCH(1,($G12=SalesforceData!$A$2:$A$36)*(M$2=SalesforceData!$B$2:'SalesforceData'!$B$36)*(M$3=SalesforceData!$C$2:'SalesforceData'!$C$36),0))),"")</f>
        <v>0</v>
      </c>
      <c r="N12" s="8" cm="1">
        <f t="array" ref="N12">IFERROR(IF(COUNT(INDEX(SalesforceData!$D$2:$D$36,MATCH(1,($G12=SalesforceData!$A$2:$A$36)*(N$2=SalesforceData!$B$2:'SalesforceData'!$B$36)*(N$3=SalesforceData!$C$2:'SalesforceData'!$C$36),0)))=0,INDEX(SalesforceData!$F$2:$F$36,MATCH(1,($G12=SalesforceData!$A$2:$A$36)*(N$2=SalesforceData!$B$2:'SalesforceData'!$B$36) * (N$3=SalesforceData!$E$2:'SalesforceData'!$E$36),0)),INDEX(SalesforceData!$D$2:$D$36,MATCH(1,($G12=SalesforceData!$A$2:$A$36)*(N$2=SalesforceData!$B$2:'SalesforceData'!$B$36)*(N$3=SalesforceData!$C$2:'SalesforceData'!$C$36),0))),"")</f>
        <v>0</v>
      </c>
      <c r="O12" s="8" cm="1">
        <f t="array" ref="O12">IFERROR(IF(COUNT(INDEX(SalesforceData!$D$2:$D$36,MATCH(1,($G12=SalesforceData!$A$2:$A$36)*(O$2=SalesforceData!$B$2:'SalesforceData'!$B$36)*(O$3=SalesforceData!$C$2:'SalesforceData'!$C$36),0)))=0,INDEX(SalesforceData!$F$2:$F$36,MATCH(1,($G12=SalesforceData!$A$2:$A$36)*(O$2=SalesforceData!$B$2:'SalesforceData'!$B$36) * (O$3=SalesforceData!$E$2:'SalesforceData'!$E$36),0)),INDEX(SalesforceData!$D$2:$D$36,MATCH(1,($G12=SalesforceData!$A$2:$A$36)*(O$2=SalesforceData!$B$2:'SalesforceData'!$B$36)*(O$3=SalesforceData!$C$2:'SalesforceData'!$C$36),0))),"")</f>
        <v>0</v>
      </c>
      <c r="Q12" s="24"/>
      <c r="S12" t="str" cm="1">
        <f t="array" aca="1" ref="S12" ca="1">IF(CELL("contents",G12)=0,"",CELL("contents",G12))</f>
        <v/>
      </c>
      <c r="T12" t="str" cm="1">
        <f t="array" aca="1" ref="T12" ca="1">IF(CELL("contents",H12)=0,"",CELL("contents",H12))</f>
        <v/>
      </c>
      <c r="U12" t="str" cm="1">
        <f t="array" aca="1" ref="U12" ca="1">IF(CELL("contents",I12)=0,"",CELL("contents",I12))</f>
        <v/>
      </c>
      <c r="V12" t="str" cm="1">
        <f t="array" aca="1" ref="V12" ca="1">IF(CELL("contents",J12)=0,"",CELL("contents",J12))</f>
        <v/>
      </c>
      <c r="W12" t="str" cm="1">
        <f t="array" aca="1" ref="W12" ca="1">IF(CELL("contents",K12)=0,"",CELL("contents",K12))</f>
        <v/>
      </c>
      <c r="X12" t="str" cm="1">
        <f t="array" aca="1" ref="X12" ca="1">IF(CELL("contents",L12)=0,"",CELL("contents",L12))</f>
        <v/>
      </c>
      <c r="Y12" t="str" cm="1">
        <f t="array" aca="1" ref="Y12" ca="1">IF(CELL("contents",M12)=0,"",CELL("contents",M12))</f>
        <v/>
      </c>
      <c r="Z12" t="str" cm="1">
        <f t="array" aca="1" ref="Z12" ca="1">IF(CELL("contents",N12)=0,"",CELL("contents",N12))</f>
        <v/>
      </c>
      <c r="AA12" t="str" cm="1">
        <f t="array" aca="1" ref="AA12" ca="1">IF(CELL("contents",O12)=0,"",CELL("contents",O12))</f>
        <v/>
      </c>
    </row>
    <row r="13" spans="1:28" x14ac:dyDescent="0.35">
      <c r="A13" s="8" t="str" cm="1">
        <f t="array" ref="A13">IF(IFERROR(INDEX(SalesforceData!$A$2:'SalesforceData'!$A$36, MATCH(0, COUNTIF(DataTransformation!$A$2:'DataTransformation'!$A12, SalesforceData!$A$2:'SalesforceData'!$A$36), 0)),"") = 0,"", IFERROR(INDEX(SalesforceData!$A$2:'SalesforceData'!$A$36, MATCH(0, COUNTIF(DataTransformation!$A$2:'DataTransformation'!$A12, SalesforceData!$A$2:'SalesforceData'!$A$36), 0)),""))</f>
        <v/>
      </c>
      <c r="B13" s="8" t="str" cm="1">
        <f t="array" ref="B13">IF(IFERROR(INDEX(SalesforceData!$B$2:'SalesforceData'!$B$36, MATCH(0, COUNTIF(DataTransformation!$B$2:'DataTransformation'!$B12, SalesforceData!$B$2:'SalesforceData'!$B$36), 0)),"") = 0,"", IFERROR(INDEX(SalesforceData!$B$2:'SalesforceData'!$B$36, MATCH(0, COUNTIF(DataTransformation!$B$2:'DataTransformation'!$B12, SalesforceData!$B$2:'SalesforceData'!$B$36), 0)),""))</f>
        <v/>
      </c>
      <c r="E13" s="9"/>
      <c r="G13" s="8" t="str">
        <f t="shared" si="1"/>
        <v/>
      </c>
      <c r="H13" s="8" cm="1">
        <f t="array" ref="H13">IFERROR(IF(COUNT(INDEX(SalesforceData!$D$2:$D$36,MATCH(1,($G13=SalesforceData!$A$2:$A$36)*(H$2=SalesforceData!$B$2:'SalesforceData'!$B$36)*(H$3=SalesforceData!$C$2:'SalesforceData'!$C$36),0)))=0,INDEX(SalesforceData!$F$2:$F$36,MATCH(1,($G13=SalesforceData!$A$2:$A$36)*(H$2=SalesforceData!$B$2:'SalesforceData'!$B$36) * (H$3=SalesforceData!$E$2:'SalesforceData'!$E$36),0)),INDEX(SalesforceData!$D$2:$D$36,MATCH(1,($G13=SalesforceData!$A$2:$A$36)*(H$2=SalesforceData!$B$2:'SalesforceData'!$B$36)*(H$3=SalesforceData!$C$2:'SalesforceData'!$C$36),0))),"")</f>
        <v>0</v>
      </c>
      <c r="I13" s="8" cm="1">
        <f t="array" ref="I13">IFERROR(IF(COUNT(INDEX(SalesforceData!$D$2:$D$36,MATCH(1,($G13=SalesforceData!$A$2:$A$36)*(I$2=SalesforceData!$B$2:'SalesforceData'!$B$36)*(I$3=SalesforceData!$C$2:'SalesforceData'!$C$36),0)))=0,INDEX(SalesforceData!$F$2:$F$36,MATCH(1,($G13=SalesforceData!$A$2:$A$36)*(I$2=SalesforceData!$B$2:'SalesforceData'!$B$36) * (I$3=SalesforceData!$E$2:'SalesforceData'!$E$36),0)),INDEX(SalesforceData!$D$2:$D$36,MATCH(1,($G13=SalesforceData!$A$2:$A$36)*(I$2=SalesforceData!$B$2:'SalesforceData'!$B$36)*(I$3=SalesforceData!$C$2:'SalesforceData'!$C$36),0))),"")</f>
        <v>0</v>
      </c>
      <c r="J13" s="8" cm="1">
        <f t="array" ref="J13">IFERROR(IF(COUNT(INDEX(SalesforceData!$D$2:$D$36,MATCH(1,($G13=SalesforceData!$A$2:$A$36)*(J$2=SalesforceData!$B$2:'SalesforceData'!$B$36)*(J$3=SalesforceData!$C$2:'SalesforceData'!$C$36),0)))=0,INDEX(SalesforceData!$F$2:$F$36,MATCH(1,($G13=SalesforceData!$A$2:$A$36)*(J$2=SalesforceData!$B$2:'SalesforceData'!$B$36) * (J$3=SalesforceData!$E$2:'SalesforceData'!$E$36),0)),INDEX(SalesforceData!$D$2:$D$36,MATCH(1,($G13=SalesforceData!$A$2:$A$36)*(J$2=SalesforceData!$B$2:'SalesforceData'!$B$36)*(J$3=SalesforceData!$C$2:'SalesforceData'!$C$36),0))),"")</f>
        <v>0</v>
      </c>
      <c r="K13" s="8" cm="1">
        <f t="array" ref="K13">IFERROR(IF(COUNT(INDEX(SalesforceData!$D$2:$D$36,MATCH(1,($G13=SalesforceData!$A$2:$A$36)*(K$2=SalesforceData!$B$2:'SalesforceData'!$B$36)*(K$3=SalesforceData!$C$2:'SalesforceData'!$C$36),0)))=0,INDEX(SalesforceData!$F$2:$F$36,MATCH(1,($G13=SalesforceData!$A$2:$A$36)*(K$2=SalesforceData!$B$2:'SalesforceData'!$B$36) * (K$3=SalesforceData!$E$2:'SalesforceData'!$E$36),0)),INDEX(SalesforceData!$D$2:$D$36,MATCH(1,($G13=SalesforceData!$A$2:$A$36)*(K$2=SalesforceData!$B$2:'SalesforceData'!$B$36)*(K$3=SalesforceData!$C$2:'SalesforceData'!$C$36),0))),"")</f>
        <v>0</v>
      </c>
      <c r="L13" s="8" cm="1">
        <f t="array" ref="L13">IFERROR(IF(COUNT(INDEX(SalesforceData!$D$2:$D$36,MATCH(1,($G13=SalesforceData!$A$2:$A$36)*(L$2=SalesforceData!$B$2:'SalesforceData'!$B$36)*(L$3=SalesforceData!$C$2:'SalesforceData'!$C$36),0)))=0,INDEX(SalesforceData!$F$2:$F$36,MATCH(1,($G13=SalesforceData!$A$2:$A$36)*(L$2=SalesforceData!$B$2:'SalesforceData'!$B$36) * (L$3=SalesforceData!$E$2:'SalesforceData'!$E$36),0)),INDEX(SalesforceData!$D$2:$D$36,MATCH(1,($G13=SalesforceData!$A$2:$A$36)*(L$2=SalesforceData!$B$2:'SalesforceData'!$B$36)*(L$3=SalesforceData!$C$2:'SalesforceData'!$C$36),0))),"")</f>
        <v>0</v>
      </c>
      <c r="M13" s="8" cm="1">
        <f t="array" ref="M13">IFERROR(IF(COUNT(INDEX(SalesforceData!$D$2:$D$36,MATCH(1,($G13=SalesforceData!$A$2:$A$36)*(M$2=SalesforceData!$B$2:'SalesforceData'!$B$36)*(M$3=SalesforceData!$C$2:'SalesforceData'!$C$36),0)))=0,INDEX(SalesforceData!$F$2:$F$36,MATCH(1,($G13=SalesforceData!$A$2:$A$36)*(M$2=SalesforceData!$B$2:'SalesforceData'!$B$36) * (M$3=SalesforceData!$E$2:'SalesforceData'!$E$36),0)),INDEX(SalesforceData!$D$2:$D$36,MATCH(1,($G13=SalesforceData!$A$2:$A$36)*(M$2=SalesforceData!$B$2:'SalesforceData'!$B$36)*(M$3=SalesforceData!$C$2:'SalesforceData'!$C$36),0))),"")</f>
        <v>0</v>
      </c>
      <c r="N13" s="8" cm="1">
        <f t="array" ref="N13">IFERROR(IF(COUNT(INDEX(SalesforceData!$D$2:$D$36,MATCH(1,($G13=SalesforceData!$A$2:$A$36)*(N$2=SalesforceData!$B$2:'SalesforceData'!$B$36)*(N$3=SalesforceData!$C$2:'SalesforceData'!$C$36),0)))=0,INDEX(SalesforceData!$F$2:$F$36,MATCH(1,($G13=SalesforceData!$A$2:$A$36)*(N$2=SalesforceData!$B$2:'SalesforceData'!$B$36) * (N$3=SalesforceData!$E$2:'SalesforceData'!$E$36),0)),INDEX(SalesforceData!$D$2:$D$36,MATCH(1,($G13=SalesforceData!$A$2:$A$36)*(N$2=SalesforceData!$B$2:'SalesforceData'!$B$36)*(N$3=SalesforceData!$C$2:'SalesforceData'!$C$36),0))),"")</f>
        <v>0</v>
      </c>
      <c r="O13" s="8" cm="1">
        <f t="array" ref="O13">IFERROR(IF(COUNT(INDEX(SalesforceData!$D$2:$D$36,MATCH(1,($G13=SalesforceData!$A$2:$A$36)*(O$2=SalesforceData!$B$2:'SalesforceData'!$B$36)*(O$3=SalesforceData!$C$2:'SalesforceData'!$C$36),0)))=0,INDEX(SalesforceData!$F$2:$F$36,MATCH(1,($G13=SalesforceData!$A$2:$A$36)*(O$2=SalesforceData!$B$2:'SalesforceData'!$B$36) * (O$3=SalesforceData!$E$2:'SalesforceData'!$E$36),0)),INDEX(SalesforceData!$D$2:$D$36,MATCH(1,($G13=SalesforceData!$A$2:$A$36)*(O$2=SalesforceData!$B$2:'SalesforceData'!$B$36)*(O$3=SalesforceData!$C$2:'SalesforceData'!$C$36),0))),"")</f>
        <v>0</v>
      </c>
      <c r="Q13" s="9"/>
      <c r="S13" t="str" cm="1">
        <f t="array" aca="1" ref="S13" ca="1">IF(CELL("contents",G13)=0,"",CELL("contents",G13))</f>
        <v/>
      </c>
      <c r="T13" t="str" cm="1">
        <f t="array" aca="1" ref="T13" ca="1">IF(CELL("contents",H13)=0,"",CELL("contents",H13))</f>
        <v/>
      </c>
      <c r="U13" t="str" cm="1">
        <f t="array" aca="1" ref="U13" ca="1">IF(CELL("contents",I13)=0,"",CELL("contents",I13))</f>
        <v/>
      </c>
      <c r="V13" t="str" cm="1">
        <f t="array" aca="1" ref="V13" ca="1">IF(CELL("contents",J13)=0,"",CELL("contents",J13))</f>
        <v/>
      </c>
      <c r="W13" t="str" cm="1">
        <f t="array" aca="1" ref="W13" ca="1">IF(CELL("contents",K13)=0,"",CELL("contents",K13))</f>
        <v/>
      </c>
      <c r="X13" t="str" cm="1">
        <f t="array" aca="1" ref="X13" ca="1">IF(CELL("contents",L13)=0,"",CELL("contents",L13))</f>
        <v/>
      </c>
      <c r="Y13" t="str" cm="1">
        <f t="array" aca="1" ref="Y13" ca="1">IF(CELL("contents",M13)=0,"",CELL("contents",M13))</f>
        <v/>
      </c>
      <c r="Z13" t="str" cm="1">
        <f t="array" aca="1" ref="Z13" ca="1">IF(CELL("contents",N13)=0,"",CELL("contents",N13))</f>
        <v/>
      </c>
      <c r="AA13" t="str" cm="1">
        <f t="array" aca="1" ref="AA13" ca="1">IF(CELL("contents",O13)=0,"",CELL("contents",O13))</f>
        <v/>
      </c>
    </row>
    <row r="14" spans="1:28" x14ac:dyDescent="0.35">
      <c r="A14" s="8" t="str" cm="1">
        <f t="array" ref="A14">IF(IFERROR(INDEX(SalesforceData!$A$2:'SalesforceData'!$A$36, MATCH(0, COUNTIF(DataTransformation!$A$2:'DataTransformation'!$A13, SalesforceData!$A$2:'SalesforceData'!$A$36), 0)),"") = 0,"", IFERROR(INDEX(SalesforceData!$A$2:'SalesforceData'!$A$36, MATCH(0, COUNTIF(DataTransformation!$A$2:'DataTransformation'!$A13, SalesforceData!$A$2:'SalesforceData'!$A$36), 0)),""))</f>
        <v/>
      </c>
      <c r="B14" s="8" t="str" cm="1">
        <f t="array" ref="B14">IF(IFERROR(INDEX(SalesforceData!$B$2:'SalesforceData'!$B$36, MATCH(0, COUNTIF(DataTransformation!$B$2:'DataTransformation'!$B13, SalesforceData!$B$2:'SalesforceData'!$B$36), 0)),"") = 0,"", IFERROR(INDEX(SalesforceData!$B$2:'SalesforceData'!$B$36, MATCH(0, COUNTIF(DataTransformation!$B$2:'DataTransformation'!$B13, SalesforceData!$B$2:'SalesforceData'!$B$36), 0)),""))</f>
        <v/>
      </c>
      <c r="E14" s="9"/>
      <c r="G14" s="8" t="str">
        <f t="shared" si="1"/>
        <v/>
      </c>
      <c r="H14" s="8" cm="1">
        <f t="array" ref="H14">IFERROR(IF(COUNT(INDEX(SalesforceData!$D$2:$D$36,MATCH(1,($G14=SalesforceData!$A$2:$A$36)*(H$2=SalesforceData!$B$2:'SalesforceData'!$B$36)*(H$3=SalesforceData!$C$2:'SalesforceData'!$C$36),0)))=0,INDEX(SalesforceData!$F$2:$F$36,MATCH(1,($G14=SalesforceData!$A$2:$A$36)*(H$2=SalesforceData!$B$2:'SalesforceData'!$B$36) * (H$3=SalesforceData!$E$2:'SalesforceData'!$E$36),0)),INDEX(SalesforceData!$D$2:$D$36,MATCH(1,($G14=SalesforceData!$A$2:$A$36)*(H$2=SalesforceData!$B$2:'SalesforceData'!$B$36)*(H$3=SalesforceData!$C$2:'SalesforceData'!$C$36),0))),"")</f>
        <v>0</v>
      </c>
      <c r="I14" s="8" cm="1">
        <f t="array" ref="I14">IFERROR(IF(COUNT(INDEX(SalesforceData!$D$2:$D$36,MATCH(1,($G14=SalesforceData!$A$2:$A$36)*(I$2=SalesforceData!$B$2:'SalesforceData'!$B$36)*(I$3=SalesforceData!$C$2:'SalesforceData'!$C$36),0)))=0,INDEX(SalesforceData!$F$2:$F$36,MATCH(1,($G14=SalesforceData!$A$2:$A$36)*(I$2=SalesforceData!$B$2:'SalesforceData'!$B$36) * (I$3=SalesforceData!$E$2:'SalesforceData'!$E$36),0)),INDEX(SalesforceData!$D$2:$D$36,MATCH(1,($G14=SalesforceData!$A$2:$A$36)*(I$2=SalesforceData!$B$2:'SalesforceData'!$B$36)*(I$3=SalesforceData!$C$2:'SalesforceData'!$C$36),0))),"")</f>
        <v>0</v>
      </c>
      <c r="J14" s="8" cm="1">
        <f t="array" ref="J14">IFERROR(IF(COUNT(INDEX(SalesforceData!$D$2:$D$36,MATCH(1,($G14=SalesforceData!$A$2:$A$36)*(J$2=SalesforceData!$B$2:'SalesforceData'!$B$36)*(J$3=SalesforceData!$C$2:'SalesforceData'!$C$36),0)))=0,INDEX(SalesforceData!$F$2:$F$36,MATCH(1,($G14=SalesforceData!$A$2:$A$36)*(J$2=SalesforceData!$B$2:'SalesforceData'!$B$36) * (J$3=SalesforceData!$E$2:'SalesforceData'!$E$36),0)),INDEX(SalesforceData!$D$2:$D$36,MATCH(1,($G14=SalesforceData!$A$2:$A$36)*(J$2=SalesforceData!$B$2:'SalesforceData'!$B$36)*(J$3=SalesforceData!$C$2:'SalesforceData'!$C$36),0))),"")</f>
        <v>0</v>
      </c>
      <c r="K14" s="8" cm="1">
        <f t="array" ref="K14">IFERROR(IF(COUNT(INDEX(SalesforceData!$D$2:$D$36,MATCH(1,($G14=SalesforceData!$A$2:$A$36)*(K$2=SalesforceData!$B$2:'SalesforceData'!$B$36)*(K$3=SalesforceData!$C$2:'SalesforceData'!$C$36),0)))=0,INDEX(SalesforceData!$F$2:$F$36,MATCH(1,($G14=SalesforceData!$A$2:$A$36)*(K$2=SalesforceData!$B$2:'SalesforceData'!$B$36) * (K$3=SalesforceData!$E$2:'SalesforceData'!$E$36),0)),INDEX(SalesforceData!$D$2:$D$36,MATCH(1,($G14=SalesforceData!$A$2:$A$36)*(K$2=SalesforceData!$B$2:'SalesforceData'!$B$36)*(K$3=SalesforceData!$C$2:'SalesforceData'!$C$36),0))),"")</f>
        <v>0</v>
      </c>
      <c r="L14" s="8" cm="1">
        <f t="array" ref="L14">IFERROR(IF(COUNT(INDEX(SalesforceData!$D$2:$D$36,MATCH(1,($G14=SalesforceData!$A$2:$A$36)*(L$2=SalesforceData!$B$2:'SalesforceData'!$B$36)*(L$3=SalesforceData!$C$2:'SalesforceData'!$C$36),0)))=0,INDEX(SalesforceData!$F$2:$F$36,MATCH(1,($G14=SalesforceData!$A$2:$A$36)*(L$2=SalesforceData!$B$2:'SalesforceData'!$B$36) * (L$3=SalesforceData!$E$2:'SalesforceData'!$E$36),0)),INDEX(SalesforceData!$D$2:$D$36,MATCH(1,($G14=SalesforceData!$A$2:$A$36)*(L$2=SalesforceData!$B$2:'SalesforceData'!$B$36)*(L$3=SalesforceData!$C$2:'SalesforceData'!$C$36),0))),"")</f>
        <v>0</v>
      </c>
      <c r="M14" s="8" cm="1">
        <f t="array" ref="M14">IFERROR(IF(COUNT(INDEX(SalesforceData!$D$2:$D$36,MATCH(1,($G14=SalesforceData!$A$2:$A$36)*(M$2=SalesforceData!$B$2:'SalesforceData'!$B$36)*(M$3=SalesforceData!$C$2:'SalesforceData'!$C$36),0)))=0,INDEX(SalesforceData!$F$2:$F$36,MATCH(1,($G14=SalesforceData!$A$2:$A$36)*(M$2=SalesforceData!$B$2:'SalesforceData'!$B$36) * (M$3=SalesforceData!$E$2:'SalesforceData'!$E$36),0)),INDEX(SalesforceData!$D$2:$D$36,MATCH(1,($G14=SalesforceData!$A$2:$A$36)*(M$2=SalesforceData!$B$2:'SalesforceData'!$B$36)*(M$3=SalesforceData!$C$2:'SalesforceData'!$C$36),0))),"")</f>
        <v>0</v>
      </c>
      <c r="N14" s="8" cm="1">
        <f t="array" ref="N14">IFERROR(IF(COUNT(INDEX(SalesforceData!$D$2:$D$36,MATCH(1,($G14=SalesforceData!$A$2:$A$36)*(N$2=SalesforceData!$B$2:'SalesforceData'!$B$36)*(N$3=SalesforceData!$C$2:'SalesforceData'!$C$36),0)))=0,INDEX(SalesforceData!$F$2:$F$36,MATCH(1,($G14=SalesforceData!$A$2:$A$36)*(N$2=SalesforceData!$B$2:'SalesforceData'!$B$36) * (N$3=SalesforceData!$E$2:'SalesforceData'!$E$36),0)),INDEX(SalesforceData!$D$2:$D$36,MATCH(1,($G14=SalesforceData!$A$2:$A$36)*(N$2=SalesforceData!$B$2:'SalesforceData'!$B$36)*(N$3=SalesforceData!$C$2:'SalesforceData'!$C$36),0))),"")</f>
        <v>0</v>
      </c>
      <c r="O14" s="8" cm="1">
        <f t="array" ref="O14">IFERROR(IF(COUNT(INDEX(SalesforceData!$D$2:$D$36,MATCH(1,($G14=SalesforceData!$A$2:$A$36)*(O$2=SalesforceData!$B$2:'SalesforceData'!$B$36)*(O$3=SalesforceData!$C$2:'SalesforceData'!$C$36),0)))=0,INDEX(SalesforceData!$F$2:$F$36,MATCH(1,($G14=SalesforceData!$A$2:$A$36)*(O$2=SalesforceData!$B$2:'SalesforceData'!$B$36) * (O$3=SalesforceData!$E$2:'SalesforceData'!$E$36),0)),INDEX(SalesforceData!$D$2:$D$36,MATCH(1,($G14=SalesforceData!$A$2:$A$36)*(O$2=SalesforceData!$B$2:'SalesforceData'!$B$36)*(O$3=SalesforceData!$C$2:'SalesforceData'!$C$36),0))),"")</f>
        <v>0</v>
      </c>
      <c r="Q14" s="9"/>
      <c r="S14" t="str" cm="1">
        <f t="array" aca="1" ref="S14" ca="1">IF(CELL("contents",G14)=0,"",CELL("contents",G14))</f>
        <v/>
      </c>
      <c r="T14" t="str" cm="1">
        <f t="array" aca="1" ref="T14" ca="1">IF(CELL("contents",H14)=0,"",CELL("contents",H14))</f>
        <v/>
      </c>
      <c r="U14" t="str" cm="1">
        <f t="array" aca="1" ref="U14" ca="1">IF(CELL("contents",I14)=0,"",CELL("contents",I14))</f>
        <v/>
      </c>
      <c r="V14" t="str" cm="1">
        <f t="array" aca="1" ref="V14" ca="1">IF(CELL("contents",J14)=0,"",CELL("contents",J14))</f>
        <v/>
      </c>
      <c r="W14" t="str" cm="1">
        <f t="array" aca="1" ref="W14" ca="1">IF(CELL("contents",K14)=0,"",CELL("contents",K14))</f>
        <v/>
      </c>
      <c r="X14" t="str" cm="1">
        <f t="array" aca="1" ref="X14" ca="1">IF(CELL("contents",L14)=0,"",CELL("contents",L14))</f>
        <v/>
      </c>
      <c r="Y14" t="str" cm="1">
        <f t="array" aca="1" ref="Y14" ca="1">IF(CELL("contents",M14)=0,"",CELL("contents",M14))</f>
        <v/>
      </c>
      <c r="Z14" t="str" cm="1">
        <f t="array" aca="1" ref="Z14" ca="1">IF(CELL("contents",N14)=0,"",CELL("contents",N14))</f>
        <v/>
      </c>
      <c r="AA14" t="str" cm="1">
        <f t="array" aca="1" ref="AA14" ca="1">IF(CELL("contents",O14)=0,"",CELL("contents",O14))</f>
        <v/>
      </c>
    </row>
    <row r="15" spans="1:28" x14ac:dyDescent="0.35">
      <c r="A15" s="8" t="str" cm="1">
        <f t="array" ref="A15">IF(IFERROR(INDEX(SalesforceData!$A$2:'SalesforceData'!$A$36, MATCH(0, COUNTIF(DataTransformation!$A$2:'DataTransformation'!$A14, SalesforceData!$A$2:'SalesforceData'!$A$36), 0)),"") = 0,"", IFERROR(INDEX(SalesforceData!$A$2:'SalesforceData'!$A$36, MATCH(0, COUNTIF(DataTransformation!$A$2:'DataTransformation'!$A14, SalesforceData!$A$2:'SalesforceData'!$A$36), 0)),""))</f>
        <v/>
      </c>
      <c r="B15" s="8" t="str" cm="1">
        <f t="array" ref="B15">IF(IFERROR(INDEX(SalesforceData!$B$2:'SalesforceData'!$B$36, MATCH(0, COUNTIF(DataTransformation!$B$2:'DataTransformation'!$B14, SalesforceData!$B$2:'SalesforceData'!$B$36), 0)),"") = 0,"", IFERROR(INDEX(SalesforceData!$B$2:'SalesforceData'!$B$36, MATCH(0, COUNTIF(DataTransformation!$B$2:'DataTransformation'!$B14, SalesforceData!$B$2:'SalesforceData'!$B$36), 0)),""))</f>
        <v/>
      </c>
      <c r="E15" s="9"/>
      <c r="G15" s="8" t="str">
        <f t="shared" si="1"/>
        <v/>
      </c>
      <c r="H15" s="8" cm="1">
        <f t="array" ref="H15">IFERROR(IF(COUNT(INDEX(SalesforceData!$D$2:$D$36,MATCH(1,($G15=SalesforceData!$A$2:$A$36)*(H$2=SalesforceData!$B$2:'SalesforceData'!$B$36)*(H$3=SalesforceData!$C$2:'SalesforceData'!$C$36),0)))=0,INDEX(SalesforceData!$F$2:$F$36,MATCH(1,($G15=SalesforceData!$A$2:$A$36)*(H$2=SalesforceData!$B$2:'SalesforceData'!$B$36) * (H$3=SalesforceData!$E$2:'SalesforceData'!$E$36),0)),INDEX(SalesforceData!$D$2:$D$36,MATCH(1,($G15=SalesforceData!$A$2:$A$36)*(H$2=SalesforceData!$B$2:'SalesforceData'!$B$36)*(H$3=SalesforceData!$C$2:'SalesforceData'!$C$36),0))),"")</f>
        <v>0</v>
      </c>
      <c r="I15" s="8" cm="1">
        <f t="array" ref="I15">IFERROR(IF(COUNT(INDEX(SalesforceData!$D$2:$D$36,MATCH(1,($G15=SalesforceData!$A$2:$A$36)*(I$2=SalesforceData!$B$2:'SalesforceData'!$B$36)*(I$3=SalesforceData!$C$2:'SalesforceData'!$C$36),0)))=0,INDEX(SalesforceData!$F$2:$F$36,MATCH(1,($G15=SalesforceData!$A$2:$A$36)*(I$2=SalesforceData!$B$2:'SalesforceData'!$B$36) * (I$3=SalesforceData!$E$2:'SalesforceData'!$E$36),0)),INDEX(SalesforceData!$D$2:$D$36,MATCH(1,($G15=SalesforceData!$A$2:$A$36)*(I$2=SalesforceData!$B$2:'SalesforceData'!$B$36)*(I$3=SalesforceData!$C$2:'SalesforceData'!$C$36),0))),"")</f>
        <v>0</v>
      </c>
      <c r="J15" s="8" cm="1">
        <f t="array" ref="J15">IFERROR(IF(COUNT(INDEX(SalesforceData!$D$2:$D$36,MATCH(1,($G15=SalesforceData!$A$2:$A$36)*(J$2=SalesforceData!$B$2:'SalesforceData'!$B$36)*(J$3=SalesforceData!$C$2:'SalesforceData'!$C$36),0)))=0,INDEX(SalesforceData!$F$2:$F$36,MATCH(1,($G15=SalesforceData!$A$2:$A$36)*(J$2=SalesforceData!$B$2:'SalesforceData'!$B$36) * (J$3=SalesforceData!$E$2:'SalesforceData'!$E$36),0)),INDEX(SalesforceData!$D$2:$D$36,MATCH(1,($G15=SalesforceData!$A$2:$A$36)*(J$2=SalesforceData!$B$2:'SalesforceData'!$B$36)*(J$3=SalesforceData!$C$2:'SalesforceData'!$C$36),0))),"")</f>
        <v>0</v>
      </c>
      <c r="K15" s="8" cm="1">
        <f t="array" ref="K15">IFERROR(IF(COUNT(INDEX(SalesforceData!$D$2:$D$36,MATCH(1,($G15=SalesforceData!$A$2:$A$36)*(K$2=SalesforceData!$B$2:'SalesforceData'!$B$36)*(K$3=SalesforceData!$C$2:'SalesforceData'!$C$36),0)))=0,INDEX(SalesforceData!$F$2:$F$36,MATCH(1,($G15=SalesforceData!$A$2:$A$36)*(K$2=SalesforceData!$B$2:'SalesforceData'!$B$36) * (K$3=SalesforceData!$E$2:'SalesforceData'!$E$36),0)),INDEX(SalesforceData!$D$2:$D$36,MATCH(1,($G15=SalesforceData!$A$2:$A$36)*(K$2=SalesforceData!$B$2:'SalesforceData'!$B$36)*(K$3=SalesforceData!$C$2:'SalesforceData'!$C$36),0))),"")</f>
        <v>0</v>
      </c>
      <c r="L15" s="8" cm="1">
        <f t="array" ref="L15">IFERROR(IF(COUNT(INDEX(SalesforceData!$D$2:$D$36,MATCH(1,($G15=SalesforceData!$A$2:$A$36)*(L$2=SalesforceData!$B$2:'SalesforceData'!$B$36)*(L$3=SalesforceData!$C$2:'SalesforceData'!$C$36),0)))=0,INDEX(SalesforceData!$F$2:$F$36,MATCH(1,($G15=SalesforceData!$A$2:$A$36)*(L$2=SalesforceData!$B$2:'SalesforceData'!$B$36) * (L$3=SalesforceData!$E$2:'SalesforceData'!$E$36),0)),INDEX(SalesforceData!$D$2:$D$36,MATCH(1,($G15=SalesforceData!$A$2:$A$36)*(L$2=SalesforceData!$B$2:'SalesforceData'!$B$36)*(L$3=SalesforceData!$C$2:'SalesforceData'!$C$36),0))),"")</f>
        <v>0</v>
      </c>
      <c r="M15" s="8" cm="1">
        <f t="array" ref="M15">IFERROR(IF(COUNT(INDEX(SalesforceData!$D$2:$D$36,MATCH(1,($G15=SalesforceData!$A$2:$A$36)*(M$2=SalesforceData!$B$2:'SalesforceData'!$B$36)*(M$3=SalesforceData!$C$2:'SalesforceData'!$C$36),0)))=0,INDEX(SalesforceData!$F$2:$F$36,MATCH(1,($G15=SalesforceData!$A$2:$A$36)*(M$2=SalesforceData!$B$2:'SalesforceData'!$B$36) * (M$3=SalesforceData!$E$2:'SalesforceData'!$E$36),0)),INDEX(SalesforceData!$D$2:$D$36,MATCH(1,($G15=SalesforceData!$A$2:$A$36)*(M$2=SalesforceData!$B$2:'SalesforceData'!$B$36)*(M$3=SalesforceData!$C$2:'SalesforceData'!$C$36),0))),"")</f>
        <v>0</v>
      </c>
      <c r="N15" s="8" cm="1">
        <f t="array" ref="N15">IFERROR(IF(COUNT(INDEX(SalesforceData!$D$2:$D$36,MATCH(1,($G15=SalesforceData!$A$2:$A$36)*(N$2=SalesforceData!$B$2:'SalesforceData'!$B$36)*(N$3=SalesforceData!$C$2:'SalesforceData'!$C$36),0)))=0,INDEX(SalesforceData!$F$2:$F$36,MATCH(1,($G15=SalesforceData!$A$2:$A$36)*(N$2=SalesforceData!$B$2:'SalesforceData'!$B$36) * (N$3=SalesforceData!$E$2:'SalesforceData'!$E$36),0)),INDEX(SalesforceData!$D$2:$D$36,MATCH(1,($G15=SalesforceData!$A$2:$A$36)*(N$2=SalesforceData!$B$2:'SalesforceData'!$B$36)*(N$3=SalesforceData!$C$2:'SalesforceData'!$C$36),0))),"")</f>
        <v>0</v>
      </c>
      <c r="O15" s="8" cm="1">
        <f t="array" ref="O15">IFERROR(IF(COUNT(INDEX(SalesforceData!$D$2:$D$36,MATCH(1,($G15=SalesforceData!$A$2:$A$36)*(O$2=SalesforceData!$B$2:'SalesforceData'!$B$36)*(O$3=SalesforceData!$C$2:'SalesforceData'!$C$36),0)))=0,INDEX(SalesforceData!$F$2:$F$36,MATCH(1,($G15=SalesforceData!$A$2:$A$36)*(O$2=SalesforceData!$B$2:'SalesforceData'!$B$36) * (O$3=SalesforceData!$E$2:'SalesforceData'!$E$36),0)),INDEX(SalesforceData!$D$2:$D$36,MATCH(1,($G15=SalesforceData!$A$2:$A$36)*(O$2=SalesforceData!$B$2:'SalesforceData'!$B$36)*(O$3=SalesforceData!$C$2:'SalesforceData'!$C$36),0))),"")</f>
        <v>0</v>
      </c>
      <c r="Q15" s="9"/>
      <c r="S15" t="str" cm="1">
        <f t="array" aca="1" ref="S15" ca="1">IF(CELL("contents",G15)=0,"",CELL("contents",G15))</f>
        <v/>
      </c>
      <c r="T15" t="str" cm="1">
        <f t="array" aca="1" ref="T15" ca="1">IF(CELL("contents",H15)=0,"",CELL("contents",H15))</f>
        <v/>
      </c>
      <c r="U15" t="str" cm="1">
        <f t="array" aca="1" ref="U15" ca="1">IF(CELL("contents",I15)=0,"",CELL("contents",I15))</f>
        <v/>
      </c>
      <c r="V15" t="str" cm="1">
        <f t="array" aca="1" ref="V15" ca="1">IF(CELL("contents",J15)=0,"",CELL("contents",J15))</f>
        <v/>
      </c>
      <c r="W15" t="str" cm="1">
        <f t="array" aca="1" ref="W15" ca="1">IF(CELL("contents",K15)=0,"",CELL("contents",K15))</f>
        <v/>
      </c>
      <c r="X15" t="str" cm="1">
        <f t="array" aca="1" ref="X15" ca="1">IF(CELL("contents",L15)=0,"",CELL("contents",L15))</f>
        <v/>
      </c>
      <c r="Y15" t="str" cm="1">
        <f t="array" aca="1" ref="Y15" ca="1">IF(CELL("contents",M15)=0,"",CELL("contents",M15))</f>
        <v/>
      </c>
      <c r="Z15" t="str" cm="1">
        <f t="array" aca="1" ref="Z15" ca="1">IF(CELL("contents",N15)=0,"",CELL("contents",N15))</f>
        <v/>
      </c>
      <c r="AA15" t="str" cm="1">
        <f t="array" aca="1" ref="AA15" ca="1">IF(CELL("contents",O15)=0,"",CELL("contents",O15))</f>
        <v/>
      </c>
    </row>
    <row r="16" spans="1:28" x14ac:dyDescent="0.35">
      <c r="A16" s="8" t="str" cm="1">
        <f t="array" ref="A16">IF(IFERROR(INDEX(SalesforceData!$A$2:'SalesforceData'!$A$36, MATCH(0, COUNTIF(DataTransformation!$A$2:'DataTransformation'!$A15, SalesforceData!$A$2:'SalesforceData'!$A$36), 0)),"") = 0,"", IFERROR(INDEX(SalesforceData!$A$2:'SalesforceData'!$A$36, MATCH(0, COUNTIF(DataTransformation!$A$2:'DataTransformation'!$A15, SalesforceData!$A$2:'SalesforceData'!$A$36), 0)),""))</f>
        <v/>
      </c>
      <c r="B16" s="8" t="str" cm="1">
        <f t="array" ref="B16">IF(IFERROR(INDEX(SalesforceData!$B$2:'SalesforceData'!$B$36, MATCH(0, COUNTIF(DataTransformation!$B$2:'DataTransformation'!$B15, SalesforceData!$B$2:'SalesforceData'!$B$36), 0)),"") = 0,"", IFERROR(INDEX(SalesforceData!$B$2:'SalesforceData'!$B$36, MATCH(0, COUNTIF(DataTransformation!$B$2:'DataTransformation'!$B15, SalesforceData!$B$2:'SalesforceData'!$B$36), 0)),""))</f>
        <v/>
      </c>
      <c r="E16" s="9"/>
      <c r="G16" s="8" t="str">
        <f t="shared" si="1"/>
        <v/>
      </c>
      <c r="H16" s="8" cm="1">
        <f t="array" ref="H16">IFERROR(IF(COUNT(INDEX(SalesforceData!$D$2:$D$36,MATCH(1,($G16=SalesforceData!$A$2:$A$36)*(H$2=SalesforceData!$B$2:'SalesforceData'!$B$36)*(H$3=SalesforceData!$C$2:'SalesforceData'!$C$36),0)))=0,INDEX(SalesforceData!$F$2:$F$36,MATCH(1,($G16=SalesforceData!$A$2:$A$36)*(H$2=SalesforceData!$B$2:'SalesforceData'!$B$36) * (H$3=SalesforceData!$E$2:'SalesforceData'!$E$36),0)),INDEX(SalesforceData!$D$2:$D$36,MATCH(1,($G16=SalesforceData!$A$2:$A$36)*(H$2=SalesforceData!$B$2:'SalesforceData'!$B$36)*(H$3=SalesforceData!$C$2:'SalesforceData'!$C$36),0))),"")</f>
        <v>0</v>
      </c>
      <c r="I16" s="8" cm="1">
        <f t="array" ref="I16">IFERROR(IF(COUNT(INDEX(SalesforceData!$D$2:$D$36,MATCH(1,($G16=SalesforceData!$A$2:$A$36)*(I$2=SalesforceData!$B$2:'SalesforceData'!$B$36)*(I$3=SalesforceData!$C$2:'SalesforceData'!$C$36),0)))=0,INDEX(SalesforceData!$F$2:$F$36,MATCH(1,($G16=SalesforceData!$A$2:$A$36)*(I$2=SalesforceData!$B$2:'SalesforceData'!$B$36) * (I$3=SalesforceData!$E$2:'SalesforceData'!$E$36),0)),INDEX(SalesforceData!$D$2:$D$36,MATCH(1,($G16=SalesforceData!$A$2:$A$36)*(I$2=SalesforceData!$B$2:'SalesforceData'!$B$36)*(I$3=SalesforceData!$C$2:'SalesforceData'!$C$36),0))),"")</f>
        <v>0</v>
      </c>
      <c r="J16" s="8" cm="1">
        <f t="array" ref="J16">IFERROR(IF(COUNT(INDEX(SalesforceData!$D$2:$D$36,MATCH(1,($G16=SalesforceData!$A$2:$A$36)*(J$2=SalesforceData!$B$2:'SalesforceData'!$B$36)*(J$3=SalesforceData!$C$2:'SalesforceData'!$C$36),0)))=0,INDEX(SalesforceData!$F$2:$F$36,MATCH(1,($G16=SalesforceData!$A$2:$A$36)*(J$2=SalesforceData!$B$2:'SalesforceData'!$B$36) * (J$3=SalesforceData!$E$2:'SalesforceData'!$E$36),0)),INDEX(SalesforceData!$D$2:$D$36,MATCH(1,($G16=SalesforceData!$A$2:$A$36)*(J$2=SalesforceData!$B$2:'SalesforceData'!$B$36)*(J$3=SalesforceData!$C$2:'SalesforceData'!$C$36),0))),"")</f>
        <v>0</v>
      </c>
      <c r="K16" s="8" cm="1">
        <f t="array" ref="K16">IFERROR(IF(COUNT(INDEX(SalesforceData!$D$2:$D$36,MATCH(1,($G16=SalesforceData!$A$2:$A$36)*(K$2=SalesforceData!$B$2:'SalesforceData'!$B$36)*(K$3=SalesforceData!$C$2:'SalesforceData'!$C$36),0)))=0,INDEX(SalesforceData!$F$2:$F$36,MATCH(1,($G16=SalesforceData!$A$2:$A$36)*(K$2=SalesforceData!$B$2:'SalesforceData'!$B$36) * (K$3=SalesforceData!$E$2:'SalesforceData'!$E$36),0)),INDEX(SalesforceData!$D$2:$D$36,MATCH(1,($G16=SalesforceData!$A$2:$A$36)*(K$2=SalesforceData!$B$2:'SalesforceData'!$B$36)*(K$3=SalesforceData!$C$2:'SalesforceData'!$C$36),0))),"")</f>
        <v>0</v>
      </c>
      <c r="L16" s="8" cm="1">
        <f t="array" ref="L16">IFERROR(IF(COUNT(INDEX(SalesforceData!$D$2:$D$36,MATCH(1,($G16=SalesforceData!$A$2:$A$36)*(L$2=SalesforceData!$B$2:'SalesforceData'!$B$36)*(L$3=SalesforceData!$C$2:'SalesforceData'!$C$36),0)))=0,INDEX(SalesforceData!$F$2:$F$36,MATCH(1,($G16=SalesforceData!$A$2:$A$36)*(L$2=SalesforceData!$B$2:'SalesforceData'!$B$36) * (L$3=SalesforceData!$E$2:'SalesforceData'!$E$36),0)),INDEX(SalesforceData!$D$2:$D$36,MATCH(1,($G16=SalesforceData!$A$2:$A$36)*(L$2=SalesforceData!$B$2:'SalesforceData'!$B$36)*(L$3=SalesforceData!$C$2:'SalesforceData'!$C$36),0))),"")</f>
        <v>0</v>
      </c>
      <c r="M16" s="8" cm="1">
        <f t="array" ref="M16">IFERROR(IF(COUNT(INDEX(SalesforceData!$D$2:$D$36,MATCH(1,($G16=SalesforceData!$A$2:$A$36)*(M$2=SalesforceData!$B$2:'SalesforceData'!$B$36)*(M$3=SalesforceData!$C$2:'SalesforceData'!$C$36),0)))=0,INDEX(SalesforceData!$F$2:$F$36,MATCH(1,($G16=SalesforceData!$A$2:$A$36)*(M$2=SalesforceData!$B$2:'SalesforceData'!$B$36) * (M$3=SalesforceData!$E$2:'SalesforceData'!$E$36),0)),INDEX(SalesforceData!$D$2:$D$36,MATCH(1,($G16=SalesforceData!$A$2:$A$36)*(M$2=SalesforceData!$B$2:'SalesforceData'!$B$36)*(M$3=SalesforceData!$C$2:'SalesforceData'!$C$36),0))),"")</f>
        <v>0</v>
      </c>
      <c r="N16" s="8" cm="1">
        <f t="array" ref="N16">IFERROR(IF(COUNT(INDEX(SalesforceData!$D$2:$D$36,MATCH(1,($G16=SalesforceData!$A$2:$A$36)*(N$2=SalesforceData!$B$2:'SalesforceData'!$B$36)*(N$3=SalesforceData!$C$2:'SalesforceData'!$C$36),0)))=0,INDEX(SalesforceData!$F$2:$F$36,MATCH(1,($G16=SalesforceData!$A$2:$A$36)*(N$2=SalesforceData!$B$2:'SalesforceData'!$B$36) * (N$3=SalesforceData!$E$2:'SalesforceData'!$E$36),0)),INDEX(SalesforceData!$D$2:$D$36,MATCH(1,($G16=SalesforceData!$A$2:$A$36)*(N$2=SalesforceData!$B$2:'SalesforceData'!$B$36)*(N$3=SalesforceData!$C$2:'SalesforceData'!$C$36),0))),"")</f>
        <v>0</v>
      </c>
      <c r="O16" s="8" cm="1">
        <f t="array" ref="O16">IFERROR(IF(COUNT(INDEX(SalesforceData!$D$2:$D$36,MATCH(1,($G16=SalesforceData!$A$2:$A$36)*(O$2=SalesforceData!$B$2:'SalesforceData'!$B$36)*(O$3=SalesforceData!$C$2:'SalesforceData'!$C$36),0)))=0,INDEX(SalesforceData!$F$2:$F$36,MATCH(1,($G16=SalesforceData!$A$2:$A$36)*(O$2=SalesforceData!$B$2:'SalesforceData'!$B$36) * (O$3=SalesforceData!$E$2:'SalesforceData'!$E$36),0)),INDEX(SalesforceData!$D$2:$D$36,MATCH(1,($G16=SalesforceData!$A$2:$A$36)*(O$2=SalesforceData!$B$2:'SalesforceData'!$B$36)*(O$3=SalesforceData!$C$2:'SalesforceData'!$C$36),0))),"")</f>
        <v>0</v>
      </c>
      <c r="Q16" s="9"/>
      <c r="S16" t="str" cm="1">
        <f t="array" aca="1" ref="S16" ca="1">IF(CELL("contents",G16)=0,"",CELL("contents",G16))</f>
        <v/>
      </c>
      <c r="T16" t="str" cm="1">
        <f t="array" aca="1" ref="T16" ca="1">IF(CELL("contents",H16)=0,"",CELL("contents",H16))</f>
        <v/>
      </c>
      <c r="U16" t="str" cm="1">
        <f t="array" aca="1" ref="U16" ca="1">IF(CELL("contents",I16)=0,"",CELL("contents",I16))</f>
        <v/>
      </c>
      <c r="V16" t="str" cm="1">
        <f t="array" aca="1" ref="V16" ca="1">IF(CELL("contents",J16)=0,"",CELL("contents",J16))</f>
        <v/>
      </c>
      <c r="W16" t="str" cm="1">
        <f t="array" aca="1" ref="W16" ca="1">IF(CELL("contents",K16)=0,"",CELL("contents",K16))</f>
        <v/>
      </c>
      <c r="X16" t="str" cm="1">
        <f t="array" aca="1" ref="X16" ca="1">IF(CELL("contents",L16)=0,"",CELL("contents",L16))</f>
        <v/>
      </c>
      <c r="Y16" t="str" cm="1">
        <f t="array" aca="1" ref="Y16" ca="1">IF(CELL("contents",M16)=0,"",CELL("contents",M16))</f>
        <v/>
      </c>
      <c r="Z16" t="str" cm="1">
        <f t="array" aca="1" ref="Z16" ca="1">IF(CELL("contents",N16)=0,"",CELL("contents",N16))</f>
        <v/>
      </c>
      <c r="AA16" t="str" cm="1">
        <f t="array" aca="1" ref="AA16" ca="1">IF(CELL("contents",O16)=0,"",CELL("contents",O16))</f>
        <v/>
      </c>
    </row>
    <row r="17" spans="1:27" x14ac:dyDescent="0.35">
      <c r="A17" s="8" t="str" cm="1">
        <f t="array" ref="A17">IF(IFERROR(INDEX(SalesforceData!$A$2:'SalesforceData'!$A$36, MATCH(0, COUNTIF(DataTransformation!$A$2:'DataTransformation'!$A16, SalesforceData!$A$2:'SalesforceData'!$A$36), 0)),"") = 0,"", IFERROR(INDEX(SalesforceData!$A$2:'SalesforceData'!$A$36, MATCH(0, COUNTIF(DataTransformation!$A$2:'DataTransformation'!$A16, SalesforceData!$A$2:'SalesforceData'!$A$36), 0)),""))</f>
        <v/>
      </c>
      <c r="B17" s="8" t="str" cm="1">
        <f t="array" ref="B17">IF(IFERROR(INDEX(SalesforceData!$B$2:'SalesforceData'!$B$36, MATCH(0, COUNTIF(DataTransformation!$B$2:'DataTransformation'!$B16, SalesforceData!$B$2:'SalesforceData'!$B$36), 0)),"") = 0,"", IFERROR(INDEX(SalesforceData!$B$2:'SalesforceData'!$B$36, MATCH(0, COUNTIF(DataTransformation!$B$2:'DataTransformation'!$B16, SalesforceData!$B$2:'SalesforceData'!$B$36), 0)),""))</f>
        <v/>
      </c>
      <c r="E17" s="9"/>
      <c r="G17" s="8" t="str">
        <f t="shared" si="1"/>
        <v/>
      </c>
      <c r="H17" s="8" cm="1">
        <f t="array" ref="H17">IFERROR(IF(COUNT(INDEX(SalesforceData!$D$2:$D$36,MATCH(1,($G17=SalesforceData!$A$2:$A$36)*(H$2=SalesforceData!$B$2:'SalesforceData'!$B$36)*(H$3=SalesforceData!$C$2:'SalesforceData'!$C$36),0)))=0,INDEX(SalesforceData!$F$2:$F$36,MATCH(1,($G17=SalesforceData!$A$2:$A$36)*(H$2=SalesforceData!$B$2:'SalesforceData'!$B$36) * (H$3=SalesforceData!$E$2:'SalesforceData'!$E$36),0)),INDEX(SalesforceData!$D$2:$D$36,MATCH(1,($G17=SalesforceData!$A$2:$A$36)*(H$2=SalesforceData!$B$2:'SalesforceData'!$B$36)*(H$3=SalesforceData!$C$2:'SalesforceData'!$C$36),0))),"")</f>
        <v>0</v>
      </c>
      <c r="I17" s="8" cm="1">
        <f t="array" ref="I17">IFERROR(IF(COUNT(INDEX(SalesforceData!$D$2:$D$36,MATCH(1,($G17=SalesforceData!$A$2:$A$36)*(I$2=SalesforceData!$B$2:'SalesforceData'!$B$36)*(I$3=SalesforceData!$C$2:'SalesforceData'!$C$36),0)))=0,INDEX(SalesforceData!$F$2:$F$36,MATCH(1,($G17=SalesforceData!$A$2:$A$36)*(I$2=SalesforceData!$B$2:'SalesforceData'!$B$36) * (I$3=SalesforceData!$E$2:'SalesforceData'!$E$36),0)),INDEX(SalesforceData!$D$2:$D$36,MATCH(1,($G17=SalesforceData!$A$2:$A$36)*(I$2=SalesforceData!$B$2:'SalesforceData'!$B$36)*(I$3=SalesforceData!$C$2:'SalesforceData'!$C$36),0))),"")</f>
        <v>0</v>
      </c>
      <c r="J17" s="8" cm="1">
        <f t="array" ref="J17">IFERROR(IF(COUNT(INDEX(SalesforceData!$D$2:$D$36,MATCH(1,($G17=SalesforceData!$A$2:$A$36)*(J$2=SalesforceData!$B$2:'SalesforceData'!$B$36)*(J$3=SalesforceData!$C$2:'SalesforceData'!$C$36),0)))=0,INDEX(SalesforceData!$F$2:$F$36,MATCH(1,($G17=SalesforceData!$A$2:$A$36)*(J$2=SalesforceData!$B$2:'SalesforceData'!$B$36) * (J$3=SalesforceData!$E$2:'SalesforceData'!$E$36),0)),INDEX(SalesforceData!$D$2:$D$36,MATCH(1,($G17=SalesforceData!$A$2:$A$36)*(J$2=SalesforceData!$B$2:'SalesforceData'!$B$36)*(J$3=SalesforceData!$C$2:'SalesforceData'!$C$36),0))),"")</f>
        <v>0</v>
      </c>
      <c r="K17" s="8" cm="1">
        <f t="array" ref="K17">IFERROR(IF(COUNT(INDEX(SalesforceData!$D$2:$D$36,MATCH(1,($G17=SalesforceData!$A$2:$A$36)*(K$2=SalesforceData!$B$2:'SalesforceData'!$B$36)*(K$3=SalesforceData!$C$2:'SalesforceData'!$C$36),0)))=0,INDEX(SalesforceData!$F$2:$F$36,MATCH(1,($G17=SalesforceData!$A$2:$A$36)*(K$2=SalesforceData!$B$2:'SalesforceData'!$B$36) * (K$3=SalesforceData!$E$2:'SalesforceData'!$E$36),0)),INDEX(SalesforceData!$D$2:$D$36,MATCH(1,($G17=SalesforceData!$A$2:$A$36)*(K$2=SalesforceData!$B$2:'SalesforceData'!$B$36)*(K$3=SalesforceData!$C$2:'SalesforceData'!$C$36),0))),"")</f>
        <v>0</v>
      </c>
      <c r="L17" s="8" cm="1">
        <f t="array" ref="L17">IFERROR(IF(COUNT(INDEX(SalesforceData!$D$2:$D$36,MATCH(1,($G17=SalesforceData!$A$2:$A$36)*(L$2=SalesforceData!$B$2:'SalesforceData'!$B$36)*(L$3=SalesforceData!$C$2:'SalesforceData'!$C$36),0)))=0,INDEX(SalesforceData!$F$2:$F$36,MATCH(1,($G17=SalesforceData!$A$2:$A$36)*(L$2=SalesforceData!$B$2:'SalesforceData'!$B$36) * (L$3=SalesforceData!$E$2:'SalesforceData'!$E$36),0)),INDEX(SalesforceData!$D$2:$D$36,MATCH(1,($G17=SalesforceData!$A$2:$A$36)*(L$2=SalesforceData!$B$2:'SalesforceData'!$B$36)*(L$3=SalesforceData!$C$2:'SalesforceData'!$C$36),0))),"")</f>
        <v>0</v>
      </c>
      <c r="M17" s="8" cm="1">
        <f t="array" ref="M17">IFERROR(IF(COUNT(INDEX(SalesforceData!$D$2:$D$36,MATCH(1,($G17=SalesforceData!$A$2:$A$36)*(M$2=SalesforceData!$B$2:'SalesforceData'!$B$36)*(M$3=SalesforceData!$C$2:'SalesforceData'!$C$36),0)))=0,INDEX(SalesforceData!$F$2:$F$36,MATCH(1,($G17=SalesforceData!$A$2:$A$36)*(M$2=SalesforceData!$B$2:'SalesforceData'!$B$36) * (M$3=SalesforceData!$E$2:'SalesforceData'!$E$36),0)),INDEX(SalesforceData!$D$2:$D$36,MATCH(1,($G17=SalesforceData!$A$2:$A$36)*(M$2=SalesforceData!$B$2:'SalesforceData'!$B$36)*(M$3=SalesforceData!$C$2:'SalesforceData'!$C$36),0))),"")</f>
        <v>0</v>
      </c>
      <c r="N17" s="8" cm="1">
        <f t="array" ref="N17">IFERROR(IF(COUNT(INDEX(SalesforceData!$D$2:$D$36,MATCH(1,($G17=SalesforceData!$A$2:$A$36)*(N$2=SalesforceData!$B$2:'SalesforceData'!$B$36)*(N$3=SalesforceData!$C$2:'SalesforceData'!$C$36),0)))=0,INDEX(SalesforceData!$F$2:$F$36,MATCH(1,($G17=SalesforceData!$A$2:$A$36)*(N$2=SalesforceData!$B$2:'SalesforceData'!$B$36) * (N$3=SalesforceData!$E$2:'SalesforceData'!$E$36),0)),INDEX(SalesforceData!$D$2:$D$36,MATCH(1,($G17=SalesforceData!$A$2:$A$36)*(N$2=SalesforceData!$B$2:'SalesforceData'!$B$36)*(N$3=SalesforceData!$C$2:'SalesforceData'!$C$36),0))),"")</f>
        <v>0</v>
      </c>
      <c r="O17" s="8" cm="1">
        <f t="array" ref="O17">IFERROR(IF(COUNT(INDEX(SalesforceData!$D$2:$D$36,MATCH(1,($G17=SalesforceData!$A$2:$A$36)*(O$2=SalesforceData!$B$2:'SalesforceData'!$B$36)*(O$3=SalesforceData!$C$2:'SalesforceData'!$C$36),0)))=0,INDEX(SalesforceData!$F$2:$F$36,MATCH(1,($G17=SalesforceData!$A$2:$A$36)*(O$2=SalesforceData!$B$2:'SalesforceData'!$B$36) * (O$3=SalesforceData!$E$2:'SalesforceData'!$E$36),0)),INDEX(SalesforceData!$D$2:$D$36,MATCH(1,($G17=SalesforceData!$A$2:$A$36)*(O$2=SalesforceData!$B$2:'SalesforceData'!$B$36)*(O$3=SalesforceData!$C$2:'SalesforceData'!$C$36),0))),"")</f>
        <v>0</v>
      </c>
      <c r="Q17" s="9"/>
      <c r="S17" t="str" cm="1">
        <f t="array" aca="1" ref="S17" ca="1">IF(CELL("contents",G17)=0,"",CELL("contents",G17))</f>
        <v/>
      </c>
      <c r="T17" t="str" cm="1">
        <f t="array" aca="1" ref="T17" ca="1">IF(CELL("contents",H17)=0,"",CELL("contents",H17))</f>
        <v/>
      </c>
      <c r="U17" t="str" cm="1">
        <f t="array" aca="1" ref="U17" ca="1">IF(CELL("contents",I17)=0,"",CELL("contents",I17))</f>
        <v/>
      </c>
      <c r="V17" t="str" cm="1">
        <f t="array" aca="1" ref="V17" ca="1">IF(CELL("contents",J17)=0,"",CELL("contents",J17))</f>
        <v/>
      </c>
      <c r="W17" t="str" cm="1">
        <f t="array" aca="1" ref="W17" ca="1">IF(CELL("contents",K17)=0,"",CELL("contents",K17))</f>
        <v/>
      </c>
      <c r="X17" t="str" cm="1">
        <f t="array" aca="1" ref="X17" ca="1">IF(CELL("contents",L17)=0,"",CELL("contents",L17))</f>
        <v/>
      </c>
      <c r="Y17" t="str" cm="1">
        <f t="array" aca="1" ref="Y17" ca="1">IF(CELL("contents",M17)=0,"",CELL("contents",M17))</f>
        <v/>
      </c>
      <c r="Z17" t="str" cm="1">
        <f t="array" aca="1" ref="Z17" ca="1">IF(CELL("contents",N17)=0,"",CELL("contents",N17))</f>
        <v/>
      </c>
      <c r="AA17" t="str" cm="1">
        <f t="array" aca="1" ref="AA17" ca="1">IF(CELL("contents",O17)=0,"",CELL("contents",O17))</f>
        <v/>
      </c>
    </row>
    <row r="18" spans="1:27" x14ac:dyDescent="0.35">
      <c r="A18" s="8" t="str" cm="1">
        <f t="array" ref="A18">IF(IFERROR(INDEX(SalesforceData!$A$2:'SalesforceData'!$A$36, MATCH(0, COUNTIF(DataTransformation!$A$2:'DataTransformation'!$A17, SalesforceData!$A$2:'SalesforceData'!$A$36), 0)),"") = 0,"", IFERROR(INDEX(SalesforceData!$A$2:'SalesforceData'!$A$36, MATCH(0, COUNTIF(DataTransformation!$A$2:'DataTransformation'!$A17, SalesforceData!$A$2:'SalesforceData'!$A$36), 0)),""))</f>
        <v/>
      </c>
      <c r="B18" s="8" t="str" cm="1">
        <f t="array" ref="B18">IF(IFERROR(INDEX(SalesforceData!$B$2:'SalesforceData'!$B$36, MATCH(0, COUNTIF(DataTransformation!$B$2:'DataTransformation'!$B17, SalesforceData!$B$2:'SalesforceData'!$B$36), 0)),"") = 0,"", IFERROR(INDEX(SalesforceData!$B$2:'SalesforceData'!$B$36, MATCH(0, COUNTIF(DataTransformation!$B$2:'DataTransformation'!$B17, SalesforceData!$B$2:'SalesforceData'!$B$36), 0)),""))</f>
        <v/>
      </c>
      <c r="E18" s="9"/>
      <c r="G18" s="8" t="str">
        <f t="shared" si="1"/>
        <v/>
      </c>
      <c r="H18" s="8" cm="1">
        <f t="array" ref="H18">IFERROR(IF(COUNT(INDEX(SalesforceData!$D$2:$D$36,MATCH(1,($G18=SalesforceData!$A$2:$A$36)*(H$2=SalesforceData!$B$2:'SalesforceData'!$B$36)*(H$3=SalesforceData!$C$2:'SalesforceData'!$C$36),0)))=0,INDEX(SalesforceData!$F$2:$F$36,MATCH(1,($G18=SalesforceData!$A$2:$A$36)*(H$2=SalesforceData!$B$2:'SalesforceData'!$B$36) * (H$3=SalesforceData!$E$2:'SalesforceData'!$E$36),0)),INDEX(SalesforceData!$D$2:$D$36,MATCH(1,($G18=SalesforceData!$A$2:$A$36)*(H$2=SalesforceData!$B$2:'SalesforceData'!$B$36)*(H$3=SalesforceData!$C$2:'SalesforceData'!$C$36),0))),"")</f>
        <v>0</v>
      </c>
      <c r="I18" s="8" cm="1">
        <f t="array" ref="I18">IFERROR(IF(COUNT(INDEX(SalesforceData!$D$2:$D$36,MATCH(1,($G18=SalesforceData!$A$2:$A$36)*(I$2=SalesforceData!$B$2:'SalesforceData'!$B$36)*(I$3=SalesforceData!$C$2:'SalesforceData'!$C$36),0)))=0,INDEX(SalesforceData!$F$2:$F$36,MATCH(1,($G18=SalesforceData!$A$2:$A$36)*(I$2=SalesforceData!$B$2:'SalesforceData'!$B$36) * (I$3=SalesforceData!$E$2:'SalesforceData'!$E$36),0)),INDEX(SalesforceData!$D$2:$D$36,MATCH(1,($G18=SalesforceData!$A$2:$A$36)*(I$2=SalesforceData!$B$2:'SalesforceData'!$B$36)*(I$3=SalesforceData!$C$2:'SalesforceData'!$C$36),0))),"")</f>
        <v>0</v>
      </c>
      <c r="J18" s="8" cm="1">
        <f t="array" ref="J18">IFERROR(IF(COUNT(INDEX(SalesforceData!$D$2:$D$36,MATCH(1,($G18=SalesforceData!$A$2:$A$36)*(J$2=SalesforceData!$B$2:'SalesforceData'!$B$36)*(J$3=SalesforceData!$C$2:'SalesforceData'!$C$36),0)))=0,INDEX(SalesforceData!$F$2:$F$36,MATCH(1,($G18=SalesforceData!$A$2:$A$36)*(J$2=SalesforceData!$B$2:'SalesforceData'!$B$36) * (J$3=SalesforceData!$E$2:'SalesforceData'!$E$36),0)),INDEX(SalesforceData!$D$2:$D$36,MATCH(1,($G18=SalesforceData!$A$2:$A$36)*(J$2=SalesforceData!$B$2:'SalesforceData'!$B$36)*(J$3=SalesforceData!$C$2:'SalesforceData'!$C$36),0))),"")</f>
        <v>0</v>
      </c>
      <c r="K18" s="8" cm="1">
        <f t="array" ref="K18">IFERROR(IF(COUNT(INDEX(SalesforceData!$D$2:$D$36,MATCH(1,($G18=SalesforceData!$A$2:$A$36)*(K$2=SalesforceData!$B$2:'SalesforceData'!$B$36)*(K$3=SalesforceData!$C$2:'SalesforceData'!$C$36),0)))=0,INDEX(SalesforceData!$F$2:$F$36,MATCH(1,($G18=SalesforceData!$A$2:$A$36)*(K$2=SalesforceData!$B$2:'SalesforceData'!$B$36) * (K$3=SalesforceData!$E$2:'SalesforceData'!$E$36),0)),INDEX(SalesforceData!$D$2:$D$36,MATCH(1,($G18=SalesforceData!$A$2:$A$36)*(K$2=SalesforceData!$B$2:'SalesforceData'!$B$36)*(K$3=SalesforceData!$C$2:'SalesforceData'!$C$36),0))),"")</f>
        <v>0</v>
      </c>
      <c r="L18" s="8" cm="1">
        <f t="array" ref="L18">IFERROR(IF(COUNT(INDEX(SalesforceData!$D$2:$D$36,MATCH(1,($G18=SalesforceData!$A$2:$A$36)*(L$2=SalesforceData!$B$2:'SalesforceData'!$B$36)*(L$3=SalesforceData!$C$2:'SalesforceData'!$C$36),0)))=0,INDEX(SalesforceData!$F$2:$F$36,MATCH(1,($G18=SalesforceData!$A$2:$A$36)*(L$2=SalesforceData!$B$2:'SalesforceData'!$B$36) * (L$3=SalesforceData!$E$2:'SalesforceData'!$E$36),0)),INDEX(SalesforceData!$D$2:$D$36,MATCH(1,($G18=SalesforceData!$A$2:$A$36)*(L$2=SalesforceData!$B$2:'SalesforceData'!$B$36)*(L$3=SalesforceData!$C$2:'SalesforceData'!$C$36),0))),"")</f>
        <v>0</v>
      </c>
      <c r="M18" s="8" cm="1">
        <f t="array" ref="M18">IFERROR(IF(COUNT(INDEX(SalesforceData!$D$2:$D$36,MATCH(1,($G18=SalesforceData!$A$2:$A$36)*(M$2=SalesforceData!$B$2:'SalesforceData'!$B$36)*(M$3=SalesforceData!$C$2:'SalesforceData'!$C$36),0)))=0,INDEX(SalesforceData!$F$2:$F$36,MATCH(1,($G18=SalesforceData!$A$2:$A$36)*(M$2=SalesforceData!$B$2:'SalesforceData'!$B$36) * (M$3=SalesforceData!$E$2:'SalesforceData'!$E$36),0)),INDEX(SalesforceData!$D$2:$D$36,MATCH(1,($G18=SalesforceData!$A$2:$A$36)*(M$2=SalesforceData!$B$2:'SalesforceData'!$B$36)*(M$3=SalesforceData!$C$2:'SalesforceData'!$C$36),0))),"")</f>
        <v>0</v>
      </c>
      <c r="N18" s="8" cm="1">
        <f t="array" ref="N18">IFERROR(IF(COUNT(INDEX(SalesforceData!$D$2:$D$36,MATCH(1,($G18=SalesforceData!$A$2:$A$36)*(N$2=SalesforceData!$B$2:'SalesforceData'!$B$36)*(N$3=SalesforceData!$C$2:'SalesforceData'!$C$36),0)))=0,INDEX(SalesforceData!$F$2:$F$36,MATCH(1,($G18=SalesforceData!$A$2:$A$36)*(N$2=SalesforceData!$B$2:'SalesforceData'!$B$36) * (N$3=SalesforceData!$E$2:'SalesforceData'!$E$36),0)),INDEX(SalesforceData!$D$2:$D$36,MATCH(1,($G18=SalesforceData!$A$2:$A$36)*(N$2=SalesforceData!$B$2:'SalesforceData'!$B$36)*(N$3=SalesforceData!$C$2:'SalesforceData'!$C$36),0))),"")</f>
        <v>0</v>
      </c>
      <c r="O18" s="8" cm="1">
        <f t="array" ref="O18">IFERROR(IF(COUNT(INDEX(SalesforceData!$D$2:$D$36,MATCH(1,($G18=SalesforceData!$A$2:$A$36)*(O$2=SalesforceData!$B$2:'SalesforceData'!$B$36)*(O$3=SalesforceData!$C$2:'SalesforceData'!$C$36),0)))=0,INDEX(SalesforceData!$F$2:$F$36,MATCH(1,($G18=SalesforceData!$A$2:$A$36)*(O$2=SalesforceData!$B$2:'SalesforceData'!$B$36) * (O$3=SalesforceData!$E$2:'SalesforceData'!$E$36),0)),INDEX(SalesforceData!$D$2:$D$36,MATCH(1,($G18=SalesforceData!$A$2:$A$36)*(O$2=SalesforceData!$B$2:'SalesforceData'!$B$36)*(O$3=SalesforceData!$C$2:'SalesforceData'!$C$36),0))),"")</f>
        <v>0</v>
      </c>
      <c r="Q18" s="9"/>
      <c r="S18" t="str" cm="1">
        <f t="array" aca="1" ref="S18" ca="1">IF(CELL("contents",G18)=0,"",CELL("contents",G18))</f>
        <v/>
      </c>
      <c r="T18" t="str" cm="1">
        <f t="array" aca="1" ref="T18" ca="1">IF(CELL("contents",H18)=0,"",CELL("contents",H18))</f>
        <v/>
      </c>
      <c r="U18" t="str" cm="1">
        <f t="array" aca="1" ref="U18" ca="1">IF(CELL("contents",I18)=0,"",CELL("contents",I18))</f>
        <v/>
      </c>
      <c r="V18" t="str" cm="1">
        <f t="array" aca="1" ref="V18" ca="1">IF(CELL("contents",J18)=0,"",CELL("contents",J18))</f>
        <v/>
      </c>
      <c r="W18" t="str" cm="1">
        <f t="array" aca="1" ref="W18" ca="1">IF(CELL("contents",K18)=0,"",CELL("contents",K18))</f>
        <v/>
      </c>
      <c r="X18" t="str" cm="1">
        <f t="array" aca="1" ref="X18" ca="1">IF(CELL("contents",L18)=0,"",CELL("contents",L18))</f>
        <v/>
      </c>
      <c r="Y18" t="str" cm="1">
        <f t="array" aca="1" ref="Y18" ca="1">IF(CELL("contents",M18)=0,"",CELL("contents",M18))</f>
        <v/>
      </c>
      <c r="Z18" t="str" cm="1">
        <f t="array" aca="1" ref="Z18" ca="1">IF(CELL("contents",N18)=0,"",CELL("contents",N18))</f>
        <v/>
      </c>
      <c r="AA18" t="str" cm="1">
        <f t="array" aca="1" ref="AA18" ca="1">IF(CELL("contents",O18)=0,"",CELL("contents",O18))</f>
        <v/>
      </c>
    </row>
    <row r="19" spans="1:27" x14ac:dyDescent="0.35">
      <c r="A19" s="8" t="str" cm="1">
        <f t="array" ref="A19">IF(IFERROR(INDEX(SalesforceData!$A$2:'SalesforceData'!$A$36, MATCH(0, COUNTIF(DataTransformation!$A$2:'DataTransformation'!$A18, SalesforceData!$A$2:'SalesforceData'!$A$36), 0)),"") = 0,"", IFERROR(INDEX(SalesforceData!$A$2:'SalesforceData'!$A$36, MATCH(0, COUNTIF(DataTransformation!$A$2:'DataTransformation'!$A18, SalesforceData!$A$2:'SalesforceData'!$A$36), 0)),""))</f>
        <v/>
      </c>
      <c r="B19" s="8" t="str" cm="1">
        <f t="array" ref="B19">IF(IFERROR(INDEX(SalesforceData!$B$2:'SalesforceData'!$B$36, MATCH(0, COUNTIF(DataTransformation!$B$2:'DataTransformation'!$B18, SalesforceData!$B$2:'SalesforceData'!$B$36), 0)),"") = 0,"", IFERROR(INDEX(SalesforceData!$B$2:'SalesforceData'!$B$36, MATCH(0, COUNTIF(DataTransformation!$B$2:'DataTransformation'!$B18, SalesforceData!$B$2:'SalesforceData'!$B$36), 0)),""))</f>
        <v/>
      </c>
      <c r="E19" s="9"/>
      <c r="G19" s="8" t="str">
        <f t="shared" si="1"/>
        <v/>
      </c>
      <c r="H19" s="8" cm="1">
        <f t="array" ref="H19">IFERROR(IF(COUNT(INDEX(SalesforceData!$D$2:$D$36,MATCH(1,($G19=SalesforceData!$A$2:$A$36)*(H$2=SalesforceData!$B$2:'SalesforceData'!$B$36)*(H$3=SalesforceData!$C$2:'SalesforceData'!$C$36),0)))=0,INDEX(SalesforceData!$F$2:$F$36,MATCH(1,($G19=SalesforceData!$A$2:$A$36)*(H$2=SalesforceData!$B$2:'SalesforceData'!$B$36) * (H$3=SalesforceData!$E$2:'SalesforceData'!$E$36),0)),INDEX(SalesforceData!$D$2:$D$36,MATCH(1,($G19=SalesforceData!$A$2:$A$36)*(H$2=SalesforceData!$B$2:'SalesforceData'!$B$36)*(H$3=SalesforceData!$C$2:'SalesforceData'!$C$36),0))),"")</f>
        <v>0</v>
      </c>
      <c r="I19" s="8" cm="1">
        <f t="array" ref="I19">IFERROR(IF(COUNT(INDEX(SalesforceData!$D$2:$D$36,MATCH(1,($G19=SalesforceData!$A$2:$A$36)*(I$2=SalesforceData!$B$2:'SalesforceData'!$B$36)*(I$3=SalesforceData!$C$2:'SalesforceData'!$C$36),0)))=0,INDEX(SalesforceData!$F$2:$F$36,MATCH(1,($G19=SalesforceData!$A$2:$A$36)*(I$2=SalesforceData!$B$2:'SalesforceData'!$B$36) * (I$3=SalesforceData!$E$2:'SalesforceData'!$E$36),0)),INDEX(SalesforceData!$D$2:$D$36,MATCH(1,($G19=SalesforceData!$A$2:$A$36)*(I$2=SalesforceData!$B$2:'SalesforceData'!$B$36)*(I$3=SalesforceData!$C$2:'SalesforceData'!$C$36),0))),"")</f>
        <v>0</v>
      </c>
      <c r="J19" s="8" cm="1">
        <f t="array" ref="J19">IFERROR(IF(COUNT(INDEX(SalesforceData!$D$2:$D$36,MATCH(1,($G19=SalesforceData!$A$2:$A$36)*(J$2=SalesforceData!$B$2:'SalesforceData'!$B$36)*(J$3=SalesforceData!$C$2:'SalesforceData'!$C$36),0)))=0,INDEX(SalesforceData!$F$2:$F$36,MATCH(1,($G19=SalesforceData!$A$2:$A$36)*(J$2=SalesforceData!$B$2:'SalesforceData'!$B$36) * (J$3=SalesforceData!$E$2:'SalesforceData'!$E$36),0)),INDEX(SalesforceData!$D$2:$D$36,MATCH(1,($G19=SalesforceData!$A$2:$A$36)*(J$2=SalesforceData!$B$2:'SalesforceData'!$B$36)*(J$3=SalesforceData!$C$2:'SalesforceData'!$C$36),0))),"")</f>
        <v>0</v>
      </c>
      <c r="K19" s="8" cm="1">
        <f t="array" ref="K19">IFERROR(IF(COUNT(INDEX(SalesforceData!$D$2:$D$36,MATCH(1,($G19=SalesforceData!$A$2:$A$36)*(K$2=SalesforceData!$B$2:'SalesforceData'!$B$36)*(K$3=SalesforceData!$C$2:'SalesforceData'!$C$36),0)))=0,INDEX(SalesforceData!$F$2:$F$36,MATCH(1,($G19=SalesforceData!$A$2:$A$36)*(K$2=SalesforceData!$B$2:'SalesforceData'!$B$36) * (K$3=SalesforceData!$E$2:'SalesforceData'!$E$36),0)),INDEX(SalesforceData!$D$2:$D$36,MATCH(1,($G19=SalesforceData!$A$2:$A$36)*(K$2=SalesforceData!$B$2:'SalesforceData'!$B$36)*(K$3=SalesforceData!$C$2:'SalesforceData'!$C$36),0))),"")</f>
        <v>0</v>
      </c>
      <c r="L19" s="8" cm="1">
        <f t="array" ref="L19">IFERROR(IF(COUNT(INDEX(SalesforceData!$D$2:$D$36,MATCH(1,($G19=SalesforceData!$A$2:$A$36)*(L$2=SalesforceData!$B$2:'SalesforceData'!$B$36)*(L$3=SalesforceData!$C$2:'SalesforceData'!$C$36),0)))=0,INDEX(SalesforceData!$F$2:$F$36,MATCH(1,($G19=SalesforceData!$A$2:$A$36)*(L$2=SalesforceData!$B$2:'SalesforceData'!$B$36) * (L$3=SalesforceData!$E$2:'SalesforceData'!$E$36),0)),INDEX(SalesforceData!$D$2:$D$36,MATCH(1,($G19=SalesforceData!$A$2:$A$36)*(L$2=SalesforceData!$B$2:'SalesforceData'!$B$36)*(L$3=SalesforceData!$C$2:'SalesforceData'!$C$36),0))),"")</f>
        <v>0</v>
      </c>
      <c r="M19" s="8" cm="1">
        <f t="array" ref="M19">IFERROR(IF(COUNT(INDEX(SalesforceData!$D$2:$D$36,MATCH(1,($G19=SalesforceData!$A$2:$A$36)*(M$2=SalesforceData!$B$2:'SalesforceData'!$B$36)*(M$3=SalesforceData!$C$2:'SalesforceData'!$C$36),0)))=0,INDEX(SalesforceData!$F$2:$F$36,MATCH(1,($G19=SalesforceData!$A$2:$A$36)*(M$2=SalesforceData!$B$2:'SalesforceData'!$B$36) * (M$3=SalesforceData!$E$2:'SalesforceData'!$E$36),0)),INDEX(SalesforceData!$D$2:$D$36,MATCH(1,($G19=SalesforceData!$A$2:$A$36)*(M$2=SalesforceData!$B$2:'SalesforceData'!$B$36)*(M$3=SalesforceData!$C$2:'SalesforceData'!$C$36),0))),"")</f>
        <v>0</v>
      </c>
      <c r="N19" s="8" cm="1">
        <f t="array" ref="N19">IFERROR(IF(COUNT(INDEX(SalesforceData!$D$2:$D$36,MATCH(1,($G19=SalesforceData!$A$2:$A$36)*(N$2=SalesforceData!$B$2:'SalesforceData'!$B$36)*(N$3=SalesforceData!$C$2:'SalesforceData'!$C$36),0)))=0,INDEX(SalesforceData!$F$2:$F$36,MATCH(1,($G19=SalesforceData!$A$2:$A$36)*(N$2=SalesforceData!$B$2:'SalesforceData'!$B$36) * (N$3=SalesforceData!$E$2:'SalesforceData'!$E$36),0)),INDEX(SalesforceData!$D$2:$D$36,MATCH(1,($G19=SalesforceData!$A$2:$A$36)*(N$2=SalesforceData!$B$2:'SalesforceData'!$B$36)*(N$3=SalesforceData!$C$2:'SalesforceData'!$C$36),0))),"")</f>
        <v>0</v>
      </c>
      <c r="O19" s="8" cm="1">
        <f t="array" ref="O19">IFERROR(IF(COUNT(INDEX(SalesforceData!$D$2:$D$36,MATCH(1,($G19=SalesforceData!$A$2:$A$36)*(O$2=SalesforceData!$B$2:'SalesforceData'!$B$36)*(O$3=SalesforceData!$C$2:'SalesforceData'!$C$36),0)))=0,INDEX(SalesforceData!$F$2:$F$36,MATCH(1,($G19=SalesforceData!$A$2:$A$36)*(O$2=SalesforceData!$B$2:'SalesforceData'!$B$36) * (O$3=SalesforceData!$E$2:'SalesforceData'!$E$36),0)),INDEX(SalesforceData!$D$2:$D$36,MATCH(1,($G19=SalesforceData!$A$2:$A$36)*(O$2=SalesforceData!$B$2:'SalesforceData'!$B$36)*(O$3=SalesforceData!$C$2:'SalesforceData'!$C$36),0))),"")</f>
        <v>0</v>
      </c>
      <c r="Q19" s="9"/>
      <c r="S19" t="str" cm="1">
        <f t="array" aca="1" ref="S19" ca="1">IF(CELL("contents",G19)=0,"",CELL("contents",G19))</f>
        <v/>
      </c>
      <c r="T19" t="str" cm="1">
        <f t="array" aca="1" ref="T19" ca="1">IF(CELL("contents",H19)=0,"",CELL("contents",H19))</f>
        <v/>
      </c>
      <c r="U19" t="str" cm="1">
        <f t="array" aca="1" ref="U19" ca="1">IF(CELL("contents",I19)=0,"",CELL("contents",I19))</f>
        <v/>
      </c>
      <c r="V19" t="str" cm="1">
        <f t="array" aca="1" ref="V19" ca="1">IF(CELL("contents",J19)=0,"",CELL("contents",J19))</f>
        <v/>
      </c>
      <c r="W19" t="str" cm="1">
        <f t="array" aca="1" ref="W19" ca="1">IF(CELL("contents",K19)=0,"",CELL("contents",K19))</f>
        <v/>
      </c>
      <c r="X19" t="str" cm="1">
        <f t="array" aca="1" ref="X19" ca="1">IF(CELL("contents",L19)=0,"",CELL("contents",L19))</f>
        <v/>
      </c>
      <c r="Y19" t="str" cm="1">
        <f t="array" aca="1" ref="Y19" ca="1">IF(CELL("contents",M19)=0,"",CELL("contents",M19))</f>
        <v/>
      </c>
      <c r="Z19" t="str" cm="1">
        <f t="array" aca="1" ref="Z19" ca="1">IF(CELL("contents",N19)=0,"",CELL("contents",N19))</f>
        <v/>
      </c>
      <c r="AA19" t="str" cm="1">
        <f t="array" aca="1" ref="AA19" ca="1">IF(CELL("contents",O19)=0,"",CELL("contents",O19))</f>
        <v/>
      </c>
    </row>
    <row r="20" spans="1:27" x14ac:dyDescent="0.35">
      <c r="A20" s="8" t="str" cm="1">
        <f t="array" ref="A20">IF(IFERROR(INDEX(SalesforceData!$A$2:'SalesforceData'!$A$36, MATCH(0, COUNTIF(DataTransformation!$A$2:'DataTransformation'!$A19, SalesforceData!$A$2:'SalesforceData'!$A$36), 0)),"") = 0,"", IFERROR(INDEX(SalesforceData!$A$2:'SalesforceData'!$A$36, MATCH(0, COUNTIF(DataTransformation!$A$2:'DataTransformation'!$A19, SalesforceData!$A$2:'SalesforceData'!$A$36), 0)),""))</f>
        <v/>
      </c>
      <c r="B20" s="8" t="str" cm="1">
        <f t="array" ref="B20">IF(IFERROR(INDEX(SalesforceData!$B$2:'SalesforceData'!$B$36, MATCH(0, COUNTIF(DataTransformation!$B$2:'DataTransformation'!$B19, SalesforceData!$B$2:'SalesforceData'!$B$36), 0)),"") = 0,"", IFERROR(INDEX(SalesforceData!$B$2:'SalesforceData'!$B$36, MATCH(0, COUNTIF(DataTransformation!$B$2:'DataTransformation'!$B19, SalesforceData!$B$2:'SalesforceData'!$B$36), 0)),""))</f>
        <v/>
      </c>
      <c r="E20" s="9"/>
      <c r="G20" s="8" t="str">
        <f t="shared" si="1"/>
        <v/>
      </c>
      <c r="H20" s="8" cm="1">
        <f t="array" ref="H20">IFERROR(IF(COUNT(INDEX(SalesforceData!$D$2:$D$36,MATCH(1,($G20=SalesforceData!$A$2:$A$36)*(H$2=SalesforceData!$B$2:'SalesforceData'!$B$36)*(H$3=SalesforceData!$C$2:'SalesforceData'!$C$36),0)))=0,INDEX(SalesforceData!$F$2:$F$36,MATCH(1,($G20=SalesforceData!$A$2:$A$36)*(H$2=SalesforceData!$B$2:'SalesforceData'!$B$36) * (H$3=SalesforceData!$E$2:'SalesforceData'!$E$36),0)),INDEX(SalesforceData!$D$2:$D$36,MATCH(1,($G20=SalesforceData!$A$2:$A$36)*(H$2=SalesforceData!$B$2:'SalesforceData'!$B$36)*(H$3=SalesforceData!$C$2:'SalesforceData'!$C$36),0))),"")</f>
        <v>0</v>
      </c>
      <c r="I20" s="8" cm="1">
        <f t="array" ref="I20">IFERROR(IF(COUNT(INDEX(SalesforceData!$D$2:$D$36,MATCH(1,($G20=SalesforceData!$A$2:$A$36)*(I$2=SalesforceData!$B$2:'SalesforceData'!$B$36)*(I$3=SalesforceData!$C$2:'SalesforceData'!$C$36),0)))=0,INDEX(SalesforceData!$F$2:$F$36,MATCH(1,($G20=SalesforceData!$A$2:$A$36)*(I$2=SalesforceData!$B$2:'SalesforceData'!$B$36) * (I$3=SalesforceData!$E$2:'SalesforceData'!$E$36),0)),INDEX(SalesforceData!$D$2:$D$36,MATCH(1,($G20=SalesforceData!$A$2:$A$36)*(I$2=SalesforceData!$B$2:'SalesforceData'!$B$36)*(I$3=SalesforceData!$C$2:'SalesforceData'!$C$36),0))),"")</f>
        <v>0</v>
      </c>
      <c r="J20" s="8" cm="1">
        <f t="array" ref="J20">IFERROR(IF(COUNT(INDEX(SalesforceData!$D$2:$D$36,MATCH(1,($G20=SalesforceData!$A$2:$A$36)*(J$2=SalesforceData!$B$2:'SalesforceData'!$B$36)*(J$3=SalesforceData!$C$2:'SalesforceData'!$C$36),0)))=0,INDEX(SalesforceData!$F$2:$F$36,MATCH(1,($G20=SalesforceData!$A$2:$A$36)*(J$2=SalesforceData!$B$2:'SalesforceData'!$B$36) * (J$3=SalesforceData!$E$2:'SalesforceData'!$E$36),0)),INDEX(SalesforceData!$D$2:$D$36,MATCH(1,($G20=SalesforceData!$A$2:$A$36)*(J$2=SalesforceData!$B$2:'SalesforceData'!$B$36)*(J$3=SalesforceData!$C$2:'SalesforceData'!$C$36),0))),"")</f>
        <v>0</v>
      </c>
      <c r="K20" s="8" cm="1">
        <f t="array" ref="K20">IFERROR(IF(COUNT(INDEX(SalesforceData!$D$2:$D$36,MATCH(1,($G20=SalesforceData!$A$2:$A$36)*(K$2=SalesforceData!$B$2:'SalesforceData'!$B$36)*(K$3=SalesforceData!$C$2:'SalesforceData'!$C$36),0)))=0,INDEX(SalesforceData!$F$2:$F$36,MATCH(1,($G20=SalesforceData!$A$2:$A$36)*(K$2=SalesforceData!$B$2:'SalesforceData'!$B$36) * (K$3=SalesforceData!$E$2:'SalesforceData'!$E$36),0)),INDEX(SalesforceData!$D$2:$D$36,MATCH(1,($G20=SalesforceData!$A$2:$A$36)*(K$2=SalesforceData!$B$2:'SalesforceData'!$B$36)*(K$3=SalesforceData!$C$2:'SalesforceData'!$C$36),0))),"")</f>
        <v>0</v>
      </c>
      <c r="L20" s="8" cm="1">
        <f t="array" ref="L20">IFERROR(IF(COUNT(INDEX(SalesforceData!$D$2:$D$36,MATCH(1,($G20=SalesforceData!$A$2:$A$36)*(L$2=SalesforceData!$B$2:'SalesforceData'!$B$36)*(L$3=SalesforceData!$C$2:'SalesforceData'!$C$36),0)))=0,INDEX(SalesforceData!$F$2:$F$36,MATCH(1,($G20=SalesforceData!$A$2:$A$36)*(L$2=SalesforceData!$B$2:'SalesforceData'!$B$36) * (L$3=SalesforceData!$E$2:'SalesforceData'!$E$36),0)),INDEX(SalesforceData!$D$2:$D$36,MATCH(1,($G20=SalesforceData!$A$2:$A$36)*(L$2=SalesforceData!$B$2:'SalesforceData'!$B$36)*(L$3=SalesforceData!$C$2:'SalesforceData'!$C$36),0))),"")</f>
        <v>0</v>
      </c>
      <c r="M20" s="8" cm="1">
        <f t="array" ref="M20">IFERROR(IF(COUNT(INDEX(SalesforceData!$D$2:$D$36,MATCH(1,($G20=SalesforceData!$A$2:$A$36)*(M$2=SalesforceData!$B$2:'SalesforceData'!$B$36)*(M$3=SalesforceData!$C$2:'SalesforceData'!$C$36),0)))=0,INDEX(SalesforceData!$F$2:$F$36,MATCH(1,($G20=SalesforceData!$A$2:$A$36)*(M$2=SalesforceData!$B$2:'SalesforceData'!$B$36) * (M$3=SalesforceData!$E$2:'SalesforceData'!$E$36),0)),INDEX(SalesforceData!$D$2:$D$36,MATCH(1,($G20=SalesforceData!$A$2:$A$36)*(M$2=SalesforceData!$B$2:'SalesforceData'!$B$36)*(M$3=SalesforceData!$C$2:'SalesforceData'!$C$36),0))),"")</f>
        <v>0</v>
      </c>
      <c r="N20" s="8" cm="1">
        <f t="array" ref="N20">IFERROR(IF(COUNT(INDEX(SalesforceData!$D$2:$D$36,MATCH(1,($G20=SalesforceData!$A$2:$A$36)*(N$2=SalesforceData!$B$2:'SalesforceData'!$B$36)*(N$3=SalesforceData!$C$2:'SalesforceData'!$C$36),0)))=0,INDEX(SalesforceData!$F$2:$F$36,MATCH(1,($G20=SalesforceData!$A$2:$A$36)*(N$2=SalesforceData!$B$2:'SalesforceData'!$B$36) * (N$3=SalesforceData!$E$2:'SalesforceData'!$E$36),0)),INDEX(SalesforceData!$D$2:$D$36,MATCH(1,($G20=SalesforceData!$A$2:$A$36)*(N$2=SalesforceData!$B$2:'SalesforceData'!$B$36)*(N$3=SalesforceData!$C$2:'SalesforceData'!$C$36),0))),"")</f>
        <v>0</v>
      </c>
      <c r="O20" s="8" cm="1">
        <f t="array" ref="O20">IFERROR(IF(COUNT(INDEX(SalesforceData!$D$2:$D$36,MATCH(1,($G20=SalesforceData!$A$2:$A$36)*(O$2=SalesforceData!$B$2:'SalesforceData'!$B$36)*(O$3=SalesforceData!$C$2:'SalesforceData'!$C$36),0)))=0,INDEX(SalesforceData!$F$2:$F$36,MATCH(1,($G20=SalesforceData!$A$2:$A$36)*(O$2=SalesforceData!$B$2:'SalesforceData'!$B$36) * (O$3=SalesforceData!$E$2:'SalesforceData'!$E$36),0)),INDEX(SalesforceData!$D$2:$D$36,MATCH(1,($G20=SalesforceData!$A$2:$A$36)*(O$2=SalesforceData!$B$2:'SalesforceData'!$B$36)*(O$3=SalesforceData!$C$2:'SalesforceData'!$C$36),0))),"")</f>
        <v>0</v>
      </c>
      <c r="Q20" s="9"/>
      <c r="S20" t="str" cm="1">
        <f t="array" aca="1" ref="S20" ca="1">IF(CELL("contents",G20)=0,"",CELL("contents",G20))</f>
        <v/>
      </c>
      <c r="T20" t="str" cm="1">
        <f t="array" aca="1" ref="T20" ca="1">IF(CELL("contents",H20)=0,"",CELL("contents",H20))</f>
        <v/>
      </c>
      <c r="U20" t="str" cm="1">
        <f t="array" aca="1" ref="U20" ca="1">IF(CELL("contents",I20)=0,"",CELL("contents",I20))</f>
        <v/>
      </c>
      <c r="V20" t="str" cm="1">
        <f t="array" aca="1" ref="V20" ca="1">IF(CELL("contents",J20)=0,"",CELL("contents",J20))</f>
        <v/>
      </c>
      <c r="W20" t="str" cm="1">
        <f t="array" aca="1" ref="W20" ca="1">IF(CELL("contents",K20)=0,"",CELL("contents",K20))</f>
        <v/>
      </c>
      <c r="X20" t="str" cm="1">
        <f t="array" aca="1" ref="X20" ca="1">IF(CELL("contents",L20)=0,"",CELL("contents",L20))</f>
        <v/>
      </c>
      <c r="Y20" t="str" cm="1">
        <f t="array" aca="1" ref="Y20" ca="1">IF(CELL("contents",M20)=0,"",CELL("contents",M20))</f>
        <v/>
      </c>
      <c r="Z20" t="str" cm="1">
        <f t="array" aca="1" ref="Z20" ca="1">IF(CELL("contents",N20)=0,"",CELL("contents",N20))</f>
        <v/>
      </c>
      <c r="AA20" t="str" cm="1">
        <f t="array" aca="1" ref="AA20" ca="1">IF(CELL("contents",O20)=0,"",CELL("contents",O20))</f>
        <v/>
      </c>
    </row>
    <row r="21" spans="1:27" x14ac:dyDescent="0.35">
      <c r="A21" s="8" t="str" cm="1">
        <f t="array" ref="A21">IF(IFERROR(INDEX(SalesforceData!$A$2:'SalesforceData'!$A$36, MATCH(0, COUNTIF(DataTransformation!$A$2:'DataTransformation'!$A20, SalesforceData!$A$2:'SalesforceData'!$A$36), 0)),"") = 0,"", IFERROR(INDEX(SalesforceData!$A$2:'SalesforceData'!$A$36, MATCH(0, COUNTIF(DataTransformation!$A$2:'DataTransformation'!$A20, SalesforceData!$A$2:'SalesforceData'!$A$36), 0)),""))</f>
        <v/>
      </c>
      <c r="B21" s="8" t="str" cm="1">
        <f t="array" ref="B21">IF(IFERROR(INDEX(SalesforceData!$B$2:'SalesforceData'!$B$36, MATCH(0, COUNTIF(DataTransformation!$B$2:'DataTransformation'!$B20, SalesforceData!$B$2:'SalesforceData'!$B$36), 0)),"") = 0,"", IFERROR(INDEX(SalesforceData!$B$2:'SalesforceData'!$B$36, MATCH(0, COUNTIF(DataTransformation!$B$2:'DataTransformation'!$B20, SalesforceData!$B$2:'SalesforceData'!$B$36), 0)),""))</f>
        <v/>
      </c>
      <c r="E21" s="9"/>
      <c r="G21" s="8" t="str">
        <f t="shared" si="1"/>
        <v/>
      </c>
      <c r="H21" s="8" cm="1">
        <f t="array" ref="H21">IFERROR(IF(COUNT(INDEX(SalesforceData!$D$2:$D$36,MATCH(1,($G21=SalesforceData!$A$2:$A$36)*(H$2=SalesforceData!$B$2:'SalesforceData'!$B$36)*(H$3=SalesforceData!$C$2:'SalesforceData'!$C$36),0)))=0,INDEX(SalesforceData!$F$2:$F$36,MATCH(1,($G21=SalesforceData!$A$2:$A$36)*(H$2=SalesforceData!$B$2:'SalesforceData'!$B$36) * (H$3=SalesforceData!$E$2:'SalesforceData'!$E$36),0)),INDEX(SalesforceData!$D$2:$D$36,MATCH(1,($G21=SalesforceData!$A$2:$A$36)*(H$2=SalesforceData!$B$2:'SalesforceData'!$B$36)*(H$3=SalesforceData!$C$2:'SalesforceData'!$C$36),0))),"")</f>
        <v>0</v>
      </c>
      <c r="I21" s="8" cm="1">
        <f t="array" ref="I21">IFERROR(IF(COUNT(INDEX(SalesforceData!$D$2:$D$36,MATCH(1,($G21=SalesforceData!$A$2:$A$36)*(I$2=SalesforceData!$B$2:'SalesforceData'!$B$36)*(I$3=SalesforceData!$C$2:'SalesforceData'!$C$36),0)))=0,INDEX(SalesforceData!$F$2:$F$36,MATCH(1,($G21=SalesforceData!$A$2:$A$36)*(I$2=SalesforceData!$B$2:'SalesforceData'!$B$36) * (I$3=SalesforceData!$E$2:'SalesforceData'!$E$36),0)),INDEX(SalesforceData!$D$2:$D$36,MATCH(1,($G21=SalesforceData!$A$2:$A$36)*(I$2=SalesforceData!$B$2:'SalesforceData'!$B$36)*(I$3=SalesforceData!$C$2:'SalesforceData'!$C$36),0))),"")</f>
        <v>0</v>
      </c>
      <c r="J21" s="8" cm="1">
        <f t="array" ref="J21">IFERROR(IF(COUNT(INDEX(SalesforceData!$D$2:$D$36,MATCH(1,($G21=SalesforceData!$A$2:$A$36)*(J$2=SalesforceData!$B$2:'SalesforceData'!$B$36)*(J$3=SalesforceData!$C$2:'SalesforceData'!$C$36),0)))=0,INDEX(SalesforceData!$F$2:$F$36,MATCH(1,($G21=SalesforceData!$A$2:$A$36)*(J$2=SalesforceData!$B$2:'SalesforceData'!$B$36) * (J$3=SalesforceData!$E$2:'SalesforceData'!$E$36),0)),INDEX(SalesforceData!$D$2:$D$36,MATCH(1,($G21=SalesforceData!$A$2:$A$36)*(J$2=SalesforceData!$B$2:'SalesforceData'!$B$36)*(J$3=SalesforceData!$C$2:'SalesforceData'!$C$36),0))),"")</f>
        <v>0</v>
      </c>
      <c r="K21" s="8" cm="1">
        <f t="array" ref="K21">IFERROR(IF(COUNT(INDEX(SalesforceData!$D$2:$D$36,MATCH(1,($G21=SalesforceData!$A$2:$A$36)*(K$2=SalesforceData!$B$2:'SalesforceData'!$B$36)*(K$3=SalesforceData!$C$2:'SalesforceData'!$C$36),0)))=0,INDEX(SalesforceData!$F$2:$F$36,MATCH(1,($G21=SalesforceData!$A$2:$A$36)*(K$2=SalesforceData!$B$2:'SalesforceData'!$B$36) * (K$3=SalesforceData!$E$2:'SalesforceData'!$E$36),0)),INDEX(SalesforceData!$D$2:$D$36,MATCH(1,($G21=SalesforceData!$A$2:$A$36)*(K$2=SalesforceData!$B$2:'SalesforceData'!$B$36)*(K$3=SalesforceData!$C$2:'SalesforceData'!$C$36),0))),"")</f>
        <v>0</v>
      </c>
      <c r="L21" s="8" cm="1">
        <f t="array" ref="L21">IFERROR(IF(COUNT(INDEX(SalesforceData!$D$2:$D$36,MATCH(1,($G21=SalesforceData!$A$2:$A$36)*(L$2=SalesforceData!$B$2:'SalesforceData'!$B$36)*(L$3=SalesforceData!$C$2:'SalesforceData'!$C$36),0)))=0,INDEX(SalesforceData!$F$2:$F$36,MATCH(1,($G21=SalesforceData!$A$2:$A$36)*(L$2=SalesforceData!$B$2:'SalesforceData'!$B$36) * (L$3=SalesforceData!$E$2:'SalesforceData'!$E$36),0)),INDEX(SalesforceData!$D$2:$D$36,MATCH(1,($G21=SalesforceData!$A$2:$A$36)*(L$2=SalesforceData!$B$2:'SalesforceData'!$B$36)*(L$3=SalesforceData!$C$2:'SalesforceData'!$C$36),0))),"")</f>
        <v>0</v>
      </c>
      <c r="M21" s="8" cm="1">
        <f t="array" ref="M21">IFERROR(IF(COUNT(INDEX(SalesforceData!$D$2:$D$36,MATCH(1,($G21=SalesforceData!$A$2:$A$36)*(M$2=SalesforceData!$B$2:'SalesforceData'!$B$36)*(M$3=SalesforceData!$C$2:'SalesforceData'!$C$36),0)))=0,INDEX(SalesforceData!$F$2:$F$36,MATCH(1,($G21=SalesforceData!$A$2:$A$36)*(M$2=SalesforceData!$B$2:'SalesforceData'!$B$36) * (M$3=SalesforceData!$E$2:'SalesforceData'!$E$36),0)),INDEX(SalesforceData!$D$2:$D$36,MATCH(1,($G21=SalesforceData!$A$2:$A$36)*(M$2=SalesforceData!$B$2:'SalesforceData'!$B$36)*(M$3=SalesforceData!$C$2:'SalesforceData'!$C$36),0))),"")</f>
        <v>0</v>
      </c>
      <c r="N21" s="8" cm="1">
        <f t="array" ref="N21">IFERROR(IF(COUNT(INDEX(SalesforceData!$D$2:$D$36,MATCH(1,($G21=SalesforceData!$A$2:$A$36)*(N$2=SalesforceData!$B$2:'SalesforceData'!$B$36)*(N$3=SalesforceData!$C$2:'SalesforceData'!$C$36),0)))=0,INDEX(SalesforceData!$F$2:$F$36,MATCH(1,($G21=SalesforceData!$A$2:$A$36)*(N$2=SalesforceData!$B$2:'SalesforceData'!$B$36) * (N$3=SalesforceData!$E$2:'SalesforceData'!$E$36),0)),INDEX(SalesforceData!$D$2:$D$36,MATCH(1,($G21=SalesforceData!$A$2:$A$36)*(N$2=SalesforceData!$B$2:'SalesforceData'!$B$36)*(N$3=SalesforceData!$C$2:'SalesforceData'!$C$36),0))),"")</f>
        <v>0</v>
      </c>
      <c r="O21" s="8" cm="1">
        <f t="array" ref="O21">IFERROR(IF(COUNT(INDEX(SalesforceData!$D$2:$D$36,MATCH(1,($G21=SalesforceData!$A$2:$A$36)*(O$2=SalesforceData!$B$2:'SalesforceData'!$B$36)*(O$3=SalesforceData!$C$2:'SalesforceData'!$C$36),0)))=0,INDEX(SalesforceData!$F$2:$F$36,MATCH(1,($G21=SalesforceData!$A$2:$A$36)*(O$2=SalesforceData!$B$2:'SalesforceData'!$B$36) * (O$3=SalesforceData!$E$2:'SalesforceData'!$E$36),0)),INDEX(SalesforceData!$D$2:$D$36,MATCH(1,($G21=SalesforceData!$A$2:$A$36)*(O$2=SalesforceData!$B$2:'SalesforceData'!$B$36)*(O$3=SalesforceData!$C$2:'SalesforceData'!$C$36),0))),"")</f>
        <v>0</v>
      </c>
      <c r="Q21" s="9"/>
      <c r="S21" t="str" cm="1">
        <f t="array" aca="1" ref="S21" ca="1">IF(CELL("contents",G21)=0,"",CELL("contents",G21))</f>
        <v/>
      </c>
      <c r="T21" t="str" cm="1">
        <f t="array" aca="1" ref="T21" ca="1">IF(CELL("contents",H21)=0,"",CELL("contents",H21))</f>
        <v/>
      </c>
      <c r="U21" t="str" cm="1">
        <f t="array" aca="1" ref="U21" ca="1">IF(CELL("contents",I21)=0,"",CELL("contents",I21))</f>
        <v/>
      </c>
      <c r="V21" t="str" cm="1">
        <f t="array" aca="1" ref="V21" ca="1">IF(CELL("contents",J21)=0,"",CELL("contents",J21))</f>
        <v/>
      </c>
      <c r="W21" t="str" cm="1">
        <f t="array" aca="1" ref="W21" ca="1">IF(CELL("contents",K21)=0,"",CELL("contents",K21))</f>
        <v/>
      </c>
      <c r="X21" t="str" cm="1">
        <f t="array" aca="1" ref="X21" ca="1">IF(CELL("contents",L21)=0,"",CELL("contents",L21))</f>
        <v/>
      </c>
      <c r="Y21" t="str" cm="1">
        <f t="array" aca="1" ref="Y21" ca="1">IF(CELL("contents",M21)=0,"",CELL("contents",M21))</f>
        <v/>
      </c>
      <c r="Z21" t="str" cm="1">
        <f t="array" aca="1" ref="Z21" ca="1">IF(CELL("contents",N21)=0,"",CELL("contents",N21))</f>
        <v/>
      </c>
      <c r="AA21" t="str" cm="1">
        <f t="array" aca="1" ref="AA21" ca="1">IF(CELL("contents",O21)=0,"",CELL("contents",O21))</f>
        <v/>
      </c>
    </row>
    <row r="22" spans="1:27" x14ac:dyDescent="0.35">
      <c r="A22" s="8" t="str" cm="1">
        <f t="array" ref="A22">IF(IFERROR(INDEX(SalesforceData!$A$2:'SalesforceData'!$A$36, MATCH(0, COUNTIF(DataTransformation!$A$2:'DataTransformation'!$A21, SalesforceData!$A$2:'SalesforceData'!$A$36), 0)),"") = 0,"", IFERROR(INDEX(SalesforceData!$A$2:'SalesforceData'!$A$36, MATCH(0, COUNTIF(DataTransformation!$A$2:'DataTransformation'!$A21, SalesforceData!$A$2:'SalesforceData'!$A$36), 0)),""))</f>
        <v/>
      </c>
      <c r="B22" s="8" t="str" cm="1">
        <f t="array" ref="B22">IF(IFERROR(INDEX(SalesforceData!$B$2:'SalesforceData'!$B$36, MATCH(0, COUNTIF(DataTransformation!$B$2:'DataTransformation'!$B21, SalesforceData!$B$2:'SalesforceData'!$B$36), 0)),"") = 0,"", IFERROR(INDEX(SalesforceData!$B$2:'SalesforceData'!$B$36, MATCH(0, COUNTIF(DataTransformation!$B$2:'DataTransformation'!$B21, SalesforceData!$B$2:'SalesforceData'!$B$36), 0)),""))</f>
        <v/>
      </c>
      <c r="E22" s="9"/>
      <c r="G22" s="8" t="str">
        <f t="shared" si="1"/>
        <v/>
      </c>
      <c r="H22" s="8" cm="1">
        <f t="array" ref="H22">IFERROR(IF(COUNT(INDEX(SalesforceData!$D$2:$D$36,MATCH(1,($G22=SalesforceData!$A$2:$A$36)*(H$2=SalesforceData!$B$2:'SalesforceData'!$B$36)*(H$3=SalesforceData!$C$2:'SalesforceData'!$C$36),0)))=0,INDEX(SalesforceData!$F$2:$F$36,MATCH(1,($G22=SalesforceData!$A$2:$A$36)*(H$2=SalesforceData!$B$2:'SalesforceData'!$B$36) * (H$3=SalesforceData!$E$2:'SalesforceData'!$E$36),0)),INDEX(SalesforceData!$D$2:$D$36,MATCH(1,($G22=SalesforceData!$A$2:$A$36)*(H$2=SalesforceData!$B$2:'SalesforceData'!$B$36)*(H$3=SalesforceData!$C$2:'SalesforceData'!$C$36),0))),"")</f>
        <v>0</v>
      </c>
      <c r="I22" s="8" cm="1">
        <f t="array" ref="I22">IFERROR(IF(COUNT(INDEX(SalesforceData!$D$2:$D$36,MATCH(1,($G22=SalesforceData!$A$2:$A$36)*(I$2=SalesforceData!$B$2:'SalesforceData'!$B$36)*(I$3=SalesforceData!$C$2:'SalesforceData'!$C$36),0)))=0,INDEX(SalesforceData!$F$2:$F$36,MATCH(1,($G22=SalesforceData!$A$2:$A$36)*(I$2=SalesforceData!$B$2:'SalesforceData'!$B$36) * (I$3=SalesforceData!$E$2:'SalesforceData'!$E$36),0)),INDEX(SalesforceData!$D$2:$D$36,MATCH(1,($G22=SalesforceData!$A$2:$A$36)*(I$2=SalesforceData!$B$2:'SalesforceData'!$B$36)*(I$3=SalesforceData!$C$2:'SalesforceData'!$C$36),0))),"")</f>
        <v>0</v>
      </c>
      <c r="J22" s="8" cm="1">
        <f t="array" ref="J22">IFERROR(IF(COUNT(INDEX(SalesforceData!$D$2:$D$36,MATCH(1,($G22=SalesforceData!$A$2:$A$36)*(J$2=SalesforceData!$B$2:'SalesforceData'!$B$36)*(J$3=SalesforceData!$C$2:'SalesforceData'!$C$36),0)))=0,INDEX(SalesforceData!$F$2:$F$36,MATCH(1,($G22=SalesforceData!$A$2:$A$36)*(J$2=SalesforceData!$B$2:'SalesforceData'!$B$36) * (J$3=SalesforceData!$E$2:'SalesforceData'!$E$36),0)),INDEX(SalesforceData!$D$2:$D$36,MATCH(1,($G22=SalesforceData!$A$2:$A$36)*(J$2=SalesforceData!$B$2:'SalesforceData'!$B$36)*(J$3=SalesforceData!$C$2:'SalesforceData'!$C$36),0))),"")</f>
        <v>0</v>
      </c>
      <c r="K22" s="8" cm="1">
        <f t="array" ref="K22">IFERROR(IF(COUNT(INDEX(SalesforceData!$D$2:$D$36,MATCH(1,($G22=SalesforceData!$A$2:$A$36)*(K$2=SalesforceData!$B$2:'SalesforceData'!$B$36)*(K$3=SalesforceData!$C$2:'SalesforceData'!$C$36),0)))=0,INDEX(SalesforceData!$F$2:$F$36,MATCH(1,($G22=SalesforceData!$A$2:$A$36)*(K$2=SalesforceData!$B$2:'SalesforceData'!$B$36) * (K$3=SalesforceData!$E$2:'SalesforceData'!$E$36),0)),INDEX(SalesforceData!$D$2:$D$36,MATCH(1,($G22=SalesforceData!$A$2:$A$36)*(K$2=SalesforceData!$B$2:'SalesforceData'!$B$36)*(K$3=SalesforceData!$C$2:'SalesforceData'!$C$36),0))),"")</f>
        <v>0</v>
      </c>
      <c r="L22" s="8" cm="1">
        <f t="array" ref="L22">IFERROR(IF(COUNT(INDEX(SalesforceData!$D$2:$D$36,MATCH(1,($G22=SalesforceData!$A$2:$A$36)*(L$2=SalesforceData!$B$2:'SalesforceData'!$B$36)*(L$3=SalesforceData!$C$2:'SalesforceData'!$C$36),0)))=0,INDEX(SalesforceData!$F$2:$F$36,MATCH(1,($G22=SalesforceData!$A$2:$A$36)*(L$2=SalesforceData!$B$2:'SalesforceData'!$B$36) * (L$3=SalesforceData!$E$2:'SalesforceData'!$E$36),0)),INDEX(SalesforceData!$D$2:$D$36,MATCH(1,($G22=SalesforceData!$A$2:$A$36)*(L$2=SalesforceData!$B$2:'SalesforceData'!$B$36)*(L$3=SalesforceData!$C$2:'SalesforceData'!$C$36),0))),"")</f>
        <v>0</v>
      </c>
      <c r="M22" s="8" cm="1">
        <f t="array" ref="M22">IFERROR(IF(COUNT(INDEX(SalesforceData!$D$2:$D$36,MATCH(1,($G22=SalesforceData!$A$2:$A$36)*(M$2=SalesforceData!$B$2:'SalesforceData'!$B$36)*(M$3=SalesforceData!$C$2:'SalesforceData'!$C$36),0)))=0,INDEX(SalesforceData!$F$2:$F$36,MATCH(1,($G22=SalesforceData!$A$2:$A$36)*(M$2=SalesforceData!$B$2:'SalesforceData'!$B$36) * (M$3=SalesforceData!$E$2:'SalesforceData'!$E$36),0)),INDEX(SalesforceData!$D$2:$D$36,MATCH(1,($G22=SalesforceData!$A$2:$A$36)*(M$2=SalesforceData!$B$2:'SalesforceData'!$B$36)*(M$3=SalesforceData!$C$2:'SalesforceData'!$C$36),0))),"")</f>
        <v>0</v>
      </c>
      <c r="N22" s="8" cm="1">
        <f t="array" ref="N22">IFERROR(IF(COUNT(INDEX(SalesforceData!$D$2:$D$36,MATCH(1,($G22=SalesforceData!$A$2:$A$36)*(N$2=SalesforceData!$B$2:'SalesforceData'!$B$36)*(N$3=SalesforceData!$C$2:'SalesforceData'!$C$36),0)))=0,INDEX(SalesforceData!$F$2:$F$36,MATCH(1,($G22=SalesforceData!$A$2:$A$36)*(N$2=SalesforceData!$B$2:'SalesforceData'!$B$36) * (N$3=SalesforceData!$E$2:'SalesforceData'!$E$36),0)),INDEX(SalesforceData!$D$2:$D$36,MATCH(1,($G22=SalesforceData!$A$2:$A$36)*(N$2=SalesforceData!$B$2:'SalesforceData'!$B$36)*(N$3=SalesforceData!$C$2:'SalesforceData'!$C$36),0))),"")</f>
        <v>0</v>
      </c>
      <c r="O22" s="8" cm="1">
        <f t="array" ref="O22">IFERROR(IF(COUNT(INDEX(SalesforceData!$D$2:$D$36,MATCH(1,($G22=SalesforceData!$A$2:$A$36)*(O$2=SalesforceData!$B$2:'SalesforceData'!$B$36)*(O$3=SalesforceData!$C$2:'SalesforceData'!$C$36),0)))=0,INDEX(SalesforceData!$F$2:$F$36,MATCH(1,($G22=SalesforceData!$A$2:$A$36)*(O$2=SalesforceData!$B$2:'SalesforceData'!$B$36) * (O$3=SalesforceData!$E$2:'SalesforceData'!$E$36),0)),INDEX(SalesforceData!$D$2:$D$36,MATCH(1,($G22=SalesforceData!$A$2:$A$36)*(O$2=SalesforceData!$B$2:'SalesforceData'!$B$36)*(O$3=SalesforceData!$C$2:'SalesforceData'!$C$36),0))),"")</f>
        <v>0</v>
      </c>
      <c r="Q22" s="9"/>
      <c r="S22" t="str" cm="1">
        <f t="array" aca="1" ref="S22" ca="1">IF(CELL("contents",G22)=0,"",CELL("contents",G22))</f>
        <v/>
      </c>
      <c r="T22" t="str" cm="1">
        <f t="array" aca="1" ref="T22" ca="1">IF(CELL("contents",H22)=0,"",CELL("contents",H22))</f>
        <v/>
      </c>
      <c r="U22" t="str" cm="1">
        <f t="array" aca="1" ref="U22" ca="1">IF(CELL("contents",I22)=0,"",CELL("contents",I22))</f>
        <v/>
      </c>
      <c r="V22" t="str" cm="1">
        <f t="array" aca="1" ref="V22" ca="1">IF(CELL("contents",J22)=0,"",CELL("contents",J22))</f>
        <v/>
      </c>
      <c r="W22" t="str" cm="1">
        <f t="array" aca="1" ref="W22" ca="1">IF(CELL("contents",K22)=0,"",CELL("contents",K22))</f>
        <v/>
      </c>
      <c r="X22" t="str" cm="1">
        <f t="array" aca="1" ref="X22" ca="1">IF(CELL("contents",L22)=0,"",CELL("contents",L22))</f>
        <v/>
      </c>
      <c r="Y22" t="str" cm="1">
        <f t="array" aca="1" ref="Y22" ca="1">IF(CELL("contents",M22)=0,"",CELL("contents",M22))</f>
        <v/>
      </c>
      <c r="Z22" t="str" cm="1">
        <f t="array" aca="1" ref="Z22" ca="1">IF(CELL("contents",N22)=0,"",CELL("contents",N22))</f>
        <v/>
      </c>
      <c r="AA22" t="str" cm="1">
        <f t="array" aca="1" ref="AA22" ca="1">IF(CELL("contents",O22)=0,"",CELL("contents",O22))</f>
        <v/>
      </c>
    </row>
    <row r="23" spans="1:27" x14ac:dyDescent="0.35">
      <c r="A23" s="8" t="str" cm="1">
        <f t="array" ref="A23">IF(IFERROR(INDEX(SalesforceData!$A$2:'SalesforceData'!$A$36, MATCH(0, COUNTIF(DataTransformation!$A$2:'DataTransformation'!$A22, SalesforceData!$A$2:'SalesforceData'!$A$36), 0)),"") = 0,"", IFERROR(INDEX(SalesforceData!$A$2:'SalesforceData'!$A$36, MATCH(0, COUNTIF(DataTransformation!$A$2:'DataTransformation'!$A22, SalesforceData!$A$2:'SalesforceData'!$A$36), 0)),""))</f>
        <v/>
      </c>
      <c r="B23" s="8" t="str" cm="1">
        <f t="array" ref="B23">IF(IFERROR(INDEX(SalesforceData!$B$2:'SalesforceData'!$B$36, MATCH(0, COUNTIF(DataTransformation!$B$2:'DataTransformation'!$B22, SalesforceData!$B$2:'SalesforceData'!$B$36), 0)),"") = 0,"", IFERROR(INDEX(SalesforceData!$B$2:'SalesforceData'!$B$36, MATCH(0, COUNTIF(DataTransformation!$B$2:'DataTransformation'!$B22, SalesforceData!$B$2:'SalesforceData'!$B$36), 0)),""))</f>
        <v/>
      </c>
      <c r="E23" s="9"/>
      <c r="G23" s="8" t="str">
        <f t="shared" si="1"/>
        <v/>
      </c>
      <c r="H23" s="8" cm="1">
        <f t="array" ref="H23">IFERROR(IF(COUNT(INDEX(SalesforceData!$D$2:$D$36,MATCH(1,($G23=SalesforceData!$A$2:$A$36)*(H$2=SalesforceData!$B$2:'SalesforceData'!$B$36)*(H$3=SalesforceData!$C$2:'SalesforceData'!$C$36),0)))=0,INDEX(SalesforceData!$F$2:$F$36,MATCH(1,($G23=SalesforceData!$A$2:$A$36)*(H$2=SalesforceData!$B$2:'SalesforceData'!$B$36) * (H$3=SalesforceData!$E$2:'SalesforceData'!$E$36),0)),INDEX(SalesforceData!$D$2:$D$36,MATCH(1,($G23=SalesforceData!$A$2:$A$36)*(H$2=SalesforceData!$B$2:'SalesforceData'!$B$36)*(H$3=SalesforceData!$C$2:'SalesforceData'!$C$36),0))),"")</f>
        <v>0</v>
      </c>
      <c r="I23" s="8" cm="1">
        <f t="array" ref="I23">IFERROR(IF(COUNT(INDEX(SalesforceData!$D$2:$D$36,MATCH(1,($G23=SalesforceData!$A$2:$A$36)*(I$2=SalesforceData!$B$2:'SalesforceData'!$B$36)*(I$3=SalesforceData!$C$2:'SalesforceData'!$C$36),0)))=0,INDEX(SalesforceData!$F$2:$F$36,MATCH(1,($G23=SalesforceData!$A$2:$A$36)*(I$2=SalesforceData!$B$2:'SalesforceData'!$B$36) * (I$3=SalesforceData!$E$2:'SalesforceData'!$E$36),0)),INDEX(SalesforceData!$D$2:$D$36,MATCH(1,($G23=SalesforceData!$A$2:$A$36)*(I$2=SalesforceData!$B$2:'SalesforceData'!$B$36)*(I$3=SalesforceData!$C$2:'SalesforceData'!$C$36),0))),"")</f>
        <v>0</v>
      </c>
      <c r="J23" s="8" cm="1">
        <f t="array" ref="J23">IFERROR(IF(COUNT(INDEX(SalesforceData!$D$2:$D$36,MATCH(1,($G23=SalesforceData!$A$2:$A$36)*(J$2=SalesforceData!$B$2:'SalesforceData'!$B$36)*(J$3=SalesforceData!$C$2:'SalesforceData'!$C$36),0)))=0,INDEX(SalesforceData!$F$2:$F$36,MATCH(1,($G23=SalesforceData!$A$2:$A$36)*(J$2=SalesforceData!$B$2:'SalesforceData'!$B$36) * (J$3=SalesforceData!$E$2:'SalesforceData'!$E$36),0)),INDEX(SalesforceData!$D$2:$D$36,MATCH(1,($G23=SalesforceData!$A$2:$A$36)*(J$2=SalesforceData!$B$2:'SalesforceData'!$B$36)*(J$3=SalesforceData!$C$2:'SalesforceData'!$C$36),0))),"")</f>
        <v>0</v>
      </c>
      <c r="K23" s="8" cm="1">
        <f t="array" ref="K23">IFERROR(IF(COUNT(INDEX(SalesforceData!$D$2:$D$36,MATCH(1,($G23=SalesforceData!$A$2:$A$36)*(K$2=SalesforceData!$B$2:'SalesforceData'!$B$36)*(K$3=SalesforceData!$C$2:'SalesforceData'!$C$36),0)))=0,INDEX(SalesforceData!$F$2:$F$36,MATCH(1,($G23=SalesforceData!$A$2:$A$36)*(K$2=SalesforceData!$B$2:'SalesforceData'!$B$36) * (K$3=SalesforceData!$E$2:'SalesforceData'!$E$36),0)),INDEX(SalesforceData!$D$2:$D$36,MATCH(1,($G23=SalesforceData!$A$2:$A$36)*(K$2=SalesforceData!$B$2:'SalesforceData'!$B$36)*(K$3=SalesforceData!$C$2:'SalesforceData'!$C$36),0))),"")</f>
        <v>0</v>
      </c>
      <c r="L23" s="8" cm="1">
        <f t="array" ref="L23">IFERROR(IF(COUNT(INDEX(SalesforceData!$D$2:$D$36,MATCH(1,($G23=SalesforceData!$A$2:$A$36)*(L$2=SalesforceData!$B$2:'SalesforceData'!$B$36)*(L$3=SalesforceData!$C$2:'SalesforceData'!$C$36),0)))=0,INDEX(SalesforceData!$F$2:$F$36,MATCH(1,($G23=SalesforceData!$A$2:$A$36)*(L$2=SalesforceData!$B$2:'SalesforceData'!$B$36) * (L$3=SalesforceData!$E$2:'SalesforceData'!$E$36),0)),INDEX(SalesforceData!$D$2:$D$36,MATCH(1,($G23=SalesforceData!$A$2:$A$36)*(L$2=SalesforceData!$B$2:'SalesforceData'!$B$36)*(L$3=SalesforceData!$C$2:'SalesforceData'!$C$36),0))),"")</f>
        <v>0</v>
      </c>
      <c r="M23" s="8" cm="1">
        <f t="array" ref="M23">IFERROR(IF(COUNT(INDEX(SalesforceData!$D$2:$D$36,MATCH(1,($G23=SalesforceData!$A$2:$A$36)*(M$2=SalesforceData!$B$2:'SalesforceData'!$B$36)*(M$3=SalesforceData!$C$2:'SalesforceData'!$C$36),0)))=0,INDEX(SalesforceData!$F$2:$F$36,MATCH(1,($G23=SalesforceData!$A$2:$A$36)*(M$2=SalesforceData!$B$2:'SalesforceData'!$B$36) * (M$3=SalesforceData!$E$2:'SalesforceData'!$E$36),0)),INDEX(SalesforceData!$D$2:$D$36,MATCH(1,($G23=SalesforceData!$A$2:$A$36)*(M$2=SalesforceData!$B$2:'SalesforceData'!$B$36)*(M$3=SalesforceData!$C$2:'SalesforceData'!$C$36),0))),"")</f>
        <v>0</v>
      </c>
      <c r="N23" s="8" cm="1">
        <f t="array" ref="N23">IFERROR(IF(COUNT(INDEX(SalesforceData!$D$2:$D$36,MATCH(1,($G23=SalesforceData!$A$2:$A$36)*(N$2=SalesforceData!$B$2:'SalesforceData'!$B$36)*(N$3=SalesforceData!$C$2:'SalesforceData'!$C$36),0)))=0,INDEX(SalesforceData!$F$2:$F$36,MATCH(1,($G23=SalesforceData!$A$2:$A$36)*(N$2=SalesforceData!$B$2:'SalesforceData'!$B$36) * (N$3=SalesforceData!$E$2:'SalesforceData'!$E$36),0)),INDEX(SalesforceData!$D$2:$D$36,MATCH(1,($G23=SalesforceData!$A$2:$A$36)*(N$2=SalesforceData!$B$2:'SalesforceData'!$B$36)*(N$3=SalesforceData!$C$2:'SalesforceData'!$C$36),0))),"")</f>
        <v>0</v>
      </c>
      <c r="O23" s="8" cm="1">
        <f t="array" ref="O23">IFERROR(IF(COUNT(INDEX(SalesforceData!$D$2:$D$36,MATCH(1,($G23=SalesforceData!$A$2:$A$36)*(O$2=SalesforceData!$B$2:'SalesforceData'!$B$36)*(O$3=SalesforceData!$C$2:'SalesforceData'!$C$36),0)))=0,INDEX(SalesforceData!$F$2:$F$36,MATCH(1,($G23=SalesforceData!$A$2:$A$36)*(O$2=SalesforceData!$B$2:'SalesforceData'!$B$36) * (O$3=SalesforceData!$E$2:'SalesforceData'!$E$36),0)),INDEX(SalesforceData!$D$2:$D$36,MATCH(1,($G23=SalesforceData!$A$2:$A$36)*(O$2=SalesforceData!$B$2:'SalesforceData'!$B$36)*(O$3=SalesforceData!$C$2:'SalesforceData'!$C$36),0))),"")</f>
        <v>0</v>
      </c>
      <c r="Q23" s="9"/>
      <c r="S23" t="str" cm="1">
        <f t="array" aca="1" ref="S23" ca="1">IF(CELL("contents",G23)=0,"",CELL("contents",G23))</f>
        <v/>
      </c>
      <c r="T23" t="str" cm="1">
        <f t="array" aca="1" ref="T23" ca="1">IF(CELL("contents",H23)=0,"",CELL("contents",H23))</f>
        <v/>
      </c>
      <c r="U23" t="str" cm="1">
        <f t="array" aca="1" ref="U23" ca="1">IF(CELL("contents",I23)=0,"",CELL("contents",I23))</f>
        <v/>
      </c>
      <c r="V23" t="str" cm="1">
        <f t="array" aca="1" ref="V23" ca="1">IF(CELL("contents",J23)=0,"",CELL("contents",J23))</f>
        <v/>
      </c>
      <c r="W23" t="str" cm="1">
        <f t="array" aca="1" ref="W23" ca="1">IF(CELL("contents",K23)=0,"",CELL("contents",K23))</f>
        <v/>
      </c>
      <c r="X23" t="str" cm="1">
        <f t="array" aca="1" ref="X23" ca="1">IF(CELL("contents",L23)=0,"",CELL("contents",L23))</f>
        <v/>
      </c>
      <c r="Y23" t="str" cm="1">
        <f t="array" aca="1" ref="Y23" ca="1">IF(CELL("contents",M23)=0,"",CELL("contents",M23))</f>
        <v/>
      </c>
      <c r="Z23" t="str" cm="1">
        <f t="array" aca="1" ref="Z23" ca="1">IF(CELL("contents",N23)=0,"",CELL("contents",N23))</f>
        <v/>
      </c>
      <c r="AA23" t="str" cm="1">
        <f t="array" aca="1" ref="AA23" ca="1">IF(CELL("contents",O23)=0,"",CELL("contents",O23))</f>
        <v/>
      </c>
    </row>
    <row r="24" spans="1:27" x14ac:dyDescent="0.35">
      <c r="A24" s="8" t="str" cm="1">
        <f t="array" ref="A24">IF(IFERROR(INDEX(SalesforceData!$A$2:'SalesforceData'!$A$36, MATCH(0, COUNTIF(DataTransformation!$A$2:'DataTransformation'!$A23, SalesforceData!$A$2:'SalesforceData'!$A$36), 0)),"") = 0,"", IFERROR(INDEX(SalesforceData!$A$2:'SalesforceData'!$A$36, MATCH(0, COUNTIF(DataTransformation!$A$2:'DataTransformation'!$A23, SalesforceData!$A$2:'SalesforceData'!$A$36), 0)),""))</f>
        <v/>
      </c>
      <c r="B24" s="8" t="str" cm="1">
        <f t="array" ref="B24">IF(IFERROR(INDEX(SalesforceData!$B$2:'SalesforceData'!$B$36, MATCH(0, COUNTIF(DataTransformation!$B$2:'DataTransformation'!$B23, SalesforceData!$B$2:'SalesforceData'!$B$36), 0)),"") = 0,"", IFERROR(INDEX(SalesforceData!$B$2:'SalesforceData'!$B$36, MATCH(0, COUNTIF(DataTransformation!$B$2:'DataTransformation'!$B23, SalesforceData!$B$2:'SalesforceData'!$B$36), 0)),""))</f>
        <v/>
      </c>
      <c r="E24" s="9"/>
      <c r="G24" s="8" t="str">
        <f t="shared" si="1"/>
        <v/>
      </c>
      <c r="H24" s="8" cm="1">
        <f t="array" ref="H24">IFERROR(IF(COUNT(INDEX(SalesforceData!$D$2:$D$36,MATCH(1,($G24=SalesforceData!$A$2:$A$36)*(H$2=SalesforceData!$B$2:'SalesforceData'!$B$36)*(H$3=SalesforceData!$C$2:'SalesforceData'!$C$36),0)))=0,INDEX(SalesforceData!$F$2:$F$36,MATCH(1,($G24=SalesforceData!$A$2:$A$36)*(H$2=SalesforceData!$B$2:'SalesforceData'!$B$36) * (H$3=SalesforceData!$E$2:'SalesforceData'!$E$36),0)),INDEX(SalesforceData!$D$2:$D$36,MATCH(1,($G24=SalesforceData!$A$2:$A$36)*(H$2=SalesforceData!$B$2:'SalesforceData'!$B$36)*(H$3=SalesforceData!$C$2:'SalesforceData'!$C$36),0))),"")</f>
        <v>0</v>
      </c>
      <c r="I24" s="8" cm="1">
        <f t="array" ref="I24">IFERROR(IF(COUNT(INDEX(SalesforceData!$D$2:$D$36,MATCH(1,($G24=SalesforceData!$A$2:$A$36)*(I$2=SalesforceData!$B$2:'SalesforceData'!$B$36)*(I$3=SalesforceData!$C$2:'SalesforceData'!$C$36),0)))=0,INDEX(SalesforceData!$F$2:$F$36,MATCH(1,($G24=SalesforceData!$A$2:$A$36)*(I$2=SalesforceData!$B$2:'SalesforceData'!$B$36) * (I$3=SalesforceData!$E$2:'SalesforceData'!$E$36),0)),INDEX(SalesforceData!$D$2:$D$36,MATCH(1,($G24=SalesforceData!$A$2:$A$36)*(I$2=SalesforceData!$B$2:'SalesforceData'!$B$36)*(I$3=SalesforceData!$C$2:'SalesforceData'!$C$36),0))),"")</f>
        <v>0</v>
      </c>
      <c r="J24" s="8" cm="1">
        <f t="array" ref="J24">IFERROR(IF(COUNT(INDEX(SalesforceData!$D$2:$D$36,MATCH(1,($G24=SalesforceData!$A$2:$A$36)*(J$2=SalesforceData!$B$2:'SalesforceData'!$B$36)*(J$3=SalesforceData!$C$2:'SalesforceData'!$C$36),0)))=0,INDEX(SalesforceData!$F$2:$F$36,MATCH(1,($G24=SalesforceData!$A$2:$A$36)*(J$2=SalesforceData!$B$2:'SalesforceData'!$B$36) * (J$3=SalesforceData!$E$2:'SalesforceData'!$E$36),0)),INDEX(SalesforceData!$D$2:$D$36,MATCH(1,($G24=SalesforceData!$A$2:$A$36)*(J$2=SalesforceData!$B$2:'SalesforceData'!$B$36)*(J$3=SalesforceData!$C$2:'SalesforceData'!$C$36),0))),"")</f>
        <v>0</v>
      </c>
      <c r="K24" s="8" cm="1">
        <f t="array" ref="K24">IFERROR(IF(COUNT(INDEX(SalesforceData!$D$2:$D$36,MATCH(1,($G24=SalesforceData!$A$2:$A$36)*(K$2=SalesforceData!$B$2:'SalesforceData'!$B$36)*(K$3=SalesforceData!$C$2:'SalesforceData'!$C$36),0)))=0,INDEX(SalesforceData!$F$2:$F$36,MATCH(1,($G24=SalesforceData!$A$2:$A$36)*(K$2=SalesforceData!$B$2:'SalesforceData'!$B$36) * (K$3=SalesforceData!$E$2:'SalesforceData'!$E$36),0)),INDEX(SalesforceData!$D$2:$D$36,MATCH(1,($G24=SalesforceData!$A$2:$A$36)*(K$2=SalesforceData!$B$2:'SalesforceData'!$B$36)*(K$3=SalesforceData!$C$2:'SalesforceData'!$C$36),0))),"")</f>
        <v>0</v>
      </c>
      <c r="L24" s="8" cm="1">
        <f t="array" ref="L24">IFERROR(IF(COUNT(INDEX(SalesforceData!$D$2:$D$36,MATCH(1,($G24=SalesforceData!$A$2:$A$36)*(L$2=SalesforceData!$B$2:'SalesforceData'!$B$36)*(L$3=SalesforceData!$C$2:'SalesforceData'!$C$36),0)))=0,INDEX(SalesforceData!$F$2:$F$36,MATCH(1,($G24=SalesforceData!$A$2:$A$36)*(L$2=SalesforceData!$B$2:'SalesforceData'!$B$36) * (L$3=SalesforceData!$E$2:'SalesforceData'!$E$36),0)),INDEX(SalesforceData!$D$2:$D$36,MATCH(1,($G24=SalesforceData!$A$2:$A$36)*(L$2=SalesforceData!$B$2:'SalesforceData'!$B$36)*(L$3=SalesforceData!$C$2:'SalesforceData'!$C$36),0))),"")</f>
        <v>0</v>
      </c>
      <c r="M24" s="8" cm="1">
        <f t="array" ref="M24">IFERROR(IF(COUNT(INDEX(SalesforceData!$D$2:$D$36,MATCH(1,($G24=SalesforceData!$A$2:$A$36)*(M$2=SalesforceData!$B$2:'SalesforceData'!$B$36)*(M$3=SalesforceData!$C$2:'SalesforceData'!$C$36),0)))=0,INDEX(SalesforceData!$F$2:$F$36,MATCH(1,($G24=SalesforceData!$A$2:$A$36)*(M$2=SalesforceData!$B$2:'SalesforceData'!$B$36) * (M$3=SalesforceData!$E$2:'SalesforceData'!$E$36),0)),INDEX(SalesforceData!$D$2:$D$36,MATCH(1,($G24=SalesforceData!$A$2:$A$36)*(M$2=SalesforceData!$B$2:'SalesforceData'!$B$36)*(M$3=SalesforceData!$C$2:'SalesforceData'!$C$36),0))),"")</f>
        <v>0</v>
      </c>
      <c r="N24" s="8" cm="1">
        <f t="array" ref="N24">IFERROR(IF(COUNT(INDEX(SalesforceData!$D$2:$D$36,MATCH(1,($G24=SalesforceData!$A$2:$A$36)*(N$2=SalesforceData!$B$2:'SalesforceData'!$B$36)*(N$3=SalesforceData!$C$2:'SalesforceData'!$C$36),0)))=0,INDEX(SalesforceData!$F$2:$F$36,MATCH(1,($G24=SalesforceData!$A$2:$A$36)*(N$2=SalesforceData!$B$2:'SalesforceData'!$B$36) * (N$3=SalesforceData!$E$2:'SalesforceData'!$E$36),0)),INDEX(SalesforceData!$D$2:$D$36,MATCH(1,($G24=SalesforceData!$A$2:$A$36)*(N$2=SalesforceData!$B$2:'SalesforceData'!$B$36)*(N$3=SalesforceData!$C$2:'SalesforceData'!$C$36),0))),"")</f>
        <v>0</v>
      </c>
      <c r="O24" s="8" cm="1">
        <f t="array" ref="O24">IFERROR(IF(COUNT(INDEX(SalesforceData!$D$2:$D$36,MATCH(1,($G24=SalesforceData!$A$2:$A$36)*(O$2=SalesforceData!$B$2:'SalesforceData'!$B$36)*(O$3=SalesforceData!$C$2:'SalesforceData'!$C$36),0)))=0,INDEX(SalesforceData!$F$2:$F$36,MATCH(1,($G24=SalesforceData!$A$2:$A$36)*(O$2=SalesforceData!$B$2:'SalesforceData'!$B$36) * (O$3=SalesforceData!$E$2:'SalesforceData'!$E$36),0)),INDEX(SalesforceData!$D$2:$D$36,MATCH(1,($G24=SalesforceData!$A$2:$A$36)*(O$2=SalesforceData!$B$2:'SalesforceData'!$B$36)*(O$3=SalesforceData!$C$2:'SalesforceData'!$C$36),0))),"")</f>
        <v>0</v>
      </c>
      <c r="Q24" s="9"/>
      <c r="S24" t="str" cm="1">
        <f t="array" aca="1" ref="S24" ca="1">IF(CELL("contents",G24)=0,"",CELL("contents",G24))</f>
        <v/>
      </c>
      <c r="T24" t="str" cm="1">
        <f t="array" aca="1" ref="T24" ca="1">IF(CELL("contents",H24)=0,"",CELL("contents",H24))</f>
        <v/>
      </c>
      <c r="U24" t="str" cm="1">
        <f t="array" aca="1" ref="U24" ca="1">IF(CELL("contents",I24)=0,"",CELL("contents",I24))</f>
        <v/>
      </c>
      <c r="V24" t="str" cm="1">
        <f t="array" aca="1" ref="V24" ca="1">IF(CELL("contents",J24)=0,"",CELL("contents",J24))</f>
        <v/>
      </c>
      <c r="W24" t="str" cm="1">
        <f t="array" aca="1" ref="W24" ca="1">IF(CELL("contents",K24)=0,"",CELL("contents",K24))</f>
        <v/>
      </c>
      <c r="X24" t="str" cm="1">
        <f t="array" aca="1" ref="X24" ca="1">IF(CELL("contents",L24)=0,"",CELL("contents",L24))</f>
        <v/>
      </c>
      <c r="Y24" t="str" cm="1">
        <f t="array" aca="1" ref="Y24" ca="1">IF(CELL("contents",M24)=0,"",CELL("contents",M24))</f>
        <v/>
      </c>
      <c r="Z24" t="str" cm="1">
        <f t="array" aca="1" ref="Z24" ca="1">IF(CELL("contents",N24)=0,"",CELL("contents",N24))</f>
        <v/>
      </c>
      <c r="AA24" t="str" cm="1">
        <f t="array" aca="1" ref="AA24" ca="1">IF(CELL("contents",O24)=0,"",CELL("contents",O24))</f>
        <v/>
      </c>
    </row>
    <row r="25" spans="1:27" x14ac:dyDescent="0.35">
      <c r="A25" s="8" t="str" cm="1">
        <f t="array" ref="A25">IF(IFERROR(INDEX(SalesforceData!$A$2:'SalesforceData'!$A$36, MATCH(0, COUNTIF(DataTransformation!$A$2:'DataTransformation'!$A24, SalesforceData!$A$2:'SalesforceData'!$A$36), 0)),"") = 0,"", IFERROR(INDEX(SalesforceData!$A$2:'SalesforceData'!$A$36, MATCH(0, COUNTIF(DataTransformation!$A$2:'DataTransformation'!$A24, SalesforceData!$A$2:'SalesforceData'!$A$36), 0)),""))</f>
        <v/>
      </c>
      <c r="B25" s="8" t="str" cm="1">
        <f t="array" ref="B25">IF(IFERROR(INDEX(SalesforceData!$B$2:'SalesforceData'!$B$36, MATCH(0, COUNTIF(DataTransformation!$B$2:'DataTransformation'!$B24, SalesforceData!$B$2:'SalesforceData'!$B$36), 0)),"") = 0,"", IFERROR(INDEX(SalesforceData!$B$2:'SalesforceData'!$B$36, MATCH(0, COUNTIF(DataTransformation!$B$2:'DataTransformation'!$B24, SalesforceData!$B$2:'SalesforceData'!$B$36), 0)),""))</f>
        <v/>
      </c>
      <c r="E25" s="9"/>
      <c r="G25" s="8" t="str">
        <f t="shared" si="1"/>
        <v/>
      </c>
      <c r="H25" s="8" cm="1">
        <f t="array" ref="H25">IFERROR(IF(COUNT(INDEX(SalesforceData!$D$2:$D$36,MATCH(1,($G25=SalesforceData!$A$2:$A$36)*(H$2=SalesforceData!$B$2:'SalesforceData'!$B$36)*(H$3=SalesforceData!$C$2:'SalesforceData'!$C$36),0)))=0,INDEX(SalesforceData!$F$2:$F$36,MATCH(1,($G25=SalesforceData!$A$2:$A$36)*(H$2=SalesforceData!$B$2:'SalesforceData'!$B$36) * (H$3=SalesforceData!$E$2:'SalesforceData'!$E$36),0)),INDEX(SalesforceData!$D$2:$D$36,MATCH(1,($G25=SalesforceData!$A$2:$A$36)*(H$2=SalesforceData!$B$2:'SalesforceData'!$B$36)*(H$3=SalesforceData!$C$2:'SalesforceData'!$C$36),0))),"")</f>
        <v>0</v>
      </c>
      <c r="I25" s="8" cm="1">
        <f t="array" ref="I25">IFERROR(IF(COUNT(INDEX(SalesforceData!$D$2:$D$36,MATCH(1,($G25=SalesforceData!$A$2:$A$36)*(I$2=SalesforceData!$B$2:'SalesforceData'!$B$36)*(I$3=SalesforceData!$C$2:'SalesforceData'!$C$36),0)))=0,INDEX(SalesforceData!$F$2:$F$36,MATCH(1,($G25=SalesforceData!$A$2:$A$36)*(I$2=SalesforceData!$B$2:'SalesforceData'!$B$36) * (I$3=SalesforceData!$E$2:'SalesforceData'!$E$36),0)),INDEX(SalesforceData!$D$2:$D$36,MATCH(1,($G25=SalesforceData!$A$2:$A$36)*(I$2=SalesforceData!$B$2:'SalesforceData'!$B$36)*(I$3=SalesforceData!$C$2:'SalesforceData'!$C$36),0))),"")</f>
        <v>0</v>
      </c>
      <c r="J25" s="8" cm="1">
        <f t="array" ref="J25">IFERROR(IF(COUNT(INDEX(SalesforceData!$D$2:$D$36,MATCH(1,($G25=SalesforceData!$A$2:$A$36)*(J$2=SalesforceData!$B$2:'SalesforceData'!$B$36)*(J$3=SalesforceData!$C$2:'SalesforceData'!$C$36),0)))=0,INDEX(SalesforceData!$F$2:$F$36,MATCH(1,($G25=SalesforceData!$A$2:$A$36)*(J$2=SalesforceData!$B$2:'SalesforceData'!$B$36) * (J$3=SalesforceData!$E$2:'SalesforceData'!$E$36),0)),INDEX(SalesforceData!$D$2:$D$36,MATCH(1,($G25=SalesforceData!$A$2:$A$36)*(J$2=SalesforceData!$B$2:'SalesforceData'!$B$36)*(J$3=SalesforceData!$C$2:'SalesforceData'!$C$36),0))),"")</f>
        <v>0</v>
      </c>
      <c r="K25" s="8" cm="1">
        <f t="array" ref="K25">IFERROR(IF(COUNT(INDEX(SalesforceData!$D$2:$D$36,MATCH(1,($G25=SalesforceData!$A$2:$A$36)*(K$2=SalesforceData!$B$2:'SalesforceData'!$B$36)*(K$3=SalesforceData!$C$2:'SalesforceData'!$C$36),0)))=0,INDEX(SalesforceData!$F$2:$F$36,MATCH(1,($G25=SalesforceData!$A$2:$A$36)*(K$2=SalesforceData!$B$2:'SalesforceData'!$B$36) * (K$3=SalesforceData!$E$2:'SalesforceData'!$E$36),0)),INDEX(SalesforceData!$D$2:$D$36,MATCH(1,($G25=SalesforceData!$A$2:$A$36)*(K$2=SalesforceData!$B$2:'SalesforceData'!$B$36)*(K$3=SalesforceData!$C$2:'SalesforceData'!$C$36),0))),"")</f>
        <v>0</v>
      </c>
      <c r="L25" s="8" cm="1">
        <f t="array" ref="L25">IFERROR(IF(COUNT(INDEX(SalesforceData!$D$2:$D$36,MATCH(1,($G25=SalesforceData!$A$2:$A$36)*(L$2=SalesforceData!$B$2:'SalesforceData'!$B$36)*(L$3=SalesforceData!$C$2:'SalesforceData'!$C$36),0)))=0,INDEX(SalesforceData!$F$2:$F$36,MATCH(1,($G25=SalesforceData!$A$2:$A$36)*(L$2=SalesforceData!$B$2:'SalesforceData'!$B$36) * (L$3=SalesforceData!$E$2:'SalesforceData'!$E$36),0)),INDEX(SalesforceData!$D$2:$D$36,MATCH(1,($G25=SalesforceData!$A$2:$A$36)*(L$2=SalesforceData!$B$2:'SalesforceData'!$B$36)*(L$3=SalesforceData!$C$2:'SalesforceData'!$C$36),0))),"")</f>
        <v>0</v>
      </c>
      <c r="M25" s="8" cm="1">
        <f t="array" ref="M25">IFERROR(IF(COUNT(INDEX(SalesforceData!$D$2:$D$36,MATCH(1,($G25=SalesforceData!$A$2:$A$36)*(M$2=SalesforceData!$B$2:'SalesforceData'!$B$36)*(M$3=SalesforceData!$C$2:'SalesforceData'!$C$36),0)))=0,INDEX(SalesforceData!$F$2:$F$36,MATCH(1,($G25=SalesforceData!$A$2:$A$36)*(M$2=SalesforceData!$B$2:'SalesforceData'!$B$36) * (M$3=SalesforceData!$E$2:'SalesforceData'!$E$36),0)),INDEX(SalesforceData!$D$2:$D$36,MATCH(1,($G25=SalesforceData!$A$2:$A$36)*(M$2=SalesforceData!$B$2:'SalesforceData'!$B$36)*(M$3=SalesforceData!$C$2:'SalesforceData'!$C$36),0))),"")</f>
        <v>0</v>
      </c>
      <c r="N25" s="8" cm="1">
        <f t="array" ref="N25">IFERROR(IF(COUNT(INDEX(SalesforceData!$D$2:$D$36,MATCH(1,($G25=SalesforceData!$A$2:$A$36)*(N$2=SalesforceData!$B$2:'SalesforceData'!$B$36)*(N$3=SalesforceData!$C$2:'SalesforceData'!$C$36),0)))=0,INDEX(SalesforceData!$F$2:$F$36,MATCH(1,($G25=SalesforceData!$A$2:$A$36)*(N$2=SalesforceData!$B$2:'SalesforceData'!$B$36) * (N$3=SalesforceData!$E$2:'SalesforceData'!$E$36),0)),INDEX(SalesforceData!$D$2:$D$36,MATCH(1,($G25=SalesforceData!$A$2:$A$36)*(N$2=SalesforceData!$B$2:'SalesforceData'!$B$36)*(N$3=SalesforceData!$C$2:'SalesforceData'!$C$36),0))),"")</f>
        <v>0</v>
      </c>
      <c r="O25" s="8" cm="1">
        <f t="array" ref="O25">IFERROR(IF(COUNT(INDEX(SalesforceData!$D$2:$D$36,MATCH(1,($G25=SalesforceData!$A$2:$A$36)*(O$2=SalesforceData!$B$2:'SalesforceData'!$B$36)*(O$3=SalesforceData!$C$2:'SalesforceData'!$C$36),0)))=0,INDEX(SalesforceData!$F$2:$F$36,MATCH(1,($G25=SalesforceData!$A$2:$A$36)*(O$2=SalesforceData!$B$2:'SalesforceData'!$B$36) * (O$3=SalesforceData!$E$2:'SalesforceData'!$E$36),0)),INDEX(SalesforceData!$D$2:$D$36,MATCH(1,($G25=SalesforceData!$A$2:$A$36)*(O$2=SalesforceData!$B$2:'SalesforceData'!$B$36)*(O$3=SalesforceData!$C$2:'SalesforceData'!$C$36),0))),"")</f>
        <v>0</v>
      </c>
      <c r="Q25" s="9"/>
      <c r="S25" t="str" cm="1">
        <f t="array" aca="1" ref="S25" ca="1">IF(CELL("contents",G25)=0,"",CELL("contents",G25))</f>
        <v/>
      </c>
      <c r="T25" t="str" cm="1">
        <f t="array" aca="1" ref="T25" ca="1">IF(CELL("contents",H25)=0,"",CELL("contents",H25))</f>
        <v/>
      </c>
      <c r="U25" t="str" cm="1">
        <f t="array" aca="1" ref="U25" ca="1">IF(CELL("contents",I25)=0,"",CELL("contents",I25))</f>
        <v/>
      </c>
      <c r="V25" t="str" cm="1">
        <f t="array" aca="1" ref="V25" ca="1">IF(CELL("contents",J25)=0,"",CELL("contents",J25))</f>
        <v/>
      </c>
      <c r="W25" t="str" cm="1">
        <f t="array" aca="1" ref="W25" ca="1">IF(CELL("contents",K25)=0,"",CELL("contents",K25))</f>
        <v/>
      </c>
      <c r="X25" t="str" cm="1">
        <f t="array" aca="1" ref="X25" ca="1">IF(CELL("contents",L25)=0,"",CELL("contents",L25))</f>
        <v/>
      </c>
      <c r="Y25" t="str" cm="1">
        <f t="array" aca="1" ref="Y25" ca="1">IF(CELL("contents",M25)=0,"",CELL("contents",M25))</f>
        <v/>
      </c>
      <c r="Z25" t="str" cm="1">
        <f t="array" aca="1" ref="Z25" ca="1">IF(CELL("contents",N25)=0,"",CELL("contents",N25))</f>
        <v/>
      </c>
      <c r="AA25" t="str" cm="1">
        <f t="array" aca="1" ref="AA25" ca="1">IF(CELL("contents",O25)=0,"",CELL("contents",O25))</f>
        <v/>
      </c>
    </row>
    <row r="26" spans="1:27" x14ac:dyDescent="0.35">
      <c r="A26" s="8" t="str" cm="1">
        <f t="array" ref="A26">IF(IFERROR(INDEX(SalesforceData!$A$2:'SalesforceData'!$A$36, MATCH(0, COUNTIF(DataTransformation!$A$2:'DataTransformation'!$A25, SalesforceData!$A$2:'SalesforceData'!$A$36), 0)),"") = 0,"", IFERROR(INDEX(SalesforceData!$A$2:'SalesforceData'!$A$36, MATCH(0, COUNTIF(DataTransformation!$A$2:'DataTransformation'!$A25, SalesforceData!$A$2:'SalesforceData'!$A$36), 0)),""))</f>
        <v/>
      </c>
      <c r="B26" s="8" t="str" cm="1">
        <f t="array" ref="B26">IF(IFERROR(INDEX(SalesforceData!$B$2:'SalesforceData'!$B$36, MATCH(0, COUNTIF(DataTransformation!$B$2:'DataTransformation'!$B25, SalesforceData!$B$2:'SalesforceData'!$B$36), 0)),"") = 0,"", IFERROR(INDEX(SalesforceData!$B$2:'SalesforceData'!$B$36, MATCH(0, COUNTIF(DataTransformation!$B$2:'DataTransformation'!$B25, SalesforceData!$B$2:'SalesforceData'!$B$36), 0)),""))</f>
        <v/>
      </c>
      <c r="E26" s="9"/>
      <c r="G26" s="8" t="str">
        <f t="shared" si="1"/>
        <v/>
      </c>
      <c r="H26" s="8" cm="1">
        <f t="array" ref="H26">IFERROR(IF(COUNT(INDEX(SalesforceData!$D$2:$D$36,MATCH(1,($G26=SalesforceData!$A$2:$A$36)*(H$2=SalesforceData!$B$2:'SalesforceData'!$B$36)*(H$3=SalesforceData!$C$2:'SalesforceData'!$C$36),0)))=0,INDEX(SalesforceData!$F$2:$F$36,MATCH(1,($G26=SalesforceData!$A$2:$A$36)*(H$2=SalesforceData!$B$2:'SalesforceData'!$B$36) * (H$3=SalesforceData!$E$2:'SalesforceData'!$E$36),0)),INDEX(SalesforceData!$D$2:$D$36,MATCH(1,($G26=SalesforceData!$A$2:$A$36)*(H$2=SalesforceData!$B$2:'SalesforceData'!$B$36)*(H$3=SalesforceData!$C$2:'SalesforceData'!$C$36),0))),"")</f>
        <v>0</v>
      </c>
      <c r="I26" s="8" cm="1">
        <f t="array" ref="I26">IFERROR(IF(COUNT(INDEX(SalesforceData!$D$2:$D$36,MATCH(1,($G26=SalesforceData!$A$2:$A$36)*(I$2=SalesforceData!$B$2:'SalesforceData'!$B$36)*(I$3=SalesforceData!$C$2:'SalesforceData'!$C$36),0)))=0,INDEX(SalesforceData!$F$2:$F$36,MATCH(1,($G26=SalesforceData!$A$2:$A$36)*(I$2=SalesforceData!$B$2:'SalesforceData'!$B$36) * (I$3=SalesforceData!$E$2:'SalesforceData'!$E$36),0)),INDEX(SalesforceData!$D$2:$D$36,MATCH(1,($G26=SalesforceData!$A$2:$A$36)*(I$2=SalesforceData!$B$2:'SalesforceData'!$B$36)*(I$3=SalesforceData!$C$2:'SalesforceData'!$C$36),0))),"")</f>
        <v>0</v>
      </c>
      <c r="J26" s="8" cm="1">
        <f t="array" ref="J26">IFERROR(IF(COUNT(INDEX(SalesforceData!$D$2:$D$36,MATCH(1,($G26=SalesforceData!$A$2:$A$36)*(J$2=SalesforceData!$B$2:'SalesforceData'!$B$36)*(J$3=SalesforceData!$C$2:'SalesforceData'!$C$36),0)))=0,INDEX(SalesforceData!$F$2:$F$36,MATCH(1,($G26=SalesforceData!$A$2:$A$36)*(J$2=SalesforceData!$B$2:'SalesforceData'!$B$36) * (J$3=SalesforceData!$E$2:'SalesforceData'!$E$36),0)),INDEX(SalesforceData!$D$2:$D$36,MATCH(1,($G26=SalesforceData!$A$2:$A$36)*(J$2=SalesforceData!$B$2:'SalesforceData'!$B$36)*(J$3=SalesforceData!$C$2:'SalesforceData'!$C$36),0))),"")</f>
        <v>0</v>
      </c>
      <c r="K26" s="8" cm="1">
        <f t="array" ref="K26">IFERROR(IF(COUNT(INDEX(SalesforceData!$D$2:$D$36,MATCH(1,($G26=SalesforceData!$A$2:$A$36)*(K$2=SalesforceData!$B$2:'SalesforceData'!$B$36)*(K$3=SalesforceData!$C$2:'SalesforceData'!$C$36),0)))=0,INDEX(SalesforceData!$F$2:$F$36,MATCH(1,($G26=SalesforceData!$A$2:$A$36)*(K$2=SalesforceData!$B$2:'SalesforceData'!$B$36) * (K$3=SalesforceData!$E$2:'SalesforceData'!$E$36),0)),INDEX(SalesforceData!$D$2:$D$36,MATCH(1,($G26=SalesforceData!$A$2:$A$36)*(K$2=SalesforceData!$B$2:'SalesforceData'!$B$36)*(K$3=SalesforceData!$C$2:'SalesforceData'!$C$36),0))),"")</f>
        <v>0</v>
      </c>
      <c r="L26" s="8" cm="1">
        <f t="array" ref="L26">IFERROR(IF(COUNT(INDEX(SalesforceData!$D$2:$D$36,MATCH(1,($G26=SalesforceData!$A$2:$A$36)*(L$2=SalesforceData!$B$2:'SalesforceData'!$B$36)*(L$3=SalesforceData!$C$2:'SalesforceData'!$C$36),0)))=0,INDEX(SalesforceData!$F$2:$F$36,MATCH(1,($G26=SalesforceData!$A$2:$A$36)*(L$2=SalesforceData!$B$2:'SalesforceData'!$B$36) * (L$3=SalesforceData!$E$2:'SalesforceData'!$E$36),0)),INDEX(SalesforceData!$D$2:$D$36,MATCH(1,($G26=SalesforceData!$A$2:$A$36)*(L$2=SalesforceData!$B$2:'SalesforceData'!$B$36)*(L$3=SalesforceData!$C$2:'SalesforceData'!$C$36),0))),"")</f>
        <v>0</v>
      </c>
      <c r="M26" s="8" cm="1">
        <f t="array" ref="M26">IFERROR(IF(COUNT(INDEX(SalesforceData!$D$2:$D$36,MATCH(1,($G26=SalesforceData!$A$2:$A$36)*(M$2=SalesforceData!$B$2:'SalesforceData'!$B$36)*(M$3=SalesforceData!$C$2:'SalesforceData'!$C$36),0)))=0,INDEX(SalesforceData!$F$2:$F$36,MATCH(1,($G26=SalesforceData!$A$2:$A$36)*(M$2=SalesforceData!$B$2:'SalesforceData'!$B$36) * (M$3=SalesforceData!$E$2:'SalesforceData'!$E$36),0)),INDEX(SalesforceData!$D$2:$D$36,MATCH(1,($G26=SalesforceData!$A$2:$A$36)*(M$2=SalesforceData!$B$2:'SalesforceData'!$B$36)*(M$3=SalesforceData!$C$2:'SalesforceData'!$C$36),0))),"")</f>
        <v>0</v>
      </c>
      <c r="N26" s="8" cm="1">
        <f t="array" ref="N26">IFERROR(IF(COUNT(INDEX(SalesforceData!$D$2:$D$36,MATCH(1,($G26=SalesforceData!$A$2:$A$36)*(N$2=SalesforceData!$B$2:'SalesforceData'!$B$36)*(N$3=SalesforceData!$C$2:'SalesforceData'!$C$36),0)))=0,INDEX(SalesforceData!$F$2:$F$36,MATCH(1,($G26=SalesforceData!$A$2:$A$36)*(N$2=SalesforceData!$B$2:'SalesforceData'!$B$36) * (N$3=SalesforceData!$E$2:'SalesforceData'!$E$36),0)),INDEX(SalesforceData!$D$2:$D$36,MATCH(1,($G26=SalesforceData!$A$2:$A$36)*(N$2=SalesforceData!$B$2:'SalesforceData'!$B$36)*(N$3=SalesforceData!$C$2:'SalesforceData'!$C$36),0))),"")</f>
        <v>0</v>
      </c>
      <c r="O26" s="8" cm="1">
        <f t="array" ref="O26">IFERROR(IF(COUNT(INDEX(SalesforceData!$D$2:$D$36,MATCH(1,($G26=SalesforceData!$A$2:$A$36)*(O$2=SalesforceData!$B$2:'SalesforceData'!$B$36)*(O$3=SalesforceData!$C$2:'SalesforceData'!$C$36),0)))=0,INDEX(SalesforceData!$F$2:$F$36,MATCH(1,($G26=SalesforceData!$A$2:$A$36)*(O$2=SalesforceData!$B$2:'SalesforceData'!$B$36) * (O$3=SalesforceData!$E$2:'SalesforceData'!$E$36),0)),INDEX(SalesforceData!$D$2:$D$36,MATCH(1,($G26=SalesforceData!$A$2:$A$36)*(O$2=SalesforceData!$B$2:'SalesforceData'!$B$36)*(O$3=SalesforceData!$C$2:'SalesforceData'!$C$36),0))),"")</f>
        <v>0</v>
      </c>
      <c r="Q26" s="9"/>
      <c r="S26" t="str" cm="1">
        <f t="array" aca="1" ref="S26" ca="1">IF(CELL("contents",G26)=0,"",CELL("contents",G26))</f>
        <v/>
      </c>
      <c r="T26" t="str" cm="1">
        <f t="array" aca="1" ref="T26" ca="1">IF(CELL("contents",H26)=0,"",CELL("contents",H26))</f>
        <v/>
      </c>
      <c r="U26" t="str" cm="1">
        <f t="array" aca="1" ref="U26" ca="1">IF(CELL("contents",I26)=0,"",CELL("contents",I26))</f>
        <v/>
      </c>
      <c r="V26" t="str" cm="1">
        <f t="array" aca="1" ref="V26" ca="1">IF(CELL("contents",J26)=0,"",CELL("contents",J26))</f>
        <v/>
      </c>
      <c r="W26" t="str" cm="1">
        <f t="array" aca="1" ref="W26" ca="1">IF(CELL("contents",K26)=0,"",CELL("contents",K26))</f>
        <v/>
      </c>
      <c r="X26" t="str" cm="1">
        <f t="array" aca="1" ref="X26" ca="1">IF(CELL("contents",L26)=0,"",CELL("contents",L26))</f>
        <v/>
      </c>
      <c r="Y26" t="str" cm="1">
        <f t="array" aca="1" ref="Y26" ca="1">IF(CELL("contents",M26)=0,"",CELL("contents",M26))</f>
        <v/>
      </c>
      <c r="Z26" t="str" cm="1">
        <f t="array" aca="1" ref="Z26" ca="1">IF(CELL("contents",N26)=0,"",CELL("contents",N26))</f>
        <v/>
      </c>
      <c r="AA26" t="str" cm="1">
        <f t="array" aca="1" ref="AA26" ca="1">IF(CELL("contents",O26)=0,"",CELL("contents",O26))</f>
        <v/>
      </c>
    </row>
    <row r="27" spans="1:27" x14ac:dyDescent="0.35">
      <c r="A27" s="8" t="str" cm="1">
        <f t="array" ref="A27">IF(IFERROR(INDEX(SalesforceData!$A$2:'SalesforceData'!$A$36, MATCH(0, COUNTIF(DataTransformation!$A$2:'DataTransformation'!$A26, SalesforceData!$A$2:'SalesforceData'!$A$36), 0)),"") = 0,"", IFERROR(INDEX(SalesforceData!$A$2:'SalesforceData'!$A$36, MATCH(0, COUNTIF(DataTransformation!$A$2:'DataTransformation'!$A26, SalesforceData!$A$2:'SalesforceData'!$A$36), 0)),""))</f>
        <v/>
      </c>
      <c r="B27" s="8" t="str" cm="1">
        <f t="array" ref="B27">IF(IFERROR(INDEX(SalesforceData!$B$2:'SalesforceData'!$B$36, MATCH(0, COUNTIF(DataTransformation!$B$2:'DataTransformation'!$B26, SalesforceData!$B$2:'SalesforceData'!$B$36), 0)),"") = 0,"", IFERROR(INDEX(SalesforceData!$B$2:'SalesforceData'!$B$36, MATCH(0, COUNTIF(DataTransformation!$B$2:'DataTransformation'!$B26, SalesforceData!$B$2:'SalesforceData'!$B$36), 0)),""))</f>
        <v/>
      </c>
      <c r="E27" s="9"/>
      <c r="G27" s="8" t="str">
        <f t="shared" si="1"/>
        <v/>
      </c>
      <c r="H27" s="8" cm="1">
        <f t="array" ref="H27">IFERROR(IF(COUNT(INDEX(SalesforceData!$D$2:$D$36,MATCH(1,($G27=SalesforceData!$A$2:$A$36)*(H$2=SalesforceData!$B$2:'SalesforceData'!$B$36)*(H$3=SalesforceData!$C$2:'SalesforceData'!$C$36),0)))=0,INDEX(SalesforceData!$F$2:$F$36,MATCH(1,($G27=SalesforceData!$A$2:$A$36)*(H$2=SalesforceData!$B$2:'SalesforceData'!$B$36) * (H$3=SalesforceData!$E$2:'SalesforceData'!$E$36),0)),INDEX(SalesforceData!$D$2:$D$36,MATCH(1,($G27=SalesforceData!$A$2:$A$36)*(H$2=SalesforceData!$B$2:'SalesforceData'!$B$36)*(H$3=SalesforceData!$C$2:'SalesforceData'!$C$36),0))),"")</f>
        <v>0</v>
      </c>
      <c r="I27" s="8" cm="1">
        <f t="array" ref="I27">IFERROR(IF(COUNT(INDEX(SalesforceData!$D$2:$D$36,MATCH(1,($G27=SalesforceData!$A$2:$A$36)*(I$2=SalesforceData!$B$2:'SalesforceData'!$B$36)*(I$3=SalesforceData!$C$2:'SalesforceData'!$C$36),0)))=0,INDEX(SalesforceData!$F$2:$F$36,MATCH(1,($G27=SalesforceData!$A$2:$A$36)*(I$2=SalesforceData!$B$2:'SalesforceData'!$B$36) * (I$3=SalesforceData!$E$2:'SalesforceData'!$E$36),0)),INDEX(SalesforceData!$D$2:$D$36,MATCH(1,($G27=SalesforceData!$A$2:$A$36)*(I$2=SalesforceData!$B$2:'SalesforceData'!$B$36)*(I$3=SalesforceData!$C$2:'SalesforceData'!$C$36),0))),"")</f>
        <v>0</v>
      </c>
      <c r="J27" s="8" cm="1">
        <f t="array" ref="J27">IFERROR(IF(COUNT(INDEX(SalesforceData!$D$2:$D$36,MATCH(1,($G27=SalesforceData!$A$2:$A$36)*(J$2=SalesforceData!$B$2:'SalesforceData'!$B$36)*(J$3=SalesforceData!$C$2:'SalesforceData'!$C$36),0)))=0,INDEX(SalesforceData!$F$2:$F$36,MATCH(1,($G27=SalesforceData!$A$2:$A$36)*(J$2=SalesforceData!$B$2:'SalesforceData'!$B$36) * (J$3=SalesforceData!$E$2:'SalesforceData'!$E$36),0)),INDEX(SalesforceData!$D$2:$D$36,MATCH(1,($G27=SalesforceData!$A$2:$A$36)*(J$2=SalesforceData!$B$2:'SalesforceData'!$B$36)*(J$3=SalesforceData!$C$2:'SalesforceData'!$C$36),0))),"")</f>
        <v>0</v>
      </c>
      <c r="K27" s="8" cm="1">
        <f t="array" ref="K27">IFERROR(IF(COUNT(INDEX(SalesforceData!$D$2:$D$36,MATCH(1,($G27=SalesforceData!$A$2:$A$36)*(K$2=SalesforceData!$B$2:'SalesforceData'!$B$36)*(K$3=SalesforceData!$C$2:'SalesforceData'!$C$36),0)))=0,INDEX(SalesforceData!$F$2:$F$36,MATCH(1,($G27=SalesforceData!$A$2:$A$36)*(K$2=SalesforceData!$B$2:'SalesforceData'!$B$36) * (K$3=SalesforceData!$E$2:'SalesforceData'!$E$36),0)),INDEX(SalesforceData!$D$2:$D$36,MATCH(1,($G27=SalesforceData!$A$2:$A$36)*(K$2=SalesforceData!$B$2:'SalesforceData'!$B$36)*(K$3=SalesforceData!$C$2:'SalesforceData'!$C$36),0))),"")</f>
        <v>0</v>
      </c>
      <c r="L27" s="8" cm="1">
        <f t="array" ref="L27">IFERROR(IF(COUNT(INDEX(SalesforceData!$D$2:$D$36,MATCH(1,($G27=SalesforceData!$A$2:$A$36)*(L$2=SalesforceData!$B$2:'SalesforceData'!$B$36)*(L$3=SalesforceData!$C$2:'SalesforceData'!$C$36),0)))=0,INDEX(SalesforceData!$F$2:$F$36,MATCH(1,($G27=SalesforceData!$A$2:$A$36)*(L$2=SalesforceData!$B$2:'SalesforceData'!$B$36) * (L$3=SalesforceData!$E$2:'SalesforceData'!$E$36),0)),INDEX(SalesforceData!$D$2:$D$36,MATCH(1,($G27=SalesforceData!$A$2:$A$36)*(L$2=SalesforceData!$B$2:'SalesforceData'!$B$36)*(L$3=SalesforceData!$C$2:'SalesforceData'!$C$36),0))),"")</f>
        <v>0</v>
      </c>
      <c r="M27" s="8" cm="1">
        <f t="array" ref="M27">IFERROR(IF(COUNT(INDEX(SalesforceData!$D$2:$D$36,MATCH(1,($G27=SalesforceData!$A$2:$A$36)*(M$2=SalesforceData!$B$2:'SalesforceData'!$B$36)*(M$3=SalesforceData!$C$2:'SalesforceData'!$C$36),0)))=0,INDEX(SalesforceData!$F$2:$F$36,MATCH(1,($G27=SalesforceData!$A$2:$A$36)*(M$2=SalesforceData!$B$2:'SalesforceData'!$B$36) * (M$3=SalesforceData!$E$2:'SalesforceData'!$E$36),0)),INDEX(SalesforceData!$D$2:$D$36,MATCH(1,($G27=SalesforceData!$A$2:$A$36)*(M$2=SalesforceData!$B$2:'SalesforceData'!$B$36)*(M$3=SalesforceData!$C$2:'SalesforceData'!$C$36),0))),"")</f>
        <v>0</v>
      </c>
      <c r="N27" s="8" cm="1">
        <f t="array" ref="N27">IFERROR(IF(COUNT(INDEX(SalesforceData!$D$2:$D$36,MATCH(1,($G27=SalesforceData!$A$2:$A$36)*(N$2=SalesforceData!$B$2:'SalesforceData'!$B$36)*(N$3=SalesforceData!$C$2:'SalesforceData'!$C$36),0)))=0,INDEX(SalesforceData!$F$2:$F$36,MATCH(1,($G27=SalesforceData!$A$2:$A$36)*(N$2=SalesforceData!$B$2:'SalesforceData'!$B$36) * (N$3=SalesforceData!$E$2:'SalesforceData'!$E$36),0)),INDEX(SalesforceData!$D$2:$D$36,MATCH(1,($G27=SalesforceData!$A$2:$A$36)*(N$2=SalesforceData!$B$2:'SalesforceData'!$B$36)*(N$3=SalesforceData!$C$2:'SalesforceData'!$C$36),0))),"")</f>
        <v>0</v>
      </c>
      <c r="O27" s="8" cm="1">
        <f t="array" ref="O27">IFERROR(IF(COUNT(INDEX(SalesforceData!$D$2:$D$36,MATCH(1,($G27=SalesforceData!$A$2:$A$36)*(O$2=SalesforceData!$B$2:'SalesforceData'!$B$36)*(O$3=SalesforceData!$C$2:'SalesforceData'!$C$36),0)))=0,INDEX(SalesforceData!$F$2:$F$36,MATCH(1,($G27=SalesforceData!$A$2:$A$36)*(O$2=SalesforceData!$B$2:'SalesforceData'!$B$36) * (O$3=SalesforceData!$E$2:'SalesforceData'!$E$36),0)),INDEX(SalesforceData!$D$2:$D$36,MATCH(1,($G27=SalesforceData!$A$2:$A$36)*(O$2=SalesforceData!$B$2:'SalesforceData'!$B$36)*(O$3=SalesforceData!$C$2:'SalesforceData'!$C$36),0))),"")</f>
        <v>0</v>
      </c>
      <c r="Q27" s="9"/>
      <c r="S27" t="str" cm="1">
        <f t="array" aca="1" ref="S27" ca="1">IF(CELL("contents",G27)=0,"",CELL("contents",G27))</f>
        <v/>
      </c>
      <c r="T27" t="str" cm="1">
        <f t="array" aca="1" ref="T27" ca="1">IF(CELL("contents",H27)=0,"",CELL("contents",H27))</f>
        <v/>
      </c>
      <c r="U27" t="str" cm="1">
        <f t="array" aca="1" ref="U27" ca="1">IF(CELL("contents",I27)=0,"",CELL("contents",I27))</f>
        <v/>
      </c>
      <c r="V27" t="str" cm="1">
        <f t="array" aca="1" ref="V27" ca="1">IF(CELL("contents",J27)=0,"",CELL("contents",J27))</f>
        <v/>
      </c>
      <c r="W27" t="str" cm="1">
        <f t="array" aca="1" ref="W27" ca="1">IF(CELL("contents",K27)=0,"",CELL("contents",K27))</f>
        <v/>
      </c>
      <c r="X27" t="str" cm="1">
        <f t="array" aca="1" ref="X27" ca="1">IF(CELL("contents",L27)=0,"",CELL("contents",L27))</f>
        <v/>
      </c>
      <c r="Y27" t="str" cm="1">
        <f t="array" aca="1" ref="Y27" ca="1">IF(CELL("contents",M27)=0,"",CELL("contents",M27))</f>
        <v/>
      </c>
      <c r="Z27" t="str" cm="1">
        <f t="array" aca="1" ref="Z27" ca="1">IF(CELL("contents",N27)=0,"",CELL("contents",N27))</f>
        <v/>
      </c>
      <c r="AA27" t="str" cm="1">
        <f t="array" aca="1" ref="AA27" ca="1">IF(CELL("contents",O27)=0,"",CELL("contents",O27))</f>
        <v/>
      </c>
    </row>
    <row r="28" spans="1:27" x14ac:dyDescent="0.35">
      <c r="A28" s="8" t="str" cm="1">
        <f t="array" ref="A28">IF(IFERROR(INDEX(SalesforceData!$A$2:'SalesforceData'!$A$36, MATCH(0, COUNTIF(DataTransformation!$A$2:'DataTransformation'!$A27, SalesforceData!$A$2:'SalesforceData'!$A$36), 0)),"") = 0,"", IFERROR(INDEX(SalesforceData!$A$2:'SalesforceData'!$A$36, MATCH(0, COUNTIF(DataTransformation!$A$2:'DataTransformation'!$A27, SalesforceData!$A$2:'SalesforceData'!$A$36), 0)),""))</f>
        <v/>
      </c>
      <c r="B28" s="8" t="str" cm="1">
        <f t="array" ref="B28">IF(IFERROR(INDEX(SalesforceData!$B$2:'SalesforceData'!$B$36, MATCH(0, COUNTIF(DataTransformation!$B$2:'DataTransformation'!$B27, SalesforceData!$B$2:'SalesforceData'!$B$36), 0)),"") = 0,"", IFERROR(INDEX(SalesforceData!$B$2:'SalesforceData'!$B$36, MATCH(0, COUNTIF(DataTransformation!$B$2:'DataTransformation'!$B27, SalesforceData!$B$2:'SalesforceData'!$B$36), 0)),""))</f>
        <v/>
      </c>
      <c r="E28" s="9"/>
      <c r="G28" s="8" t="str">
        <f t="shared" si="1"/>
        <v/>
      </c>
      <c r="H28" s="8" cm="1">
        <f t="array" ref="H28">IFERROR(IF(COUNT(INDEX(SalesforceData!$D$2:$D$36,MATCH(1,($G28=SalesforceData!$A$2:$A$36)*(H$2=SalesforceData!$B$2:'SalesforceData'!$B$36)*(H$3=SalesforceData!$C$2:'SalesforceData'!$C$36),0)))=0,INDEX(SalesforceData!$F$2:$F$36,MATCH(1,($G28=SalesforceData!$A$2:$A$36)*(H$2=SalesforceData!$B$2:'SalesforceData'!$B$36) * (H$3=SalesforceData!$E$2:'SalesforceData'!$E$36),0)),INDEX(SalesforceData!$D$2:$D$36,MATCH(1,($G28=SalesforceData!$A$2:$A$36)*(H$2=SalesforceData!$B$2:'SalesforceData'!$B$36)*(H$3=SalesforceData!$C$2:'SalesforceData'!$C$36),0))),"")</f>
        <v>0</v>
      </c>
      <c r="I28" s="8" cm="1">
        <f t="array" ref="I28">IFERROR(IF(COUNT(INDEX(SalesforceData!$D$2:$D$36,MATCH(1,($G28=SalesforceData!$A$2:$A$36)*(I$2=SalesforceData!$B$2:'SalesforceData'!$B$36)*(I$3=SalesforceData!$C$2:'SalesforceData'!$C$36),0)))=0,INDEX(SalesforceData!$F$2:$F$36,MATCH(1,($G28=SalesforceData!$A$2:$A$36)*(I$2=SalesforceData!$B$2:'SalesforceData'!$B$36) * (I$3=SalesforceData!$E$2:'SalesforceData'!$E$36),0)),INDEX(SalesforceData!$D$2:$D$36,MATCH(1,($G28=SalesforceData!$A$2:$A$36)*(I$2=SalesforceData!$B$2:'SalesforceData'!$B$36)*(I$3=SalesforceData!$C$2:'SalesforceData'!$C$36),0))),"")</f>
        <v>0</v>
      </c>
      <c r="J28" s="8" cm="1">
        <f t="array" ref="J28">IFERROR(IF(COUNT(INDEX(SalesforceData!$D$2:$D$36,MATCH(1,($G28=SalesforceData!$A$2:$A$36)*(J$2=SalesforceData!$B$2:'SalesforceData'!$B$36)*(J$3=SalesforceData!$C$2:'SalesforceData'!$C$36),0)))=0,INDEX(SalesforceData!$F$2:$F$36,MATCH(1,($G28=SalesforceData!$A$2:$A$36)*(J$2=SalesforceData!$B$2:'SalesforceData'!$B$36) * (J$3=SalesforceData!$E$2:'SalesforceData'!$E$36),0)),INDEX(SalesforceData!$D$2:$D$36,MATCH(1,($G28=SalesforceData!$A$2:$A$36)*(J$2=SalesforceData!$B$2:'SalesforceData'!$B$36)*(J$3=SalesforceData!$C$2:'SalesforceData'!$C$36),0))),"")</f>
        <v>0</v>
      </c>
      <c r="K28" s="8" cm="1">
        <f t="array" ref="K28">IFERROR(IF(COUNT(INDEX(SalesforceData!$D$2:$D$36,MATCH(1,($G28=SalesforceData!$A$2:$A$36)*(K$2=SalesforceData!$B$2:'SalesforceData'!$B$36)*(K$3=SalesforceData!$C$2:'SalesforceData'!$C$36),0)))=0,INDEX(SalesforceData!$F$2:$F$36,MATCH(1,($G28=SalesforceData!$A$2:$A$36)*(K$2=SalesforceData!$B$2:'SalesforceData'!$B$36) * (K$3=SalesforceData!$E$2:'SalesforceData'!$E$36),0)),INDEX(SalesforceData!$D$2:$D$36,MATCH(1,($G28=SalesforceData!$A$2:$A$36)*(K$2=SalesforceData!$B$2:'SalesforceData'!$B$36)*(K$3=SalesforceData!$C$2:'SalesforceData'!$C$36),0))),"")</f>
        <v>0</v>
      </c>
      <c r="L28" s="8" cm="1">
        <f t="array" ref="L28">IFERROR(IF(COUNT(INDEX(SalesforceData!$D$2:$D$36,MATCH(1,($G28=SalesforceData!$A$2:$A$36)*(L$2=SalesforceData!$B$2:'SalesforceData'!$B$36)*(L$3=SalesforceData!$C$2:'SalesforceData'!$C$36),0)))=0,INDEX(SalesforceData!$F$2:$F$36,MATCH(1,($G28=SalesforceData!$A$2:$A$36)*(L$2=SalesforceData!$B$2:'SalesforceData'!$B$36) * (L$3=SalesforceData!$E$2:'SalesforceData'!$E$36),0)),INDEX(SalesforceData!$D$2:$D$36,MATCH(1,($G28=SalesforceData!$A$2:$A$36)*(L$2=SalesforceData!$B$2:'SalesforceData'!$B$36)*(L$3=SalesforceData!$C$2:'SalesforceData'!$C$36),0))),"")</f>
        <v>0</v>
      </c>
      <c r="M28" s="8" cm="1">
        <f t="array" ref="M28">IFERROR(IF(COUNT(INDEX(SalesforceData!$D$2:$D$36,MATCH(1,($G28=SalesforceData!$A$2:$A$36)*(M$2=SalesforceData!$B$2:'SalesforceData'!$B$36)*(M$3=SalesforceData!$C$2:'SalesforceData'!$C$36),0)))=0,INDEX(SalesforceData!$F$2:$F$36,MATCH(1,($G28=SalesforceData!$A$2:$A$36)*(M$2=SalesforceData!$B$2:'SalesforceData'!$B$36) * (M$3=SalesforceData!$E$2:'SalesforceData'!$E$36),0)),INDEX(SalesforceData!$D$2:$D$36,MATCH(1,($G28=SalesforceData!$A$2:$A$36)*(M$2=SalesforceData!$B$2:'SalesforceData'!$B$36)*(M$3=SalesforceData!$C$2:'SalesforceData'!$C$36),0))),"")</f>
        <v>0</v>
      </c>
      <c r="N28" s="8" cm="1">
        <f t="array" ref="N28">IFERROR(IF(COUNT(INDEX(SalesforceData!$D$2:$D$36,MATCH(1,($G28=SalesforceData!$A$2:$A$36)*(N$2=SalesforceData!$B$2:'SalesforceData'!$B$36)*(N$3=SalesforceData!$C$2:'SalesforceData'!$C$36),0)))=0,INDEX(SalesforceData!$F$2:$F$36,MATCH(1,($G28=SalesforceData!$A$2:$A$36)*(N$2=SalesforceData!$B$2:'SalesforceData'!$B$36) * (N$3=SalesforceData!$E$2:'SalesforceData'!$E$36),0)),INDEX(SalesforceData!$D$2:$D$36,MATCH(1,($G28=SalesforceData!$A$2:$A$36)*(N$2=SalesforceData!$B$2:'SalesforceData'!$B$36)*(N$3=SalesforceData!$C$2:'SalesforceData'!$C$36),0))),"")</f>
        <v>0</v>
      </c>
      <c r="O28" s="8" cm="1">
        <f t="array" ref="O28">IFERROR(IF(COUNT(INDEX(SalesforceData!$D$2:$D$36,MATCH(1,($G28=SalesforceData!$A$2:$A$36)*(O$2=SalesforceData!$B$2:'SalesforceData'!$B$36)*(O$3=SalesforceData!$C$2:'SalesforceData'!$C$36),0)))=0,INDEX(SalesforceData!$F$2:$F$36,MATCH(1,($G28=SalesforceData!$A$2:$A$36)*(O$2=SalesforceData!$B$2:'SalesforceData'!$B$36) * (O$3=SalesforceData!$E$2:'SalesforceData'!$E$36),0)),INDEX(SalesforceData!$D$2:$D$36,MATCH(1,($G28=SalesforceData!$A$2:$A$36)*(O$2=SalesforceData!$B$2:'SalesforceData'!$B$36)*(O$3=SalesforceData!$C$2:'SalesforceData'!$C$36),0))),"")</f>
        <v>0</v>
      </c>
      <c r="Q28" s="9"/>
      <c r="S28" t="str" cm="1">
        <f t="array" aca="1" ref="S28" ca="1">IF(CELL("contents",G28)=0,"",CELL("contents",G28))</f>
        <v/>
      </c>
      <c r="T28" t="str" cm="1">
        <f t="array" aca="1" ref="T28" ca="1">IF(CELL("contents",H28)=0,"",CELL("contents",H28))</f>
        <v/>
      </c>
      <c r="U28" t="str" cm="1">
        <f t="array" aca="1" ref="U28" ca="1">IF(CELL("contents",I28)=0,"",CELL("contents",I28))</f>
        <v/>
      </c>
      <c r="V28" t="str" cm="1">
        <f t="array" aca="1" ref="V28" ca="1">IF(CELL("contents",J28)=0,"",CELL("contents",J28))</f>
        <v/>
      </c>
      <c r="W28" t="str" cm="1">
        <f t="array" aca="1" ref="W28" ca="1">IF(CELL("contents",K28)=0,"",CELL("contents",K28))</f>
        <v/>
      </c>
      <c r="X28" t="str" cm="1">
        <f t="array" aca="1" ref="X28" ca="1">IF(CELL("contents",L28)=0,"",CELL("contents",L28))</f>
        <v/>
      </c>
      <c r="Y28" t="str" cm="1">
        <f t="array" aca="1" ref="Y28" ca="1">IF(CELL("contents",M28)=0,"",CELL("contents",M28))</f>
        <v/>
      </c>
      <c r="Z28" t="str" cm="1">
        <f t="array" aca="1" ref="Z28" ca="1">IF(CELL("contents",N28)=0,"",CELL("contents",N28))</f>
        <v/>
      </c>
      <c r="AA28" t="str" cm="1">
        <f t="array" aca="1" ref="AA28" ca="1">IF(CELL("contents",O28)=0,"",CELL("contents",O28))</f>
        <v/>
      </c>
    </row>
    <row r="29" spans="1:27" x14ac:dyDescent="0.35">
      <c r="A29" s="8" t="str" cm="1">
        <f t="array" ref="A29">IF(IFERROR(INDEX(SalesforceData!$A$2:'SalesforceData'!$A$36, MATCH(0, COUNTIF(DataTransformation!$A$2:'DataTransformation'!$A28, SalesforceData!$A$2:'SalesforceData'!$A$36), 0)),"") = 0,"", IFERROR(INDEX(SalesforceData!$A$2:'SalesforceData'!$A$36, MATCH(0, COUNTIF(DataTransformation!$A$2:'DataTransformation'!$A28, SalesforceData!$A$2:'SalesforceData'!$A$36), 0)),""))</f>
        <v/>
      </c>
      <c r="B29" s="8" t="str" cm="1">
        <f t="array" ref="B29">IF(IFERROR(INDEX(SalesforceData!$B$2:'SalesforceData'!$B$36, MATCH(0, COUNTIF(DataTransformation!$B$2:'DataTransformation'!$B28, SalesforceData!$B$2:'SalesforceData'!$B$36), 0)),"") = 0,"", IFERROR(INDEX(SalesforceData!$B$2:'SalesforceData'!$B$36, MATCH(0, COUNTIF(DataTransformation!$B$2:'DataTransformation'!$B28, SalesforceData!$B$2:'SalesforceData'!$B$36), 0)),""))</f>
        <v/>
      </c>
      <c r="E29" s="9"/>
      <c r="G29" s="8" t="str">
        <f t="shared" si="1"/>
        <v/>
      </c>
      <c r="H29" s="8" cm="1">
        <f t="array" ref="H29">IFERROR(IF(COUNT(INDEX(SalesforceData!$D$2:$D$36,MATCH(1,($G29=SalesforceData!$A$2:$A$36)*(H$2=SalesforceData!$B$2:'SalesforceData'!$B$36)*(H$3=SalesforceData!$C$2:'SalesforceData'!$C$36),0)))=0,INDEX(SalesforceData!$F$2:$F$36,MATCH(1,($G29=SalesforceData!$A$2:$A$36)*(H$2=SalesforceData!$B$2:'SalesforceData'!$B$36) * (H$3=SalesforceData!$E$2:'SalesforceData'!$E$36),0)),INDEX(SalesforceData!$D$2:$D$36,MATCH(1,($G29=SalesforceData!$A$2:$A$36)*(H$2=SalesforceData!$B$2:'SalesforceData'!$B$36)*(H$3=SalesforceData!$C$2:'SalesforceData'!$C$36),0))),"")</f>
        <v>0</v>
      </c>
      <c r="I29" s="8" cm="1">
        <f t="array" ref="I29">IFERROR(IF(COUNT(INDEX(SalesforceData!$D$2:$D$36,MATCH(1,($G29=SalesforceData!$A$2:$A$36)*(I$2=SalesforceData!$B$2:'SalesforceData'!$B$36)*(I$3=SalesforceData!$C$2:'SalesforceData'!$C$36),0)))=0,INDEX(SalesforceData!$F$2:$F$36,MATCH(1,($G29=SalesforceData!$A$2:$A$36)*(I$2=SalesforceData!$B$2:'SalesforceData'!$B$36) * (I$3=SalesforceData!$E$2:'SalesforceData'!$E$36),0)),INDEX(SalesforceData!$D$2:$D$36,MATCH(1,($G29=SalesforceData!$A$2:$A$36)*(I$2=SalesforceData!$B$2:'SalesforceData'!$B$36)*(I$3=SalesforceData!$C$2:'SalesforceData'!$C$36),0))),"")</f>
        <v>0</v>
      </c>
      <c r="J29" s="8" cm="1">
        <f t="array" ref="J29">IFERROR(IF(COUNT(INDEX(SalesforceData!$D$2:$D$36,MATCH(1,($G29=SalesforceData!$A$2:$A$36)*(J$2=SalesforceData!$B$2:'SalesforceData'!$B$36)*(J$3=SalesforceData!$C$2:'SalesforceData'!$C$36),0)))=0,INDEX(SalesforceData!$F$2:$F$36,MATCH(1,($G29=SalesforceData!$A$2:$A$36)*(J$2=SalesforceData!$B$2:'SalesforceData'!$B$36) * (J$3=SalesforceData!$E$2:'SalesforceData'!$E$36),0)),INDEX(SalesforceData!$D$2:$D$36,MATCH(1,($G29=SalesforceData!$A$2:$A$36)*(J$2=SalesforceData!$B$2:'SalesforceData'!$B$36)*(J$3=SalesforceData!$C$2:'SalesforceData'!$C$36),0))),"")</f>
        <v>0</v>
      </c>
      <c r="K29" s="8" cm="1">
        <f t="array" ref="K29">IFERROR(IF(COUNT(INDEX(SalesforceData!$D$2:$D$36,MATCH(1,($G29=SalesforceData!$A$2:$A$36)*(K$2=SalesforceData!$B$2:'SalesforceData'!$B$36)*(K$3=SalesforceData!$C$2:'SalesforceData'!$C$36),0)))=0,INDEX(SalesforceData!$F$2:$F$36,MATCH(1,($G29=SalesforceData!$A$2:$A$36)*(K$2=SalesforceData!$B$2:'SalesforceData'!$B$36) * (K$3=SalesforceData!$E$2:'SalesforceData'!$E$36),0)),INDEX(SalesforceData!$D$2:$D$36,MATCH(1,($G29=SalesforceData!$A$2:$A$36)*(K$2=SalesforceData!$B$2:'SalesforceData'!$B$36)*(K$3=SalesforceData!$C$2:'SalesforceData'!$C$36),0))),"")</f>
        <v>0</v>
      </c>
      <c r="L29" s="8" cm="1">
        <f t="array" ref="L29">IFERROR(IF(COUNT(INDEX(SalesforceData!$D$2:$D$36,MATCH(1,($G29=SalesforceData!$A$2:$A$36)*(L$2=SalesforceData!$B$2:'SalesforceData'!$B$36)*(L$3=SalesforceData!$C$2:'SalesforceData'!$C$36),0)))=0,INDEX(SalesforceData!$F$2:$F$36,MATCH(1,($G29=SalesforceData!$A$2:$A$36)*(L$2=SalesforceData!$B$2:'SalesforceData'!$B$36) * (L$3=SalesforceData!$E$2:'SalesforceData'!$E$36),0)),INDEX(SalesforceData!$D$2:$D$36,MATCH(1,($G29=SalesforceData!$A$2:$A$36)*(L$2=SalesforceData!$B$2:'SalesforceData'!$B$36)*(L$3=SalesforceData!$C$2:'SalesforceData'!$C$36),0))),"")</f>
        <v>0</v>
      </c>
      <c r="M29" s="8" cm="1">
        <f t="array" ref="M29">IFERROR(IF(COUNT(INDEX(SalesforceData!$D$2:$D$36,MATCH(1,($G29=SalesforceData!$A$2:$A$36)*(M$2=SalesforceData!$B$2:'SalesforceData'!$B$36)*(M$3=SalesforceData!$C$2:'SalesforceData'!$C$36),0)))=0,INDEX(SalesforceData!$F$2:$F$36,MATCH(1,($G29=SalesforceData!$A$2:$A$36)*(M$2=SalesforceData!$B$2:'SalesforceData'!$B$36) * (M$3=SalesforceData!$E$2:'SalesforceData'!$E$36),0)),INDEX(SalesforceData!$D$2:$D$36,MATCH(1,($G29=SalesforceData!$A$2:$A$36)*(M$2=SalesforceData!$B$2:'SalesforceData'!$B$36)*(M$3=SalesforceData!$C$2:'SalesforceData'!$C$36),0))),"")</f>
        <v>0</v>
      </c>
      <c r="N29" s="8" cm="1">
        <f t="array" ref="N29">IFERROR(IF(COUNT(INDEX(SalesforceData!$D$2:$D$36,MATCH(1,($G29=SalesforceData!$A$2:$A$36)*(N$2=SalesforceData!$B$2:'SalesforceData'!$B$36)*(N$3=SalesforceData!$C$2:'SalesforceData'!$C$36),0)))=0,INDEX(SalesforceData!$F$2:$F$36,MATCH(1,($G29=SalesforceData!$A$2:$A$36)*(N$2=SalesforceData!$B$2:'SalesforceData'!$B$36) * (N$3=SalesforceData!$E$2:'SalesforceData'!$E$36),0)),INDEX(SalesforceData!$D$2:$D$36,MATCH(1,($G29=SalesforceData!$A$2:$A$36)*(N$2=SalesforceData!$B$2:'SalesforceData'!$B$36)*(N$3=SalesforceData!$C$2:'SalesforceData'!$C$36),0))),"")</f>
        <v>0</v>
      </c>
      <c r="O29" s="8" cm="1">
        <f t="array" ref="O29">IFERROR(IF(COUNT(INDEX(SalesforceData!$D$2:$D$36,MATCH(1,($G29=SalesforceData!$A$2:$A$36)*(O$2=SalesforceData!$B$2:'SalesforceData'!$B$36)*(O$3=SalesforceData!$C$2:'SalesforceData'!$C$36),0)))=0,INDEX(SalesforceData!$F$2:$F$36,MATCH(1,($G29=SalesforceData!$A$2:$A$36)*(O$2=SalesforceData!$B$2:'SalesforceData'!$B$36) * (O$3=SalesforceData!$E$2:'SalesforceData'!$E$36),0)),INDEX(SalesforceData!$D$2:$D$36,MATCH(1,($G29=SalesforceData!$A$2:$A$36)*(O$2=SalesforceData!$B$2:'SalesforceData'!$B$36)*(O$3=SalesforceData!$C$2:'SalesforceData'!$C$36),0))),"")</f>
        <v>0</v>
      </c>
      <c r="Q29" s="9"/>
      <c r="S29" t="str" cm="1">
        <f t="array" aca="1" ref="S29" ca="1">IF(CELL("contents",G29)=0,"",CELL("contents",G29))</f>
        <v/>
      </c>
      <c r="T29" t="str" cm="1">
        <f t="array" aca="1" ref="T29" ca="1">IF(CELL("contents",H29)=0,"",CELL("contents",H29))</f>
        <v/>
      </c>
      <c r="U29" t="str" cm="1">
        <f t="array" aca="1" ref="U29" ca="1">IF(CELL("contents",I29)=0,"",CELL("contents",I29))</f>
        <v/>
      </c>
      <c r="V29" t="str" cm="1">
        <f t="array" aca="1" ref="V29" ca="1">IF(CELL("contents",J29)=0,"",CELL("contents",J29))</f>
        <v/>
      </c>
      <c r="W29" t="str" cm="1">
        <f t="array" aca="1" ref="W29" ca="1">IF(CELL("contents",K29)=0,"",CELL("contents",K29))</f>
        <v/>
      </c>
      <c r="X29" t="str" cm="1">
        <f t="array" aca="1" ref="X29" ca="1">IF(CELL("contents",L29)=0,"",CELL("contents",L29))</f>
        <v/>
      </c>
      <c r="Y29" t="str" cm="1">
        <f t="array" aca="1" ref="Y29" ca="1">IF(CELL("contents",M29)=0,"",CELL("contents",M29))</f>
        <v/>
      </c>
      <c r="Z29" t="str" cm="1">
        <f t="array" aca="1" ref="Z29" ca="1">IF(CELL("contents",N29)=0,"",CELL("contents",N29))</f>
        <v/>
      </c>
      <c r="AA29" t="str" cm="1">
        <f t="array" aca="1" ref="AA29" ca="1">IF(CELL("contents",O29)=0,"",CELL("contents",O29))</f>
        <v/>
      </c>
    </row>
    <row r="30" spans="1:27" x14ac:dyDescent="0.35">
      <c r="A30" s="8" t="str" cm="1">
        <f t="array" ref="A30">IF(IFERROR(INDEX(SalesforceData!$A$2:'SalesforceData'!$A$36, MATCH(0, COUNTIF(DataTransformation!$A$2:'DataTransformation'!$A29, SalesforceData!$A$2:'SalesforceData'!$A$36), 0)),"") = 0,"", IFERROR(INDEX(SalesforceData!$A$2:'SalesforceData'!$A$36, MATCH(0, COUNTIF(DataTransformation!$A$2:'DataTransformation'!$A29, SalesforceData!$A$2:'SalesforceData'!$A$36), 0)),""))</f>
        <v/>
      </c>
      <c r="B30" s="8" t="str" cm="1">
        <f t="array" ref="B30">IF(IFERROR(INDEX(SalesforceData!$B$2:'SalesforceData'!$B$36, MATCH(0, COUNTIF(DataTransformation!$B$2:'DataTransformation'!$B29, SalesforceData!$B$2:'SalesforceData'!$B$36), 0)),"") = 0,"", IFERROR(INDEX(SalesforceData!$B$2:'SalesforceData'!$B$36, MATCH(0, COUNTIF(DataTransformation!$B$2:'DataTransformation'!$B29, SalesforceData!$B$2:'SalesforceData'!$B$36), 0)),""))</f>
        <v/>
      </c>
      <c r="E30" s="9"/>
      <c r="G30" s="8" t="str">
        <f t="shared" si="1"/>
        <v/>
      </c>
      <c r="H30" s="8" cm="1">
        <f t="array" ref="H30">IFERROR(IF(COUNT(INDEX(SalesforceData!$D$2:$D$36,MATCH(1,($G30=SalesforceData!$A$2:$A$36)*(H$2=SalesforceData!$B$2:'SalesforceData'!$B$36)*(H$3=SalesforceData!$C$2:'SalesforceData'!$C$36),0)))=0,INDEX(SalesforceData!$F$2:$F$36,MATCH(1,($G30=SalesforceData!$A$2:$A$36)*(H$2=SalesforceData!$B$2:'SalesforceData'!$B$36) * (H$3=SalesforceData!$E$2:'SalesforceData'!$E$36),0)),INDEX(SalesforceData!$D$2:$D$36,MATCH(1,($G30=SalesforceData!$A$2:$A$36)*(H$2=SalesforceData!$B$2:'SalesforceData'!$B$36)*(H$3=SalesforceData!$C$2:'SalesforceData'!$C$36),0))),"")</f>
        <v>0</v>
      </c>
      <c r="I30" s="8" cm="1">
        <f t="array" ref="I30">IFERROR(IF(COUNT(INDEX(SalesforceData!$D$2:$D$36,MATCH(1,($G30=SalesforceData!$A$2:$A$36)*(I$2=SalesforceData!$B$2:'SalesforceData'!$B$36)*(I$3=SalesforceData!$C$2:'SalesforceData'!$C$36),0)))=0,INDEX(SalesforceData!$F$2:$F$36,MATCH(1,($G30=SalesforceData!$A$2:$A$36)*(I$2=SalesforceData!$B$2:'SalesforceData'!$B$36) * (I$3=SalesforceData!$E$2:'SalesforceData'!$E$36),0)),INDEX(SalesforceData!$D$2:$D$36,MATCH(1,($G30=SalesforceData!$A$2:$A$36)*(I$2=SalesforceData!$B$2:'SalesforceData'!$B$36)*(I$3=SalesforceData!$C$2:'SalesforceData'!$C$36),0))),"")</f>
        <v>0</v>
      </c>
      <c r="J30" s="8" cm="1">
        <f t="array" ref="J30">IFERROR(IF(COUNT(INDEX(SalesforceData!$D$2:$D$36,MATCH(1,($G30=SalesforceData!$A$2:$A$36)*(J$2=SalesforceData!$B$2:'SalesforceData'!$B$36)*(J$3=SalesforceData!$C$2:'SalesforceData'!$C$36),0)))=0,INDEX(SalesforceData!$F$2:$F$36,MATCH(1,($G30=SalesforceData!$A$2:$A$36)*(J$2=SalesforceData!$B$2:'SalesforceData'!$B$36) * (J$3=SalesforceData!$E$2:'SalesforceData'!$E$36),0)),INDEX(SalesforceData!$D$2:$D$36,MATCH(1,($G30=SalesforceData!$A$2:$A$36)*(J$2=SalesforceData!$B$2:'SalesforceData'!$B$36)*(J$3=SalesforceData!$C$2:'SalesforceData'!$C$36),0))),"")</f>
        <v>0</v>
      </c>
      <c r="K30" s="8" cm="1">
        <f t="array" ref="K30">IFERROR(IF(COUNT(INDEX(SalesforceData!$D$2:$D$36,MATCH(1,($G30=SalesforceData!$A$2:$A$36)*(K$2=SalesforceData!$B$2:'SalesforceData'!$B$36)*(K$3=SalesforceData!$C$2:'SalesforceData'!$C$36),0)))=0,INDEX(SalesforceData!$F$2:$F$36,MATCH(1,($G30=SalesforceData!$A$2:$A$36)*(K$2=SalesforceData!$B$2:'SalesforceData'!$B$36) * (K$3=SalesforceData!$E$2:'SalesforceData'!$E$36),0)),INDEX(SalesforceData!$D$2:$D$36,MATCH(1,($G30=SalesforceData!$A$2:$A$36)*(K$2=SalesforceData!$B$2:'SalesforceData'!$B$36)*(K$3=SalesforceData!$C$2:'SalesforceData'!$C$36),0))),"")</f>
        <v>0</v>
      </c>
      <c r="L30" s="8" cm="1">
        <f t="array" ref="L30">IFERROR(IF(COUNT(INDEX(SalesforceData!$D$2:$D$36,MATCH(1,($G30=SalesforceData!$A$2:$A$36)*(L$2=SalesforceData!$B$2:'SalesforceData'!$B$36)*(L$3=SalesforceData!$C$2:'SalesforceData'!$C$36),0)))=0,INDEX(SalesforceData!$F$2:$F$36,MATCH(1,($G30=SalesforceData!$A$2:$A$36)*(L$2=SalesforceData!$B$2:'SalesforceData'!$B$36) * (L$3=SalesforceData!$E$2:'SalesforceData'!$E$36),0)),INDEX(SalesforceData!$D$2:$D$36,MATCH(1,($G30=SalesforceData!$A$2:$A$36)*(L$2=SalesforceData!$B$2:'SalesforceData'!$B$36)*(L$3=SalesforceData!$C$2:'SalesforceData'!$C$36),0))),"")</f>
        <v>0</v>
      </c>
      <c r="M30" s="8" cm="1">
        <f t="array" ref="M30">IFERROR(IF(COUNT(INDEX(SalesforceData!$D$2:$D$36,MATCH(1,($G30=SalesforceData!$A$2:$A$36)*(M$2=SalesforceData!$B$2:'SalesforceData'!$B$36)*(M$3=SalesforceData!$C$2:'SalesforceData'!$C$36),0)))=0,INDEX(SalesforceData!$F$2:$F$36,MATCH(1,($G30=SalesforceData!$A$2:$A$36)*(M$2=SalesforceData!$B$2:'SalesforceData'!$B$36) * (M$3=SalesforceData!$E$2:'SalesforceData'!$E$36),0)),INDEX(SalesforceData!$D$2:$D$36,MATCH(1,($G30=SalesforceData!$A$2:$A$36)*(M$2=SalesforceData!$B$2:'SalesforceData'!$B$36)*(M$3=SalesforceData!$C$2:'SalesforceData'!$C$36),0))),"")</f>
        <v>0</v>
      </c>
      <c r="N30" s="8" cm="1">
        <f t="array" ref="N30">IFERROR(IF(COUNT(INDEX(SalesforceData!$D$2:$D$36,MATCH(1,($G30=SalesforceData!$A$2:$A$36)*(N$2=SalesforceData!$B$2:'SalesforceData'!$B$36)*(N$3=SalesforceData!$C$2:'SalesforceData'!$C$36),0)))=0,INDEX(SalesforceData!$F$2:$F$36,MATCH(1,($G30=SalesforceData!$A$2:$A$36)*(N$2=SalesforceData!$B$2:'SalesforceData'!$B$36) * (N$3=SalesforceData!$E$2:'SalesforceData'!$E$36),0)),INDEX(SalesforceData!$D$2:$D$36,MATCH(1,($G30=SalesforceData!$A$2:$A$36)*(N$2=SalesforceData!$B$2:'SalesforceData'!$B$36)*(N$3=SalesforceData!$C$2:'SalesforceData'!$C$36),0))),"")</f>
        <v>0</v>
      </c>
      <c r="O30" s="8" cm="1">
        <f t="array" ref="O30">IFERROR(IF(COUNT(INDEX(SalesforceData!$D$2:$D$36,MATCH(1,($G30=SalesforceData!$A$2:$A$36)*(O$2=SalesforceData!$B$2:'SalesforceData'!$B$36)*(O$3=SalesforceData!$C$2:'SalesforceData'!$C$36),0)))=0,INDEX(SalesforceData!$F$2:$F$36,MATCH(1,($G30=SalesforceData!$A$2:$A$36)*(O$2=SalesforceData!$B$2:'SalesforceData'!$B$36) * (O$3=SalesforceData!$E$2:'SalesforceData'!$E$36),0)),INDEX(SalesforceData!$D$2:$D$36,MATCH(1,($G30=SalesforceData!$A$2:$A$36)*(O$2=SalesforceData!$B$2:'SalesforceData'!$B$36)*(O$3=SalesforceData!$C$2:'SalesforceData'!$C$36),0))),"")</f>
        <v>0</v>
      </c>
      <c r="Q30" s="9"/>
      <c r="S30" t="str" cm="1">
        <f t="array" aca="1" ref="S30" ca="1">IF(CELL("contents",G30)=0,"",CELL("contents",G30))</f>
        <v/>
      </c>
      <c r="T30" t="str" cm="1">
        <f t="array" aca="1" ref="T30" ca="1">IF(CELL("contents",H30)=0,"",CELL("contents",H30))</f>
        <v/>
      </c>
      <c r="U30" t="str" cm="1">
        <f t="array" aca="1" ref="U30" ca="1">IF(CELL("contents",I30)=0,"",CELL("contents",I30))</f>
        <v/>
      </c>
      <c r="V30" t="str" cm="1">
        <f t="array" aca="1" ref="V30" ca="1">IF(CELL("contents",J30)=0,"",CELL("contents",J30))</f>
        <v/>
      </c>
      <c r="W30" t="str" cm="1">
        <f t="array" aca="1" ref="W30" ca="1">IF(CELL("contents",K30)=0,"",CELL("contents",K30))</f>
        <v/>
      </c>
      <c r="X30" t="str" cm="1">
        <f t="array" aca="1" ref="X30" ca="1">IF(CELL("contents",L30)=0,"",CELL("contents",L30))</f>
        <v/>
      </c>
      <c r="Y30" t="str" cm="1">
        <f t="array" aca="1" ref="Y30" ca="1">IF(CELL("contents",M30)=0,"",CELL("contents",M30))</f>
        <v/>
      </c>
      <c r="Z30" t="str" cm="1">
        <f t="array" aca="1" ref="Z30" ca="1">IF(CELL("contents",N30)=0,"",CELL("contents",N30))</f>
        <v/>
      </c>
      <c r="AA30" t="str" cm="1">
        <f t="array" aca="1" ref="AA30" ca="1">IF(CELL("contents",O30)=0,"",CELL("contents",O30))</f>
        <v/>
      </c>
    </row>
    <row r="31" spans="1:27" x14ac:dyDescent="0.35">
      <c r="A31" s="8" t="str" cm="1">
        <f t="array" ref="A31">IF(IFERROR(INDEX(SalesforceData!$A$2:'SalesforceData'!$A$36, MATCH(0, COUNTIF(DataTransformation!$A$2:'DataTransformation'!$A30, SalesforceData!$A$2:'SalesforceData'!$A$36), 0)),"") = 0,"", IFERROR(INDEX(SalesforceData!$A$2:'SalesforceData'!$A$36, MATCH(0, COUNTIF(DataTransformation!$A$2:'DataTransformation'!$A30, SalesforceData!$A$2:'SalesforceData'!$A$36), 0)),""))</f>
        <v/>
      </c>
      <c r="B31" s="8" t="str" cm="1">
        <f t="array" ref="B31">IF(IFERROR(INDEX(SalesforceData!$B$2:'SalesforceData'!$B$36, MATCH(0, COUNTIF(DataTransformation!$B$2:'DataTransformation'!$B30, SalesforceData!$B$2:'SalesforceData'!$B$36), 0)),"") = 0,"", IFERROR(INDEX(SalesforceData!$B$2:'SalesforceData'!$B$36, MATCH(0, COUNTIF(DataTransformation!$B$2:'DataTransformation'!$B30, SalesforceData!$B$2:'SalesforceData'!$B$36), 0)),""))</f>
        <v/>
      </c>
      <c r="E31" s="9"/>
      <c r="G31" s="8" t="str">
        <f t="shared" si="1"/>
        <v/>
      </c>
      <c r="H31" s="8" cm="1">
        <f t="array" ref="H31">IFERROR(IF(COUNT(INDEX(SalesforceData!$D$2:$D$36,MATCH(1,($G31=SalesforceData!$A$2:$A$36)*(H$2=SalesforceData!$B$2:'SalesforceData'!$B$36)*(H$3=SalesforceData!$C$2:'SalesforceData'!$C$36),0)))=0,INDEX(SalesforceData!$F$2:$F$36,MATCH(1,($G31=SalesforceData!$A$2:$A$36)*(H$2=SalesforceData!$B$2:'SalesforceData'!$B$36) * (H$3=SalesforceData!$E$2:'SalesforceData'!$E$36),0)),INDEX(SalesforceData!$D$2:$D$36,MATCH(1,($G31=SalesforceData!$A$2:$A$36)*(H$2=SalesforceData!$B$2:'SalesforceData'!$B$36)*(H$3=SalesforceData!$C$2:'SalesforceData'!$C$36),0))),"")</f>
        <v>0</v>
      </c>
      <c r="I31" s="8" cm="1">
        <f t="array" ref="I31">IFERROR(IF(COUNT(INDEX(SalesforceData!$D$2:$D$36,MATCH(1,($G31=SalesforceData!$A$2:$A$36)*(I$2=SalesforceData!$B$2:'SalesforceData'!$B$36)*(I$3=SalesforceData!$C$2:'SalesforceData'!$C$36),0)))=0,INDEX(SalesforceData!$F$2:$F$36,MATCH(1,($G31=SalesforceData!$A$2:$A$36)*(I$2=SalesforceData!$B$2:'SalesforceData'!$B$36) * (I$3=SalesforceData!$E$2:'SalesforceData'!$E$36),0)),INDEX(SalesforceData!$D$2:$D$36,MATCH(1,($G31=SalesforceData!$A$2:$A$36)*(I$2=SalesforceData!$B$2:'SalesforceData'!$B$36)*(I$3=SalesforceData!$C$2:'SalesforceData'!$C$36),0))),"")</f>
        <v>0</v>
      </c>
      <c r="J31" s="8" cm="1">
        <f t="array" ref="J31">IFERROR(IF(COUNT(INDEX(SalesforceData!$D$2:$D$36,MATCH(1,($G31=SalesforceData!$A$2:$A$36)*(J$2=SalesforceData!$B$2:'SalesforceData'!$B$36)*(J$3=SalesforceData!$C$2:'SalesforceData'!$C$36),0)))=0,INDEX(SalesforceData!$F$2:$F$36,MATCH(1,($G31=SalesforceData!$A$2:$A$36)*(J$2=SalesforceData!$B$2:'SalesforceData'!$B$36) * (J$3=SalesforceData!$E$2:'SalesforceData'!$E$36),0)),INDEX(SalesforceData!$D$2:$D$36,MATCH(1,($G31=SalesforceData!$A$2:$A$36)*(J$2=SalesforceData!$B$2:'SalesforceData'!$B$36)*(J$3=SalesforceData!$C$2:'SalesforceData'!$C$36),0))),"")</f>
        <v>0</v>
      </c>
      <c r="K31" s="8" cm="1">
        <f t="array" ref="K31">IFERROR(IF(COUNT(INDEX(SalesforceData!$D$2:$D$36,MATCH(1,($G31=SalesforceData!$A$2:$A$36)*(K$2=SalesforceData!$B$2:'SalesforceData'!$B$36)*(K$3=SalesforceData!$C$2:'SalesforceData'!$C$36),0)))=0,INDEX(SalesforceData!$F$2:$F$36,MATCH(1,($G31=SalesforceData!$A$2:$A$36)*(K$2=SalesforceData!$B$2:'SalesforceData'!$B$36) * (K$3=SalesforceData!$E$2:'SalesforceData'!$E$36),0)),INDEX(SalesforceData!$D$2:$D$36,MATCH(1,($G31=SalesforceData!$A$2:$A$36)*(K$2=SalesforceData!$B$2:'SalesforceData'!$B$36)*(K$3=SalesforceData!$C$2:'SalesforceData'!$C$36),0))),"")</f>
        <v>0</v>
      </c>
      <c r="L31" s="8" cm="1">
        <f t="array" ref="L31">IFERROR(IF(COUNT(INDEX(SalesforceData!$D$2:$D$36,MATCH(1,($G31=SalesforceData!$A$2:$A$36)*(L$2=SalesforceData!$B$2:'SalesforceData'!$B$36)*(L$3=SalesforceData!$C$2:'SalesforceData'!$C$36),0)))=0,INDEX(SalesforceData!$F$2:$F$36,MATCH(1,($G31=SalesforceData!$A$2:$A$36)*(L$2=SalesforceData!$B$2:'SalesforceData'!$B$36) * (L$3=SalesforceData!$E$2:'SalesforceData'!$E$36),0)),INDEX(SalesforceData!$D$2:$D$36,MATCH(1,($G31=SalesforceData!$A$2:$A$36)*(L$2=SalesforceData!$B$2:'SalesforceData'!$B$36)*(L$3=SalesforceData!$C$2:'SalesforceData'!$C$36),0))),"")</f>
        <v>0</v>
      </c>
      <c r="M31" s="8" cm="1">
        <f t="array" ref="M31">IFERROR(IF(COUNT(INDEX(SalesforceData!$D$2:$D$36,MATCH(1,($G31=SalesforceData!$A$2:$A$36)*(M$2=SalesforceData!$B$2:'SalesforceData'!$B$36)*(M$3=SalesforceData!$C$2:'SalesforceData'!$C$36),0)))=0,INDEX(SalesforceData!$F$2:$F$36,MATCH(1,($G31=SalesforceData!$A$2:$A$36)*(M$2=SalesforceData!$B$2:'SalesforceData'!$B$36) * (M$3=SalesforceData!$E$2:'SalesforceData'!$E$36),0)),INDEX(SalesforceData!$D$2:$D$36,MATCH(1,($G31=SalesforceData!$A$2:$A$36)*(M$2=SalesforceData!$B$2:'SalesforceData'!$B$36)*(M$3=SalesforceData!$C$2:'SalesforceData'!$C$36),0))),"")</f>
        <v>0</v>
      </c>
      <c r="N31" s="8" cm="1">
        <f t="array" ref="N31">IFERROR(IF(COUNT(INDEX(SalesforceData!$D$2:$D$36,MATCH(1,($G31=SalesforceData!$A$2:$A$36)*(N$2=SalesforceData!$B$2:'SalesforceData'!$B$36)*(N$3=SalesforceData!$C$2:'SalesforceData'!$C$36),0)))=0,INDEX(SalesforceData!$F$2:$F$36,MATCH(1,($G31=SalesforceData!$A$2:$A$36)*(N$2=SalesforceData!$B$2:'SalesforceData'!$B$36) * (N$3=SalesforceData!$E$2:'SalesforceData'!$E$36),0)),INDEX(SalesforceData!$D$2:$D$36,MATCH(1,($G31=SalesforceData!$A$2:$A$36)*(N$2=SalesforceData!$B$2:'SalesforceData'!$B$36)*(N$3=SalesforceData!$C$2:'SalesforceData'!$C$36),0))),"")</f>
        <v>0</v>
      </c>
      <c r="O31" s="8" cm="1">
        <f t="array" ref="O31">IFERROR(IF(COUNT(INDEX(SalesforceData!$D$2:$D$36,MATCH(1,($G31=SalesforceData!$A$2:$A$36)*(O$2=SalesforceData!$B$2:'SalesforceData'!$B$36)*(O$3=SalesforceData!$C$2:'SalesforceData'!$C$36),0)))=0,INDEX(SalesforceData!$F$2:$F$36,MATCH(1,($G31=SalesforceData!$A$2:$A$36)*(O$2=SalesforceData!$B$2:'SalesforceData'!$B$36) * (O$3=SalesforceData!$E$2:'SalesforceData'!$E$36),0)),INDEX(SalesforceData!$D$2:$D$36,MATCH(1,($G31=SalesforceData!$A$2:$A$36)*(O$2=SalesforceData!$B$2:'SalesforceData'!$B$36)*(O$3=SalesforceData!$C$2:'SalesforceData'!$C$36),0))),"")</f>
        <v>0</v>
      </c>
      <c r="Q31" s="9"/>
      <c r="S31" t="str" cm="1">
        <f t="array" aca="1" ref="S31" ca="1">IF(CELL("contents",G31)=0,"",CELL("contents",G31))</f>
        <v/>
      </c>
      <c r="T31" t="str" cm="1">
        <f t="array" aca="1" ref="T31" ca="1">IF(CELL("contents",H31)=0,"",CELL("contents",H31))</f>
        <v/>
      </c>
      <c r="U31" t="str" cm="1">
        <f t="array" aca="1" ref="U31" ca="1">IF(CELL("contents",I31)=0,"",CELL("contents",I31))</f>
        <v/>
      </c>
      <c r="V31" t="str" cm="1">
        <f t="array" aca="1" ref="V31" ca="1">IF(CELL("contents",J31)=0,"",CELL("contents",J31))</f>
        <v/>
      </c>
      <c r="W31" t="str" cm="1">
        <f t="array" aca="1" ref="W31" ca="1">IF(CELL("contents",K31)=0,"",CELL("contents",K31))</f>
        <v/>
      </c>
      <c r="X31" t="str" cm="1">
        <f t="array" aca="1" ref="X31" ca="1">IF(CELL("contents",L31)=0,"",CELL("contents",L31))</f>
        <v/>
      </c>
      <c r="Y31" t="str" cm="1">
        <f t="array" aca="1" ref="Y31" ca="1">IF(CELL("contents",M31)=0,"",CELL("contents",M31))</f>
        <v/>
      </c>
      <c r="Z31" t="str" cm="1">
        <f t="array" aca="1" ref="Z31" ca="1">IF(CELL("contents",N31)=0,"",CELL("contents",N31))</f>
        <v/>
      </c>
      <c r="AA31" t="str" cm="1">
        <f t="array" aca="1" ref="AA31" ca="1">IF(CELL("contents",O31)=0,"",CELL("contents",O31))</f>
        <v/>
      </c>
    </row>
    <row r="32" spans="1:27" x14ac:dyDescent="0.35">
      <c r="A32" s="8" t="str" cm="1">
        <f t="array" ref="A32">IF(IFERROR(INDEX(SalesforceData!$A$2:'SalesforceData'!$A$36, MATCH(0, COUNTIF(DataTransformation!$A$2:'DataTransformation'!$A31, SalesforceData!$A$2:'SalesforceData'!$A$36), 0)),"") = 0,"", IFERROR(INDEX(SalesforceData!$A$2:'SalesforceData'!$A$36, MATCH(0, COUNTIF(DataTransformation!$A$2:'DataTransformation'!$A31, SalesforceData!$A$2:'SalesforceData'!$A$36), 0)),""))</f>
        <v/>
      </c>
      <c r="B32" s="8" t="str" cm="1">
        <f t="array" ref="B32">IF(IFERROR(INDEX(SalesforceData!$B$2:'SalesforceData'!$B$36, MATCH(0, COUNTIF(DataTransformation!$B$2:'DataTransformation'!$B31, SalesforceData!$B$2:'SalesforceData'!$B$36), 0)),"") = 0,"", IFERROR(INDEX(SalesforceData!$B$2:'SalesforceData'!$B$36, MATCH(0, COUNTIF(DataTransformation!$B$2:'DataTransformation'!$B31, SalesforceData!$B$2:'SalesforceData'!$B$36), 0)),""))</f>
        <v/>
      </c>
      <c r="E32" s="9"/>
      <c r="G32" s="8" t="str">
        <f t="shared" si="1"/>
        <v/>
      </c>
      <c r="H32" s="8" cm="1">
        <f t="array" ref="H32">IFERROR(IF(COUNT(INDEX(SalesforceData!$D$2:$D$36,MATCH(1,($G32=SalesforceData!$A$2:$A$36)*(H$2=SalesforceData!$B$2:'SalesforceData'!$B$36)*(H$3=SalesforceData!$C$2:'SalesforceData'!$C$36),0)))=0,INDEX(SalesforceData!$F$2:$F$36,MATCH(1,($G32=SalesforceData!$A$2:$A$36)*(H$2=SalesforceData!$B$2:'SalesforceData'!$B$36) * (H$3=SalesforceData!$E$2:'SalesforceData'!$E$36),0)),INDEX(SalesforceData!$D$2:$D$36,MATCH(1,($G32=SalesforceData!$A$2:$A$36)*(H$2=SalesforceData!$B$2:'SalesforceData'!$B$36)*(H$3=SalesforceData!$C$2:'SalesforceData'!$C$36),0))),"")</f>
        <v>0</v>
      </c>
      <c r="I32" s="8" cm="1">
        <f t="array" ref="I32">IFERROR(IF(COUNT(INDEX(SalesforceData!$D$2:$D$36,MATCH(1,($G32=SalesforceData!$A$2:$A$36)*(I$2=SalesforceData!$B$2:'SalesforceData'!$B$36)*(I$3=SalesforceData!$C$2:'SalesforceData'!$C$36),0)))=0,INDEX(SalesforceData!$F$2:$F$36,MATCH(1,($G32=SalesforceData!$A$2:$A$36)*(I$2=SalesforceData!$B$2:'SalesforceData'!$B$36) * (I$3=SalesforceData!$E$2:'SalesforceData'!$E$36),0)),INDEX(SalesforceData!$D$2:$D$36,MATCH(1,($G32=SalesforceData!$A$2:$A$36)*(I$2=SalesforceData!$B$2:'SalesforceData'!$B$36)*(I$3=SalesforceData!$C$2:'SalesforceData'!$C$36),0))),"")</f>
        <v>0</v>
      </c>
      <c r="J32" s="8" cm="1">
        <f t="array" ref="J32">IFERROR(IF(COUNT(INDEX(SalesforceData!$D$2:$D$36,MATCH(1,($G32=SalesforceData!$A$2:$A$36)*(J$2=SalesforceData!$B$2:'SalesforceData'!$B$36)*(J$3=SalesforceData!$C$2:'SalesforceData'!$C$36),0)))=0,INDEX(SalesforceData!$F$2:$F$36,MATCH(1,($G32=SalesforceData!$A$2:$A$36)*(J$2=SalesforceData!$B$2:'SalesforceData'!$B$36) * (J$3=SalesforceData!$E$2:'SalesforceData'!$E$36),0)),INDEX(SalesforceData!$D$2:$D$36,MATCH(1,($G32=SalesforceData!$A$2:$A$36)*(J$2=SalesforceData!$B$2:'SalesforceData'!$B$36)*(J$3=SalesforceData!$C$2:'SalesforceData'!$C$36),0))),"")</f>
        <v>0</v>
      </c>
      <c r="K32" s="8" cm="1">
        <f t="array" ref="K32">IFERROR(IF(COUNT(INDEX(SalesforceData!$D$2:$D$36,MATCH(1,($G32=SalesforceData!$A$2:$A$36)*(K$2=SalesforceData!$B$2:'SalesforceData'!$B$36)*(K$3=SalesforceData!$C$2:'SalesforceData'!$C$36),0)))=0,INDEX(SalesforceData!$F$2:$F$36,MATCH(1,($G32=SalesforceData!$A$2:$A$36)*(K$2=SalesforceData!$B$2:'SalesforceData'!$B$36) * (K$3=SalesforceData!$E$2:'SalesforceData'!$E$36),0)),INDEX(SalesforceData!$D$2:$D$36,MATCH(1,($G32=SalesforceData!$A$2:$A$36)*(K$2=SalesforceData!$B$2:'SalesforceData'!$B$36)*(K$3=SalesforceData!$C$2:'SalesforceData'!$C$36),0))),"")</f>
        <v>0</v>
      </c>
      <c r="L32" s="8" cm="1">
        <f t="array" ref="L32">IFERROR(IF(COUNT(INDEX(SalesforceData!$D$2:$D$36,MATCH(1,($G32=SalesforceData!$A$2:$A$36)*(L$2=SalesforceData!$B$2:'SalesforceData'!$B$36)*(L$3=SalesforceData!$C$2:'SalesforceData'!$C$36),0)))=0,INDEX(SalesforceData!$F$2:$F$36,MATCH(1,($G32=SalesforceData!$A$2:$A$36)*(L$2=SalesforceData!$B$2:'SalesforceData'!$B$36) * (L$3=SalesforceData!$E$2:'SalesforceData'!$E$36),0)),INDEX(SalesforceData!$D$2:$D$36,MATCH(1,($G32=SalesforceData!$A$2:$A$36)*(L$2=SalesforceData!$B$2:'SalesforceData'!$B$36)*(L$3=SalesforceData!$C$2:'SalesforceData'!$C$36),0))),"")</f>
        <v>0</v>
      </c>
      <c r="M32" s="8" cm="1">
        <f t="array" ref="M32">IFERROR(IF(COUNT(INDEX(SalesforceData!$D$2:$D$36,MATCH(1,($G32=SalesforceData!$A$2:$A$36)*(M$2=SalesforceData!$B$2:'SalesforceData'!$B$36)*(M$3=SalesforceData!$C$2:'SalesforceData'!$C$36),0)))=0,INDEX(SalesforceData!$F$2:$F$36,MATCH(1,($G32=SalesforceData!$A$2:$A$36)*(M$2=SalesforceData!$B$2:'SalesforceData'!$B$36) * (M$3=SalesforceData!$E$2:'SalesforceData'!$E$36),0)),INDEX(SalesforceData!$D$2:$D$36,MATCH(1,($G32=SalesforceData!$A$2:$A$36)*(M$2=SalesforceData!$B$2:'SalesforceData'!$B$36)*(M$3=SalesforceData!$C$2:'SalesforceData'!$C$36),0))),"")</f>
        <v>0</v>
      </c>
      <c r="N32" s="8" cm="1">
        <f t="array" ref="N32">IFERROR(IF(COUNT(INDEX(SalesforceData!$D$2:$D$36,MATCH(1,($G32=SalesforceData!$A$2:$A$36)*(N$2=SalesforceData!$B$2:'SalesforceData'!$B$36)*(N$3=SalesforceData!$C$2:'SalesforceData'!$C$36),0)))=0,INDEX(SalesforceData!$F$2:$F$36,MATCH(1,($G32=SalesforceData!$A$2:$A$36)*(N$2=SalesforceData!$B$2:'SalesforceData'!$B$36) * (N$3=SalesforceData!$E$2:'SalesforceData'!$E$36),0)),INDEX(SalesforceData!$D$2:$D$36,MATCH(1,($G32=SalesforceData!$A$2:$A$36)*(N$2=SalesforceData!$B$2:'SalesforceData'!$B$36)*(N$3=SalesforceData!$C$2:'SalesforceData'!$C$36),0))),"")</f>
        <v>0</v>
      </c>
      <c r="O32" s="8" cm="1">
        <f t="array" ref="O32">IFERROR(IF(COUNT(INDEX(SalesforceData!$D$2:$D$36,MATCH(1,($G32=SalesforceData!$A$2:$A$36)*(O$2=SalesforceData!$B$2:'SalesforceData'!$B$36)*(O$3=SalesforceData!$C$2:'SalesforceData'!$C$36),0)))=0,INDEX(SalesforceData!$F$2:$F$36,MATCH(1,($G32=SalesforceData!$A$2:$A$36)*(O$2=SalesforceData!$B$2:'SalesforceData'!$B$36) * (O$3=SalesforceData!$E$2:'SalesforceData'!$E$36),0)),INDEX(SalesforceData!$D$2:$D$36,MATCH(1,($G32=SalesforceData!$A$2:$A$36)*(O$2=SalesforceData!$B$2:'SalesforceData'!$B$36)*(O$3=SalesforceData!$C$2:'SalesforceData'!$C$36),0))),"")</f>
        <v>0</v>
      </c>
      <c r="Q32" s="9"/>
      <c r="S32" t="str" cm="1">
        <f t="array" aca="1" ref="S32" ca="1">IF(CELL("contents",G32)=0,"",CELL("contents",G32))</f>
        <v/>
      </c>
      <c r="T32" t="str" cm="1">
        <f t="array" aca="1" ref="T32" ca="1">IF(CELL("contents",H32)=0,"",CELL("contents",H32))</f>
        <v/>
      </c>
      <c r="U32" t="str" cm="1">
        <f t="array" aca="1" ref="U32" ca="1">IF(CELL("contents",I32)=0,"",CELL("contents",I32))</f>
        <v/>
      </c>
      <c r="V32" t="str" cm="1">
        <f t="array" aca="1" ref="V32" ca="1">IF(CELL("contents",J32)=0,"",CELL("contents",J32))</f>
        <v/>
      </c>
      <c r="W32" t="str" cm="1">
        <f t="array" aca="1" ref="W32" ca="1">IF(CELL("contents",K32)=0,"",CELL("contents",K32))</f>
        <v/>
      </c>
      <c r="X32" t="str" cm="1">
        <f t="array" aca="1" ref="X32" ca="1">IF(CELL("contents",L32)=0,"",CELL("contents",L32))</f>
        <v/>
      </c>
      <c r="Y32" t="str" cm="1">
        <f t="array" aca="1" ref="Y32" ca="1">IF(CELL("contents",M32)=0,"",CELL("contents",M32))</f>
        <v/>
      </c>
      <c r="Z32" t="str" cm="1">
        <f t="array" aca="1" ref="Z32" ca="1">IF(CELL("contents",N32)=0,"",CELL("contents",N32))</f>
        <v/>
      </c>
      <c r="AA32" t="str" cm="1">
        <f t="array" aca="1" ref="AA32" ca="1">IF(CELL("contents",O32)=0,"",CELL("contents",O32))</f>
        <v/>
      </c>
    </row>
    <row r="33" spans="1:27" x14ac:dyDescent="0.35">
      <c r="A33" s="8" t="str" cm="1">
        <f t="array" ref="A33">IF(IFERROR(INDEX(SalesforceData!$A$2:'SalesforceData'!$A$36, MATCH(0, COUNTIF(DataTransformation!$A$2:'DataTransformation'!$A32, SalesforceData!$A$2:'SalesforceData'!$A$36), 0)),"") = 0,"", IFERROR(INDEX(SalesforceData!$A$2:'SalesforceData'!$A$36, MATCH(0, COUNTIF(DataTransformation!$A$2:'DataTransformation'!$A32, SalesforceData!$A$2:'SalesforceData'!$A$36), 0)),""))</f>
        <v/>
      </c>
      <c r="B33" s="8" t="str" cm="1">
        <f t="array" ref="B33">IF(IFERROR(INDEX(SalesforceData!$B$2:'SalesforceData'!$B$36, MATCH(0, COUNTIF(DataTransformation!$B$2:'DataTransformation'!$B32, SalesforceData!$B$2:'SalesforceData'!$B$36), 0)),"") = 0,"", IFERROR(INDEX(SalesforceData!$B$2:'SalesforceData'!$B$36, MATCH(0, COUNTIF(DataTransformation!$B$2:'DataTransformation'!$B32, SalesforceData!$B$2:'SalesforceData'!$B$36), 0)),""))</f>
        <v/>
      </c>
      <c r="E33" s="9"/>
      <c r="G33" s="8" t="str">
        <f t="shared" si="1"/>
        <v/>
      </c>
      <c r="H33" s="8" cm="1">
        <f t="array" ref="H33">IFERROR(IF(COUNT(INDEX(SalesforceData!$D$2:$D$36,MATCH(1,($G33=SalesforceData!$A$2:$A$36)*(H$2=SalesforceData!$B$2:'SalesforceData'!$B$36)*(H$3=SalesforceData!$C$2:'SalesforceData'!$C$36),0)))=0,INDEX(SalesforceData!$F$2:$F$36,MATCH(1,($G33=SalesforceData!$A$2:$A$36)*(H$2=SalesforceData!$B$2:'SalesforceData'!$B$36) * (H$3=SalesforceData!$E$2:'SalesforceData'!$E$36),0)),INDEX(SalesforceData!$D$2:$D$36,MATCH(1,($G33=SalesforceData!$A$2:$A$36)*(H$2=SalesforceData!$B$2:'SalesforceData'!$B$36)*(H$3=SalesforceData!$C$2:'SalesforceData'!$C$36),0))),"")</f>
        <v>0</v>
      </c>
      <c r="I33" s="8" cm="1">
        <f t="array" ref="I33">IFERROR(IF(COUNT(INDEX(SalesforceData!$D$2:$D$36,MATCH(1,($G33=SalesforceData!$A$2:$A$36)*(I$2=SalesforceData!$B$2:'SalesforceData'!$B$36)*(I$3=SalesforceData!$C$2:'SalesforceData'!$C$36),0)))=0,INDEX(SalesforceData!$F$2:$F$36,MATCH(1,($G33=SalesforceData!$A$2:$A$36)*(I$2=SalesforceData!$B$2:'SalesforceData'!$B$36) * (I$3=SalesforceData!$E$2:'SalesforceData'!$E$36),0)),INDEX(SalesforceData!$D$2:$D$36,MATCH(1,($G33=SalesforceData!$A$2:$A$36)*(I$2=SalesforceData!$B$2:'SalesforceData'!$B$36)*(I$3=SalesforceData!$C$2:'SalesforceData'!$C$36),0))),"")</f>
        <v>0</v>
      </c>
      <c r="J33" s="8" cm="1">
        <f t="array" ref="J33">IFERROR(IF(COUNT(INDEX(SalesforceData!$D$2:$D$36,MATCH(1,($G33=SalesforceData!$A$2:$A$36)*(J$2=SalesforceData!$B$2:'SalesforceData'!$B$36)*(J$3=SalesforceData!$C$2:'SalesforceData'!$C$36),0)))=0,INDEX(SalesforceData!$F$2:$F$36,MATCH(1,($G33=SalesforceData!$A$2:$A$36)*(J$2=SalesforceData!$B$2:'SalesforceData'!$B$36) * (J$3=SalesforceData!$E$2:'SalesforceData'!$E$36),0)),INDEX(SalesforceData!$D$2:$D$36,MATCH(1,($G33=SalesforceData!$A$2:$A$36)*(J$2=SalesforceData!$B$2:'SalesforceData'!$B$36)*(J$3=SalesforceData!$C$2:'SalesforceData'!$C$36),0))),"")</f>
        <v>0</v>
      </c>
      <c r="K33" s="8" cm="1">
        <f t="array" ref="K33">IFERROR(IF(COUNT(INDEX(SalesforceData!$D$2:$D$36,MATCH(1,($G33=SalesforceData!$A$2:$A$36)*(K$2=SalesforceData!$B$2:'SalesforceData'!$B$36)*(K$3=SalesforceData!$C$2:'SalesforceData'!$C$36),0)))=0,INDEX(SalesforceData!$F$2:$F$36,MATCH(1,($G33=SalesforceData!$A$2:$A$36)*(K$2=SalesforceData!$B$2:'SalesforceData'!$B$36) * (K$3=SalesforceData!$E$2:'SalesforceData'!$E$36),0)),INDEX(SalesforceData!$D$2:$D$36,MATCH(1,($G33=SalesforceData!$A$2:$A$36)*(K$2=SalesforceData!$B$2:'SalesforceData'!$B$36)*(K$3=SalesforceData!$C$2:'SalesforceData'!$C$36),0))),"")</f>
        <v>0</v>
      </c>
      <c r="L33" s="8" cm="1">
        <f t="array" ref="L33">IFERROR(IF(COUNT(INDEX(SalesforceData!$D$2:$D$36,MATCH(1,($G33=SalesforceData!$A$2:$A$36)*(L$2=SalesforceData!$B$2:'SalesforceData'!$B$36)*(L$3=SalesforceData!$C$2:'SalesforceData'!$C$36),0)))=0,INDEX(SalesforceData!$F$2:$F$36,MATCH(1,($G33=SalesforceData!$A$2:$A$36)*(L$2=SalesforceData!$B$2:'SalesforceData'!$B$36) * (L$3=SalesforceData!$E$2:'SalesforceData'!$E$36),0)),INDEX(SalesforceData!$D$2:$D$36,MATCH(1,($G33=SalesforceData!$A$2:$A$36)*(L$2=SalesforceData!$B$2:'SalesforceData'!$B$36)*(L$3=SalesforceData!$C$2:'SalesforceData'!$C$36),0))),"")</f>
        <v>0</v>
      </c>
      <c r="M33" s="8" cm="1">
        <f t="array" ref="M33">IFERROR(IF(COUNT(INDEX(SalesforceData!$D$2:$D$36,MATCH(1,($G33=SalesforceData!$A$2:$A$36)*(M$2=SalesforceData!$B$2:'SalesforceData'!$B$36)*(M$3=SalesforceData!$C$2:'SalesforceData'!$C$36),0)))=0,INDEX(SalesforceData!$F$2:$F$36,MATCH(1,($G33=SalesforceData!$A$2:$A$36)*(M$2=SalesforceData!$B$2:'SalesforceData'!$B$36) * (M$3=SalesforceData!$E$2:'SalesforceData'!$E$36),0)),INDEX(SalesforceData!$D$2:$D$36,MATCH(1,($G33=SalesforceData!$A$2:$A$36)*(M$2=SalesforceData!$B$2:'SalesforceData'!$B$36)*(M$3=SalesforceData!$C$2:'SalesforceData'!$C$36),0))),"")</f>
        <v>0</v>
      </c>
      <c r="N33" s="8" cm="1">
        <f t="array" ref="N33">IFERROR(IF(COUNT(INDEX(SalesforceData!$D$2:$D$36,MATCH(1,($G33=SalesforceData!$A$2:$A$36)*(N$2=SalesforceData!$B$2:'SalesforceData'!$B$36)*(N$3=SalesforceData!$C$2:'SalesforceData'!$C$36),0)))=0,INDEX(SalesforceData!$F$2:$F$36,MATCH(1,($G33=SalesforceData!$A$2:$A$36)*(N$2=SalesforceData!$B$2:'SalesforceData'!$B$36) * (N$3=SalesforceData!$E$2:'SalesforceData'!$E$36),0)),INDEX(SalesforceData!$D$2:$D$36,MATCH(1,($G33=SalesforceData!$A$2:$A$36)*(N$2=SalesforceData!$B$2:'SalesforceData'!$B$36)*(N$3=SalesforceData!$C$2:'SalesforceData'!$C$36),0))),"")</f>
        <v>0</v>
      </c>
      <c r="O33" s="8" cm="1">
        <f t="array" ref="O33">IFERROR(IF(COUNT(INDEX(SalesforceData!$D$2:$D$36,MATCH(1,($G33=SalesforceData!$A$2:$A$36)*(O$2=SalesforceData!$B$2:'SalesforceData'!$B$36)*(O$3=SalesforceData!$C$2:'SalesforceData'!$C$36),0)))=0,INDEX(SalesforceData!$F$2:$F$36,MATCH(1,($G33=SalesforceData!$A$2:$A$36)*(O$2=SalesforceData!$B$2:'SalesforceData'!$B$36) * (O$3=SalesforceData!$E$2:'SalesforceData'!$E$36),0)),INDEX(SalesforceData!$D$2:$D$36,MATCH(1,($G33=SalesforceData!$A$2:$A$36)*(O$2=SalesforceData!$B$2:'SalesforceData'!$B$36)*(O$3=SalesforceData!$C$2:'SalesforceData'!$C$36),0))),"")</f>
        <v>0</v>
      </c>
      <c r="Q33" s="9"/>
      <c r="S33" t="str" cm="1">
        <f t="array" aca="1" ref="S33" ca="1">IF(CELL("contents",G33)=0,"",CELL("contents",G33))</f>
        <v/>
      </c>
      <c r="T33" t="str" cm="1">
        <f t="array" aca="1" ref="T33" ca="1">IF(CELL("contents",H33)=0,"",CELL("contents",H33))</f>
        <v/>
      </c>
      <c r="U33" t="str" cm="1">
        <f t="array" aca="1" ref="U33" ca="1">IF(CELL("contents",I33)=0,"",CELL("contents",I33))</f>
        <v/>
      </c>
      <c r="V33" t="str" cm="1">
        <f t="array" aca="1" ref="V33" ca="1">IF(CELL("contents",J33)=0,"",CELL("contents",J33))</f>
        <v/>
      </c>
      <c r="W33" t="str" cm="1">
        <f t="array" aca="1" ref="W33" ca="1">IF(CELL("contents",K33)=0,"",CELL("contents",K33))</f>
        <v/>
      </c>
      <c r="X33" t="str" cm="1">
        <f t="array" aca="1" ref="X33" ca="1">IF(CELL("contents",L33)=0,"",CELL("contents",L33))</f>
        <v/>
      </c>
      <c r="Y33" t="str" cm="1">
        <f t="array" aca="1" ref="Y33" ca="1">IF(CELL("contents",M33)=0,"",CELL("contents",M33))</f>
        <v/>
      </c>
      <c r="Z33" t="str" cm="1">
        <f t="array" aca="1" ref="Z33" ca="1">IF(CELL("contents",N33)=0,"",CELL("contents",N33))</f>
        <v/>
      </c>
      <c r="AA33" t="str" cm="1">
        <f t="array" aca="1" ref="AA33" ca="1">IF(CELL("contents",O33)=0,"",CELL("contents",O33))</f>
        <v/>
      </c>
    </row>
    <row r="34" spans="1:27" x14ac:dyDescent="0.35">
      <c r="A34" s="8" t="str" cm="1">
        <f t="array" ref="A34">IF(IFERROR(INDEX(SalesforceData!$A$2:'SalesforceData'!$A$36, MATCH(0, COUNTIF(DataTransformation!$A$2:'DataTransformation'!$A33, SalesforceData!$A$2:'SalesforceData'!$A$36), 0)),"") = 0,"", IFERROR(INDEX(SalesforceData!$A$2:'SalesforceData'!$A$36, MATCH(0, COUNTIF(DataTransformation!$A$2:'DataTransformation'!$A33, SalesforceData!$A$2:'SalesforceData'!$A$36), 0)),""))</f>
        <v/>
      </c>
      <c r="B34" s="8" t="str" cm="1">
        <f t="array" ref="B34">IF(IFERROR(INDEX(SalesforceData!$B$2:'SalesforceData'!$B$36, MATCH(0, COUNTIF(DataTransformation!$B$2:'DataTransformation'!$B33, SalesforceData!$B$2:'SalesforceData'!$B$36), 0)),"") = 0,"", IFERROR(INDEX(SalesforceData!$B$2:'SalesforceData'!$B$36, MATCH(0, COUNTIF(DataTransformation!$B$2:'DataTransformation'!$B33, SalesforceData!$B$2:'SalesforceData'!$B$36), 0)),""))</f>
        <v/>
      </c>
      <c r="E34" s="9"/>
      <c r="G34" s="8" t="str">
        <f t="shared" si="1"/>
        <v/>
      </c>
      <c r="H34" s="8" cm="1">
        <f t="array" ref="H34">IFERROR(IF(COUNT(INDEX(SalesforceData!$D$2:$D$36,MATCH(1,($G34=SalesforceData!$A$2:$A$36)*(H$2=SalesforceData!$B$2:'SalesforceData'!$B$36)*(H$3=SalesforceData!$C$2:'SalesforceData'!$C$36),0)))=0,INDEX(SalesforceData!$F$2:$F$36,MATCH(1,($G34=SalesforceData!$A$2:$A$36)*(H$2=SalesforceData!$B$2:'SalesforceData'!$B$36) * (H$3=SalesforceData!$E$2:'SalesforceData'!$E$36),0)),INDEX(SalesforceData!$D$2:$D$36,MATCH(1,($G34=SalesforceData!$A$2:$A$36)*(H$2=SalesforceData!$B$2:'SalesforceData'!$B$36)*(H$3=SalesforceData!$C$2:'SalesforceData'!$C$36),0))),"")</f>
        <v>0</v>
      </c>
      <c r="I34" s="8" cm="1">
        <f t="array" ref="I34">IFERROR(IF(COUNT(INDEX(SalesforceData!$D$2:$D$36,MATCH(1,($G34=SalesforceData!$A$2:$A$36)*(I$2=SalesforceData!$B$2:'SalesforceData'!$B$36)*(I$3=SalesforceData!$C$2:'SalesforceData'!$C$36),0)))=0,INDEX(SalesforceData!$F$2:$F$36,MATCH(1,($G34=SalesforceData!$A$2:$A$36)*(I$2=SalesforceData!$B$2:'SalesforceData'!$B$36) * (I$3=SalesforceData!$E$2:'SalesforceData'!$E$36),0)),INDEX(SalesforceData!$D$2:$D$36,MATCH(1,($G34=SalesforceData!$A$2:$A$36)*(I$2=SalesforceData!$B$2:'SalesforceData'!$B$36)*(I$3=SalesforceData!$C$2:'SalesforceData'!$C$36),0))),"")</f>
        <v>0</v>
      </c>
      <c r="J34" s="8" cm="1">
        <f t="array" ref="J34">IFERROR(IF(COUNT(INDEX(SalesforceData!$D$2:$D$36,MATCH(1,($G34=SalesforceData!$A$2:$A$36)*(J$2=SalesforceData!$B$2:'SalesforceData'!$B$36)*(J$3=SalesforceData!$C$2:'SalesforceData'!$C$36),0)))=0,INDEX(SalesforceData!$F$2:$F$36,MATCH(1,($G34=SalesforceData!$A$2:$A$36)*(J$2=SalesforceData!$B$2:'SalesforceData'!$B$36) * (J$3=SalesforceData!$E$2:'SalesforceData'!$E$36),0)),INDEX(SalesforceData!$D$2:$D$36,MATCH(1,($G34=SalesforceData!$A$2:$A$36)*(J$2=SalesforceData!$B$2:'SalesforceData'!$B$36)*(J$3=SalesforceData!$C$2:'SalesforceData'!$C$36),0))),"")</f>
        <v>0</v>
      </c>
      <c r="K34" s="8" cm="1">
        <f t="array" ref="K34">IFERROR(IF(COUNT(INDEX(SalesforceData!$D$2:$D$36,MATCH(1,($G34=SalesforceData!$A$2:$A$36)*(K$2=SalesforceData!$B$2:'SalesforceData'!$B$36)*(K$3=SalesforceData!$C$2:'SalesforceData'!$C$36),0)))=0,INDEX(SalesforceData!$F$2:$F$36,MATCH(1,($G34=SalesforceData!$A$2:$A$36)*(K$2=SalesforceData!$B$2:'SalesforceData'!$B$36) * (K$3=SalesforceData!$E$2:'SalesforceData'!$E$36),0)),INDEX(SalesforceData!$D$2:$D$36,MATCH(1,($G34=SalesforceData!$A$2:$A$36)*(K$2=SalesforceData!$B$2:'SalesforceData'!$B$36)*(K$3=SalesforceData!$C$2:'SalesforceData'!$C$36),0))),"")</f>
        <v>0</v>
      </c>
      <c r="L34" s="8" cm="1">
        <f t="array" ref="L34">IFERROR(IF(COUNT(INDEX(SalesforceData!$D$2:$D$36,MATCH(1,($G34=SalesforceData!$A$2:$A$36)*(L$2=SalesforceData!$B$2:'SalesforceData'!$B$36)*(L$3=SalesforceData!$C$2:'SalesforceData'!$C$36),0)))=0,INDEX(SalesforceData!$F$2:$F$36,MATCH(1,($G34=SalesforceData!$A$2:$A$36)*(L$2=SalesforceData!$B$2:'SalesforceData'!$B$36) * (L$3=SalesforceData!$E$2:'SalesforceData'!$E$36),0)),INDEX(SalesforceData!$D$2:$D$36,MATCH(1,($G34=SalesforceData!$A$2:$A$36)*(L$2=SalesforceData!$B$2:'SalesforceData'!$B$36)*(L$3=SalesforceData!$C$2:'SalesforceData'!$C$36),0))),"")</f>
        <v>0</v>
      </c>
      <c r="M34" s="8" cm="1">
        <f t="array" ref="M34">IFERROR(IF(COUNT(INDEX(SalesforceData!$D$2:$D$36,MATCH(1,($G34=SalesforceData!$A$2:$A$36)*(M$2=SalesforceData!$B$2:'SalesforceData'!$B$36)*(M$3=SalesforceData!$C$2:'SalesforceData'!$C$36),0)))=0,INDEX(SalesforceData!$F$2:$F$36,MATCH(1,($G34=SalesforceData!$A$2:$A$36)*(M$2=SalesforceData!$B$2:'SalesforceData'!$B$36) * (M$3=SalesforceData!$E$2:'SalesforceData'!$E$36),0)),INDEX(SalesforceData!$D$2:$D$36,MATCH(1,($G34=SalesforceData!$A$2:$A$36)*(M$2=SalesforceData!$B$2:'SalesforceData'!$B$36)*(M$3=SalesforceData!$C$2:'SalesforceData'!$C$36),0))),"")</f>
        <v>0</v>
      </c>
      <c r="N34" s="8" cm="1">
        <f t="array" ref="N34">IFERROR(IF(COUNT(INDEX(SalesforceData!$D$2:$D$36,MATCH(1,($G34=SalesforceData!$A$2:$A$36)*(N$2=SalesforceData!$B$2:'SalesforceData'!$B$36)*(N$3=SalesforceData!$C$2:'SalesforceData'!$C$36),0)))=0,INDEX(SalesforceData!$F$2:$F$36,MATCH(1,($G34=SalesforceData!$A$2:$A$36)*(N$2=SalesforceData!$B$2:'SalesforceData'!$B$36) * (N$3=SalesforceData!$E$2:'SalesforceData'!$E$36),0)),INDEX(SalesforceData!$D$2:$D$36,MATCH(1,($G34=SalesforceData!$A$2:$A$36)*(N$2=SalesforceData!$B$2:'SalesforceData'!$B$36)*(N$3=SalesforceData!$C$2:'SalesforceData'!$C$36),0))),"")</f>
        <v>0</v>
      </c>
      <c r="O34" s="8" cm="1">
        <f t="array" ref="O34">IFERROR(IF(COUNT(INDEX(SalesforceData!$D$2:$D$36,MATCH(1,($G34=SalesforceData!$A$2:$A$36)*(O$2=SalesforceData!$B$2:'SalesforceData'!$B$36)*(O$3=SalesforceData!$C$2:'SalesforceData'!$C$36),0)))=0,INDEX(SalesforceData!$F$2:$F$36,MATCH(1,($G34=SalesforceData!$A$2:$A$36)*(O$2=SalesforceData!$B$2:'SalesforceData'!$B$36) * (O$3=SalesforceData!$E$2:'SalesforceData'!$E$36),0)),INDEX(SalesforceData!$D$2:$D$36,MATCH(1,($G34=SalesforceData!$A$2:$A$36)*(O$2=SalesforceData!$B$2:'SalesforceData'!$B$36)*(O$3=SalesforceData!$C$2:'SalesforceData'!$C$36),0))),"")</f>
        <v>0</v>
      </c>
      <c r="Q34" s="9"/>
      <c r="S34" t="str" cm="1">
        <f t="array" aca="1" ref="S34" ca="1">IF(CELL("contents",G34)=0,"",CELL("contents",G34))</f>
        <v/>
      </c>
      <c r="T34" t="str" cm="1">
        <f t="array" aca="1" ref="T34" ca="1">IF(CELL("contents",H34)=0,"",CELL("contents",H34))</f>
        <v/>
      </c>
      <c r="U34" t="str" cm="1">
        <f t="array" aca="1" ref="U34" ca="1">IF(CELL("contents",I34)=0,"",CELL("contents",I34))</f>
        <v/>
      </c>
      <c r="V34" t="str" cm="1">
        <f t="array" aca="1" ref="V34" ca="1">IF(CELL("contents",J34)=0,"",CELL("contents",J34))</f>
        <v/>
      </c>
      <c r="W34" t="str" cm="1">
        <f t="array" aca="1" ref="W34" ca="1">IF(CELL("contents",K34)=0,"",CELL("contents",K34))</f>
        <v/>
      </c>
      <c r="X34" t="str" cm="1">
        <f t="array" aca="1" ref="X34" ca="1">IF(CELL("contents",L34)=0,"",CELL("contents",L34))</f>
        <v/>
      </c>
      <c r="Y34" t="str" cm="1">
        <f t="array" aca="1" ref="Y34" ca="1">IF(CELL("contents",M34)=0,"",CELL("contents",M34))</f>
        <v/>
      </c>
      <c r="Z34" t="str" cm="1">
        <f t="array" aca="1" ref="Z34" ca="1">IF(CELL("contents",N34)=0,"",CELL("contents",N34))</f>
        <v/>
      </c>
      <c r="AA34" t="str" cm="1">
        <f t="array" aca="1" ref="AA34" ca="1">IF(CELL("contents",O34)=0,"",CELL("contents",O34))</f>
        <v/>
      </c>
    </row>
    <row r="35" spans="1:27" x14ac:dyDescent="0.35">
      <c r="A35" s="8" t="str" cm="1">
        <f t="array" ref="A35">IF(IFERROR(INDEX(SalesforceData!$A$2:'SalesforceData'!$A$36, MATCH(0, COUNTIF(DataTransformation!$A$2:'DataTransformation'!$A34, SalesforceData!$A$2:'SalesforceData'!$A$36), 0)),"") = 0,"", IFERROR(INDEX(SalesforceData!$A$2:'SalesforceData'!$A$36, MATCH(0, COUNTIF(DataTransformation!$A$2:'DataTransformation'!$A34, SalesforceData!$A$2:'SalesforceData'!$A$36), 0)),""))</f>
        <v/>
      </c>
      <c r="B35" s="8" t="str" cm="1">
        <f t="array" ref="B35">IF(IFERROR(INDEX(SalesforceData!$B$2:'SalesforceData'!$B$36, MATCH(0, COUNTIF(DataTransformation!$B$2:'DataTransformation'!$B34, SalesforceData!$B$2:'SalesforceData'!$B$36), 0)),"") = 0,"", IFERROR(INDEX(SalesforceData!$B$2:'SalesforceData'!$B$36, MATCH(0, COUNTIF(DataTransformation!$B$2:'DataTransformation'!$B34, SalesforceData!$B$2:'SalesforceData'!$B$36), 0)),""))</f>
        <v/>
      </c>
      <c r="E35" s="9"/>
      <c r="G35" s="8" t="str">
        <f t="shared" si="1"/>
        <v/>
      </c>
      <c r="H35" s="8" cm="1">
        <f t="array" ref="H35">IFERROR(IF(COUNT(INDEX(SalesforceData!$D$2:$D$36,MATCH(1,($G35=SalesforceData!$A$2:$A$36)*(H$2=SalesforceData!$B$2:'SalesforceData'!$B$36)*(H$3=SalesforceData!$C$2:'SalesforceData'!$C$36),0)))=0,INDEX(SalesforceData!$F$2:$F$36,MATCH(1,($G35=SalesforceData!$A$2:$A$36)*(H$2=SalesforceData!$B$2:'SalesforceData'!$B$36) * (H$3=SalesforceData!$E$2:'SalesforceData'!$E$36),0)),INDEX(SalesforceData!$D$2:$D$36,MATCH(1,($G35=SalesforceData!$A$2:$A$36)*(H$2=SalesforceData!$B$2:'SalesforceData'!$B$36)*(H$3=SalesforceData!$C$2:'SalesforceData'!$C$36),0))),"")</f>
        <v>0</v>
      </c>
      <c r="I35" s="8" cm="1">
        <f t="array" ref="I35">IFERROR(IF(COUNT(INDEX(SalesforceData!$D$2:$D$36,MATCH(1,($G35=SalesforceData!$A$2:$A$36)*(I$2=SalesforceData!$B$2:'SalesforceData'!$B$36)*(I$3=SalesforceData!$C$2:'SalesforceData'!$C$36),0)))=0,INDEX(SalesforceData!$F$2:$F$36,MATCH(1,($G35=SalesforceData!$A$2:$A$36)*(I$2=SalesforceData!$B$2:'SalesforceData'!$B$36) * (I$3=SalesforceData!$E$2:'SalesforceData'!$E$36),0)),INDEX(SalesforceData!$D$2:$D$36,MATCH(1,($G35=SalesforceData!$A$2:$A$36)*(I$2=SalesforceData!$B$2:'SalesforceData'!$B$36)*(I$3=SalesforceData!$C$2:'SalesforceData'!$C$36),0))),"")</f>
        <v>0</v>
      </c>
      <c r="J35" s="8" cm="1">
        <f t="array" ref="J35">IFERROR(IF(COUNT(INDEX(SalesforceData!$D$2:$D$36,MATCH(1,($G35=SalesforceData!$A$2:$A$36)*(J$2=SalesforceData!$B$2:'SalesforceData'!$B$36)*(J$3=SalesforceData!$C$2:'SalesforceData'!$C$36),0)))=0,INDEX(SalesforceData!$F$2:$F$36,MATCH(1,($G35=SalesforceData!$A$2:$A$36)*(J$2=SalesforceData!$B$2:'SalesforceData'!$B$36) * (J$3=SalesforceData!$E$2:'SalesforceData'!$E$36),0)),INDEX(SalesforceData!$D$2:$D$36,MATCH(1,($G35=SalesforceData!$A$2:$A$36)*(J$2=SalesforceData!$B$2:'SalesforceData'!$B$36)*(J$3=SalesforceData!$C$2:'SalesforceData'!$C$36),0))),"")</f>
        <v>0</v>
      </c>
      <c r="K35" s="8" cm="1">
        <f t="array" ref="K35">IFERROR(IF(COUNT(INDEX(SalesforceData!$D$2:$D$36,MATCH(1,($G35=SalesforceData!$A$2:$A$36)*(K$2=SalesforceData!$B$2:'SalesforceData'!$B$36)*(K$3=SalesforceData!$C$2:'SalesforceData'!$C$36),0)))=0,INDEX(SalesforceData!$F$2:$F$36,MATCH(1,($G35=SalesforceData!$A$2:$A$36)*(K$2=SalesforceData!$B$2:'SalesforceData'!$B$36) * (K$3=SalesforceData!$E$2:'SalesforceData'!$E$36),0)),INDEX(SalesforceData!$D$2:$D$36,MATCH(1,($G35=SalesforceData!$A$2:$A$36)*(K$2=SalesforceData!$B$2:'SalesforceData'!$B$36)*(K$3=SalesforceData!$C$2:'SalesforceData'!$C$36),0))),"")</f>
        <v>0</v>
      </c>
      <c r="L35" s="8" cm="1">
        <f t="array" ref="L35">IFERROR(IF(COUNT(INDEX(SalesforceData!$D$2:$D$36,MATCH(1,($G35=SalesforceData!$A$2:$A$36)*(L$2=SalesforceData!$B$2:'SalesforceData'!$B$36)*(L$3=SalesforceData!$C$2:'SalesforceData'!$C$36),0)))=0,INDEX(SalesforceData!$F$2:$F$36,MATCH(1,($G35=SalesforceData!$A$2:$A$36)*(L$2=SalesforceData!$B$2:'SalesforceData'!$B$36) * (L$3=SalesforceData!$E$2:'SalesforceData'!$E$36),0)),INDEX(SalesforceData!$D$2:$D$36,MATCH(1,($G35=SalesforceData!$A$2:$A$36)*(L$2=SalesforceData!$B$2:'SalesforceData'!$B$36)*(L$3=SalesforceData!$C$2:'SalesforceData'!$C$36),0))),"")</f>
        <v>0</v>
      </c>
      <c r="M35" s="8" cm="1">
        <f t="array" ref="M35">IFERROR(IF(COUNT(INDEX(SalesforceData!$D$2:$D$36,MATCH(1,($G35=SalesforceData!$A$2:$A$36)*(M$2=SalesforceData!$B$2:'SalesforceData'!$B$36)*(M$3=SalesforceData!$C$2:'SalesforceData'!$C$36),0)))=0,INDEX(SalesforceData!$F$2:$F$36,MATCH(1,($G35=SalesforceData!$A$2:$A$36)*(M$2=SalesforceData!$B$2:'SalesforceData'!$B$36) * (M$3=SalesforceData!$E$2:'SalesforceData'!$E$36),0)),INDEX(SalesforceData!$D$2:$D$36,MATCH(1,($G35=SalesforceData!$A$2:$A$36)*(M$2=SalesforceData!$B$2:'SalesforceData'!$B$36)*(M$3=SalesforceData!$C$2:'SalesforceData'!$C$36),0))),"")</f>
        <v>0</v>
      </c>
      <c r="N35" s="8" cm="1">
        <f t="array" ref="N35">IFERROR(IF(COUNT(INDEX(SalesforceData!$D$2:$D$36,MATCH(1,($G35=SalesforceData!$A$2:$A$36)*(N$2=SalesforceData!$B$2:'SalesforceData'!$B$36)*(N$3=SalesforceData!$C$2:'SalesforceData'!$C$36),0)))=0,INDEX(SalesforceData!$F$2:$F$36,MATCH(1,($G35=SalesforceData!$A$2:$A$36)*(N$2=SalesforceData!$B$2:'SalesforceData'!$B$36) * (N$3=SalesforceData!$E$2:'SalesforceData'!$E$36),0)),INDEX(SalesforceData!$D$2:$D$36,MATCH(1,($G35=SalesforceData!$A$2:$A$36)*(N$2=SalesforceData!$B$2:'SalesforceData'!$B$36)*(N$3=SalesforceData!$C$2:'SalesforceData'!$C$36),0))),"")</f>
        <v>0</v>
      </c>
      <c r="O35" s="8" cm="1">
        <f t="array" ref="O35">IFERROR(IF(COUNT(INDEX(SalesforceData!$D$2:$D$36,MATCH(1,($G35=SalesforceData!$A$2:$A$36)*(O$2=SalesforceData!$B$2:'SalesforceData'!$B$36)*(O$3=SalesforceData!$C$2:'SalesforceData'!$C$36),0)))=0,INDEX(SalesforceData!$F$2:$F$36,MATCH(1,($G35=SalesforceData!$A$2:$A$36)*(O$2=SalesforceData!$B$2:'SalesforceData'!$B$36) * (O$3=SalesforceData!$E$2:'SalesforceData'!$E$36),0)),INDEX(SalesforceData!$D$2:$D$36,MATCH(1,($G35=SalesforceData!$A$2:$A$36)*(O$2=SalesforceData!$B$2:'SalesforceData'!$B$36)*(O$3=SalesforceData!$C$2:'SalesforceData'!$C$36),0))),"")</f>
        <v>0</v>
      </c>
      <c r="Q35" s="9"/>
      <c r="S35" t="str" cm="1">
        <f t="array" aca="1" ref="S35" ca="1">IF(CELL("contents",G35)=0,"",CELL("contents",G35))</f>
        <v/>
      </c>
      <c r="T35" t="str" cm="1">
        <f t="array" aca="1" ref="T35" ca="1">IF(CELL("contents",H35)=0,"",CELL("contents",H35))</f>
        <v/>
      </c>
      <c r="U35" t="str" cm="1">
        <f t="array" aca="1" ref="U35" ca="1">IF(CELL("contents",I35)=0,"",CELL("contents",I35))</f>
        <v/>
      </c>
      <c r="V35" t="str" cm="1">
        <f t="array" aca="1" ref="V35" ca="1">IF(CELL("contents",J35)=0,"",CELL("contents",J35))</f>
        <v/>
      </c>
      <c r="W35" t="str" cm="1">
        <f t="array" aca="1" ref="W35" ca="1">IF(CELL("contents",K35)=0,"",CELL("contents",K35))</f>
        <v/>
      </c>
      <c r="X35" t="str" cm="1">
        <f t="array" aca="1" ref="X35" ca="1">IF(CELL("contents",L35)=0,"",CELL("contents",L35))</f>
        <v/>
      </c>
      <c r="Y35" t="str" cm="1">
        <f t="array" aca="1" ref="Y35" ca="1">IF(CELL("contents",M35)=0,"",CELL("contents",M35))</f>
        <v/>
      </c>
      <c r="Z35" t="str" cm="1">
        <f t="array" aca="1" ref="Z35" ca="1">IF(CELL("contents",N35)=0,"",CELL("contents",N35))</f>
        <v/>
      </c>
      <c r="AA35" t="str" cm="1">
        <f t="array" aca="1" ref="AA35" ca="1">IF(CELL("contents",O35)=0,"",CELL("contents",O35))</f>
        <v/>
      </c>
    </row>
    <row r="36" spans="1:27" x14ac:dyDescent="0.35">
      <c r="A36" s="8" t="str" cm="1">
        <f t="array" ref="A36">IF(IFERROR(INDEX(SalesforceData!$A$2:'SalesforceData'!$A$36, MATCH(0, COUNTIF(DataTransformation!$A$2:'DataTransformation'!$A35, SalesforceData!$A$2:'SalesforceData'!$A$36), 0)),"") = 0,"", IFERROR(INDEX(SalesforceData!$A$2:'SalesforceData'!$A$36, MATCH(0, COUNTIF(DataTransformation!$A$2:'DataTransformation'!$A35, SalesforceData!$A$2:'SalesforceData'!$A$36), 0)),""))</f>
        <v/>
      </c>
      <c r="B36" s="8" t="str" cm="1">
        <f t="array" ref="B36">IF(IFERROR(INDEX(SalesforceData!$B$2:'SalesforceData'!$B$36, MATCH(0, COUNTIF(DataTransformation!$B$2:'DataTransformation'!$B35, SalesforceData!$B$2:'SalesforceData'!$B$36), 0)),"") = 0,"", IFERROR(INDEX(SalesforceData!$B$2:'SalesforceData'!$B$36, MATCH(0, COUNTIF(DataTransformation!$B$2:'DataTransformation'!$B35, SalesforceData!$B$2:'SalesforceData'!$B$36), 0)),""))</f>
        <v/>
      </c>
      <c r="E36" s="9"/>
      <c r="G36" s="8" t="str">
        <f t="shared" si="1"/>
        <v/>
      </c>
      <c r="H36" s="8" cm="1">
        <f t="array" ref="H36">IFERROR(IF(COUNT(INDEX(SalesforceData!$D$2:$D$36,MATCH(1,($G36=SalesforceData!$A$2:$A$36)*(H$2=SalesforceData!$B$2:'SalesforceData'!$B$36)*(H$3=SalesforceData!$C$2:'SalesforceData'!$C$36),0)))=0,INDEX(SalesforceData!$F$2:$F$36,MATCH(1,($G36=SalesforceData!$A$2:$A$36)*(H$2=SalesforceData!$B$2:'SalesforceData'!$B$36) * (H$3=SalesforceData!$E$2:'SalesforceData'!$E$36),0)),INDEX(SalesforceData!$D$2:$D$36,MATCH(1,($G36=SalesforceData!$A$2:$A$36)*(H$2=SalesforceData!$B$2:'SalesforceData'!$B$36)*(H$3=SalesforceData!$C$2:'SalesforceData'!$C$36),0))),"")</f>
        <v>0</v>
      </c>
      <c r="I36" s="8" cm="1">
        <f t="array" ref="I36">IFERROR(IF(COUNT(INDEX(SalesforceData!$D$2:$D$36,MATCH(1,($G36=SalesforceData!$A$2:$A$36)*(I$2=SalesforceData!$B$2:'SalesforceData'!$B$36)*(I$3=SalesforceData!$C$2:'SalesforceData'!$C$36),0)))=0,INDEX(SalesforceData!$F$2:$F$36,MATCH(1,($G36=SalesforceData!$A$2:$A$36)*(I$2=SalesforceData!$B$2:'SalesforceData'!$B$36) * (I$3=SalesforceData!$E$2:'SalesforceData'!$E$36),0)),INDEX(SalesforceData!$D$2:$D$36,MATCH(1,($G36=SalesforceData!$A$2:$A$36)*(I$2=SalesforceData!$B$2:'SalesforceData'!$B$36)*(I$3=SalesforceData!$C$2:'SalesforceData'!$C$36),0))),"")</f>
        <v>0</v>
      </c>
      <c r="J36" s="8" cm="1">
        <f t="array" ref="J36">IFERROR(IF(COUNT(INDEX(SalesforceData!$D$2:$D$36,MATCH(1,($G36=SalesforceData!$A$2:$A$36)*(J$2=SalesforceData!$B$2:'SalesforceData'!$B$36)*(J$3=SalesforceData!$C$2:'SalesforceData'!$C$36),0)))=0,INDEX(SalesforceData!$F$2:$F$36,MATCH(1,($G36=SalesforceData!$A$2:$A$36)*(J$2=SalesforceData!$B$2:'SalesforceData'!$B$36) * (J$3=SalesforceData!$E$2:'SalesforceData'!$E$36),0)),INDEX(SalesforceData!$D$2:$D$36,MATCH(1,($G36=SalesforceData!$A$2:$A$36)*(J$2=SalesforceData!$B$2:'SalesforceData'!$B$36)*(J$3=SalesforceData!$C$2:'SalesforceData'!$C$36),0))),"")</f>
        <v>0</v>
      </c>
      <c r="K36" s="8" cm="1">
        <f t="array" ref="K36">IFERROR(IF(COUNT(INDEX(SalesforceData!$D$2:$D$36,MATCH(1,($G36=SalesforceData!$A$2:$A$36)*(K$2=SalesforceData!$B$2:'SalesforceData'!$B$36)*(K$3=SalesforceData!$C$2:'SalesforceData'!$C$36),0)))=0,INDEX(SalesforceData!$F$2:$F$36,MATCH(1,($G36=SalesforceData!$A$2:$A$36)*(K$2=SalesforceData!$B$2:'SalesforceData'!$B$36) * (K$3=SalesforceData!$E$2:'SalesforceData'!$E$36),0)),INDEX(SalesforceData!$D$2:$D$36,MATCH(1,($G36=SalesforceData!$A$2:$A$36)*(K$2=SalesforceData!$B$2:'SalesforceData'!$B$36)*(K$3=SalesforceData!$C$2:'SalesforceData'!$C$36),0))),"")</f>
        <v>0</v>
      </c>
      <c r="L36" s="8" cm="1">
        <f t="array" ref="L36">IFERROR(IF(COUNT(INDEX(SalesforceData!$D$2:$D$36,MATCH(1,($G36=SalesforceData!$A$2:$A$36)*(L$2=SalesforceData!$B$2:'SalesforceData'!$B$36)*(L$3=SalesforceData!$C$2:'SalesforceData'!$C$36),0)))=0,INDEX(SalesforceData!$F$2:$F$36,MATCH(1,($G36=SalesforceData!$A$2:$A$36)*(L$2=SalesforceData!$B$2:'SalesforceData'!$B$36) * (L$3=SalesforceData!$E$2:'SalesforceData'!$E$36),0)),INDEX(SalesforceData!$D$2:$D$36,MATCH(1,($G36=SalesforceData!$A$2:$A$36)*(L$2=SalesforceData!$B$2:'SalesforceData'!$B$36)*(L$3=SalesforceData!$C$2:'SalesforceData'!$C$36),0))),"")</f>
        <v>0</v>
      </c>
      <c r="M36" s="8" cm="1">
        <f t="array" ref="M36">IFERROR(IF(COUNT(INDEX(SalesforceData!$D$2:$D$36,MATCH(1,($G36=SalesforceData!$A$2:$A$36)*(M$2=SalesforceData!$B$2:'SalesforceData'!$B$36)*(M$3=SalesforceData!$C$2:'SalesforceData'!$C$36),0)))=0,INDEX(SalesforceData!$F$2:$F$36,MATCH(1,($G36=SalesforceData!$A$2:$A$36)*(M$2=SalesforceData!$B$2:'SalesforceData'!$B$36) * (M$3=SalesforceData!$E$2:'SalesforceData'!$E$36),0)),INDEX(SalesforceData!$D$2:$D$36,MATCH(1,($G36=SalesforceData!$A$2:$A$36)*(M$2=SalesforceData!$B$2:'SalesforceData'!$B$36)*(M$3=SalesforceData!$C$2:'SalesforceData'!$C$36),0))),"")</f>
        <v>0</v>
      </c>
      <c r="N36" s="8" cm="1">
        <f t="array" ref="N36">IFERROR(IF(COUNT(INDEX(SalesforceData!$D$2:$D$36,MATCH(1,($G36=SalesforceData!$A$2:$A$36)*(N$2=SalesforceData!$B$2:'SalesforceData'!$B$36)*(N$3=SalesforceData!$C$2:'SalesforceData'!$C$36),0)))=0,INDEX(SalesforceData!$F$2:$F$36,MATCH(1,($G36=SalesforceData!$A$2:$A$36)*(N$2=SalesforceData!$B$2:'SalesforceData'!$B$36) * (N$3=SalesforceData!$E$2:'SalesforceData'!$E$36),0)),INDEX(SalesforceData!$D$2:$D$36,MATCH(1,($G36=SalesforceData!$A$2:$A$36)*(N$2=SalesforceData!$B$2:'SalesforceData'!$B$36)*(N$3=SalesforceData!$C$2:'SalesforceData'!$C$36),0))),"")</f>
        <v>0</v>
      </c>
      <c r="O36" s="8" cm="1">
        <f t="array" ref="O36">IFERROR(IF(COUNT(INDEX(SalesforceData!$D$2:$D$36,MATCH(1,($G36=SalesforceData!$A$2:$A$36)*(O$2=SalesforceData!$B$2:'SalesforceData'!$B$36)*(O$3=SalesforceData!$C$2:'SalesforceData'!$C$36),0)))=0,INDEX(SalesforceData!$F$2:$F$36,MATCH(1,($G36=SalesforceData!$A$2:$A$36)*(O$2=SalesforceData!$B$2:'SalesforceData'!$B$36) * (O$3=SalesforceData!$E$2:'SalesforceData'!$E$36),0)),INDEX(SalesforceData!$D$2:$D$36,MATCH(1,($G36=SalesforceData!$A$2:$A$36)*(O$2=SalesforceData!$B$2:'SalesforceData'!$B$36)*(O$3=SalesforceData!$C$2:'SalesforceData'!$C$36),0))),"")</f>
        <v>0</v>
      </c>
      <c r="Q36" s="9"/>
      <c r="S36" t="str" cm="1">
        <f t="array" aca="1" ref="S36" ca="1">IF(CELL("contents",G36)=0,"",CELL("contents",G36))</f>
        <v/>
      </c>
      <c r="T36" t="str" cm="1">
        <f t="array" aca="1" ref="T36" ca="1">IF(CELL("contents",H36)=0,"",CELL("contents",H36))</f>
        <v/>
      </c>
      <c r="U36" t="str" cm="1">
        <f t="array" aca="1" ref="U36" ca="1">IF(CELL("contents",I36)=0,"",CELL("contents",I36))</f>
        <v/>
      </c>
      <c r="V36" t="str" cm="1">
        <f t="array" aca="1" ref="V36" ca="1">IF(CELL("contents",J36)=0,"",CELL("contents",J36))</f>
        <v/>
      </c>
      <c r="W36" t="str" cm="1">
        <f t="array" aca="1" ref="W36" ca="1">IF(CELL("contents",K36)=0,"",CELL("contents",K36))</f>
        <v/>
      </c>
      <c r="X36" t="str" cm="1">
        <f t="array" aca="1" ref="X36" ca="1">IF(CELL("contents",L36)=0,"",CELL("contents",L36))</f>
        <v/>
      </c>
      <c r="Y36" t="str" cm="1">
        <f t="array" aca="1" ref="Y36" ca="1">IF(CELL("contents",M36)=0,"",CELL("contents",M36))</f>
        <v/>
      </c>
      <c r="Z36" t="str" cm="1">
        <f t="array" aca="1" ref="Z36" ca="1">IF(CELL("contents",N36)=0,"",CELL("contents",N36))</f>
        <v/>
      </c>
      <c r="AA36" t="str" cm="1">
        <f t="array" aca="1" ref="AA36" ca="1">IF(CELL("contents",O36)=0,"",CELL("contents",O36))</f>
        <v/>
      </c>
    </row>
    <row r="37" spans="1:27" x14ac:dyDescent="0.35">
      <c r="A37" s="8" t="str" cm="1">
        <f t="array" ref="A37">IF(IFERROR(INDEX(SalesforceData!$A$2:'SalesforceData'!$A$36, MATCH(0, COUNTIF(DataTransformation!$A$2:'DataTransformation'!$A36, SalesforceData!$A$2:'SalesforceData'!$A$36), 0)),"") = 0,"", IFERROR(INDEX(SalesforceData!$A$2:'SalesforceData'!$A$36, MATCH(0, COUNTIF(DataTransformation!$A$2:'DataTransformation'!$A36, SalesforceData!$A$2:'SalesforceData'!$A$36), 0)),""))</f>
        <v/>
      </c>
      <c r="B37" s="8" t="str" cm="1">
        <f t="array" ref="B37">IF(IFERROR(INDEX(SalesforceData!$B$2:'SalesforceData'!$B$36, MATCH(0, COUNTIF(DataTransformation!$B$2:'DataTransformation'!$B36, SalesforceData!$B$2:'SalesforceData'!$B$36), 0)),"") = 0,"", IFERROR(INDEX(SalesforceData!$B$2:'SalesforceData'!$B$36, MATCH(0, COUNTIF(DataTransformation!$B$2:'DataTransformation'!$B36, SalesforceData!$B$2:'SalesforceData'!$B$36), 0)),""))</f>
        <v/>
      </c>
      <c r="E37" s="9"/>
      <c r="G37" s="8" t="str">
        <f t="shared" si="1"/>
        <v/>
      </c>
      <c r="H37" s="8" cm="1">
        <f t="array" ref="H37">IFERROR(IF(COUNT(INDEX(SalesforceData!$D$2:$D$36,MATCH(1,($G37=SalesforceData!$A$2:$A$36)*(H$2=SalesforceData!$B$2:'SalesforceData'!$B$36)*(H$3=SalesforceData!$C$2:'SalesforceData'!$C$36),0)))=0,INDEX(SalesforceData!$F$2:$F$36,MATCH(1,($G37=SalesforceData!$A$2:$A$36)*(H$2=SalesforceData!$B$2:'SalesforceData'!$B$36) * (H$3=SalesforceData!$E$2:'SalesforceData'!$E$36),0)),INDEX(SalesforceData!$D$2:$D$36,MATCH(1,($G37=SalesforceData!$A$2:$A$36)*(H$2=SalesforceData!$B$2:'SalesforceData'!$B$36)*(H$3=SalesforceData!$C$2:'SalesforceData'!$C$36),0))),"")</f>
        <v>0</v>
      </c>
      <c r="I37" s="8" cm="1">
        <f t="array" ref="I37">IFERROR(IF(COUNT(INDEX(SalesforceData!$D$2:$D$36,MATCH(1,($G37=SalesforceData!$A$2:$A$36)*(I$2=SalesforceData!$B$2:'SalesforceData'!$B$36)*(I$3=SalesforceData!$C$2:'SalesforceData'!$C$36),0)))=0,INDEX(SalesforceData!$F$2:$F$36,MATCH(1,($G37=SalesforceData!$A$2:$A$36)*(I$2=SalesforceData!$B$2:'SalesforceData'!$B$36) * (I$3=SalesforceData!$E$2:'SalesforceData'!$E$36),0)),INDEX(SalesforceData!$D$2:$D$36,MATCH(1,($G37=SalesforceData!$A$2:$A$36)*(I$2=SalesforceData!$B$2:'SalesforceData'!$B$36)*(I$3=SalesforceData!$C$2:'SalesforceData'!$C$36),0))),"")</f>
        <v>0</v>
      </c>
      <c r="J37" s="8" cm="1">
        <f t="array" ref="J37">IFERROR(IF(COUNT(INDEX(SalesforceData!$D$2:$D$36,MATCH(1,($G37=SalesforceData!$A$2:$A$36)*(J$2=SalesforceData!$B$2:'SalesforceData'!$B$36)*(J$3=SalesforceData!$C$2:'SalesforceData'!$C$36),0)))=0,INDEX(SalesforceData!$F$2:$F$36,MATCH(1,($G37=SalesforceData!$A$2:$A$36)*(J$2=SalesforceData!$B$2:'SalesforceData'!$B$36) * (J$3=SalesforceData!$E$2:'SalesforceData'!$E$36),0)),INDEX(SalesforceData!$D$2:$D$36,MATCH(1,($G37=SalesforceData!$A$2:$A$36)*(J$2=SalesforceData!$B$2:'SalesforceData'!$B$36)*(J$3=SalesforceData!$C$2:'SalesforceData'!$C$36),0))),"")</f>
        <v>0</v>
      </c>
      <c r="K37" s="8" cm="1">
        <f t="array" ref="K37">IFERROR(IF(COUNT(INDEX(SalesforceData!$D$2:$D$36,MATCH(1,($G37=SalesforceData!$A$2:$A$36)*(K$2=SalesforceData!$B$2:'SalesforceData'!$B$36)*(K$3=SalesforceData!$C$2:'SalesforceData'!$C$36),0)))=0,INDEX(SalesforceData!$F$2:$F$36,MATCH(1,($G37=SalesforceData!$A$2:$A$36)*(K$2=SalesforceData!$B$2:'SalesforceData'!$B$36) * (K$3=SalesforceData!$E$2:'SalesforceData'!$E$36),0)),INDEX(SalesforceData!$D$2:$D$36,MATCH(1,($G37=SalesforceData!$A$2:$A$36)*(K$2=SalesforceData!$B$2:'SalesforceData'!$B$36)*(K$3=SalesforceData!$C$2:'SalesforceData'!$C$36),0))),"")</f>
        <v>0</v>
      </c>
      <c r="L37" s="8" cm="1">
        <f t="array" ref="L37">IFERROR(IF(COUNT(INDEX(SalesforceData!$D$2:$D$36,MATCH(1,($G37=SalesforceData!$A$2:$A$36)*(L$2=SalesforceData!$B$2:'SalesforceData'!$B$36)*(L$3=SalesforceData!$C$2:'SalesforceData'!$C$36),0)))=0,INDEX(SalesforceData!$F$2:$F$36,MATCH(1,($G37=SalesforceData!$A$2:$A$36)*(L$2=SalesforceData!$B$2:'SalesforceData'!$B$36) * (L$3=SalesforceData!$E$2:'SalesforceData'!$E$36),0)),INDEX(SalesforceData!$D$2:$D$36,MATCH(1,($G37=SalesforceData!$A$2:$A$36)*(L$2=SalesforceData!$B$2:'SalesforceData'!$B$36)*(L$3=SalesforceData!$C$2:'SalesforceData'!$C$36),0))),"")</f>
        <v>0</v>
      </c>
      <c r="M37" s="8" cm="1">
        <f t="array" ref="M37">IFERROR(IF(COUNT(INDEX(SalesforceData!$D$2:$D$36,MATCH(1,($G37=SalesforceData!$A$2:$A$36)*(M$2=SalesforceData!$B$2:'SalesforceData'!$B$36)*(M$3=SalesforceData!$C$2:'SalesforceData'!$C$36),0)))=0,INDEX(SalesforceData!$F$2:$F$36,MATCH(1,($G37=SalesforceData!$A$2:$A$36)*(M$2=SalesforceData!$B$2:'SalesforceData'!$B$36) * (M$3=SalesforceData!$E$2:'SalesforceData'!$E$36),0)),INDEX(SalesforceData!$D$2:$D$36,MATCH(1,($G37=SalesforceData!$A$2:$A$36)*(M$2=SalesforceData!$B$2:'SalesforceData'!$B$36)*(M$3=SalesforceData!$C$2:'SalesforceData'!$C$36),0))),"")</f>
        <v>0</v>
      </c>
      <c r="N37" s="8" cm="1">
        <f t="array" ref="N37">IFERROR(IF(COUNT(INDEX(SalesforceData!$D$2:$D$36,MATCH(1,($G37=SalesforceData!$A$2:$A$36)*(N$2=SalesforceData!$B$2:'SalesforceData'!$B$36)*(N$3=SalesforceData!$C$2:'SalesforceData'!$C$36),0)))=0,INDEX(SalesforceData!$F$2:$F$36,MATCH(1,($G37=SalesforceData!$A$2:$A$36)*(N$2=SalesforceData!$B$2:'SalesforceData'!$B$36) * (N$3=SalesforceData!$E$2:'SalesforceData'!$E$36),0)),INDEX(SalesforceData!$D$2:$D$36,MATCH(1,($G37=SalesforceData!$A$2:$A$36)*(N$2=SalesforceData!$B$2:'SalesforceData'!$B$36)*(N$3=SalesforceData!$C$2:'SalesforceData'!$C$36),0))),"")</f>
        <v>0</v>
      </c>
      <c r="O37" s="8" cm="1">
        <f t="array" ref="O37">IFERROR(IF(COUNT(INDEX(SalesforceData!$D$2:$D$36,MATCH(1,($G37=SalesforceData!$A$2:$A$36)*(O$2=SalesforceData!$B$2:'SalesforceData'!$B$36)*(O$3=SalesforceData!$C$2:'SalesforceData'!$C$36),0)))=0,INDEX(SalesforceData!$F$2:$F$36,MATCH(1,($G37=SalesforceData!$A$2:$A$36)*(O$2=SalesforceData!$B$2:'SalesforceData'!$B$36) * (O$3=SalesforceData!$E$2:'SalesforceData'!$E$36),0)),INDEX(SalesforceData!$D$2:$D$36,MATCH(1,($G37=SalesforceData!$A$2:$A$36)*(O$2=SalesforceData!$B$2:'SalesforceData'!$B$36)*(O$3=SalesforceData!$C$2:'SalesforceData'!$C$36),0))),"")</f>
        <v>0</v>
      </c>
      <c r="Q37" s="9"/>
      <c r="S37" t="str" cm="1">
        <f t="array" aca="1" ref="S37" ca="1">IF(CELL("contents",G37)=0,"",CELL("contents",G37))</f>
        <v/>
      </c>
      <c r="T37" t="str" cm="1">
        <f t="array" aca="1" ref="T37" ca="1">IF(CELL("contents",H37)=0,"",CELL("contents",H37))</f>
        <v/>
      </c>
      <c r="U37" t="str" cm="1">
        <f t="array" aca="1" ref="U37" ca="1">IF(CELL("contents",I37)=0,"",CELL("contents",I37))</f>
        <v/>
      </c>
      <c r="V37" t="str" cm="1">
        <f t="array" aca="1" ref="V37" ca="1">IF(CELL("contents",J37)=0,"",CELL("contents",J37))</f>
        <v/>
      </c>
      <c r="W37" t="str" cm="1">
        <f t="array" aca="1" ref="W37" ca="1">IF(CELL("contents",K37)=0,"",CELL("contents",K37))</f>
        <v/>
      </c>
      <c r="X37" t="str" cm="1">
        <f t="array" aca="1" ref="X37" ca="1">IF(CELL("contents",L37)=0,"",CELL("contents",L37))</f>
        <v/>
      </c>
      <c r="Y37" t="str" cm="1">
        <f t="array" aca="1" ref="Y37" ca="1">IF(CELL("contents",M37)=0,"",CELL("contents",M37))</f>
        <v/>
      </c>
      <c r="Z37" t="str" cm="1">
        <f t="array" aca="1" ref="Z37" ca="1">IF(CELL("contents",N37)=0,"",CELL("contents",N37))</f>
        <v/>
      </c>
      <c r="AA37" t="str" cm="1">
        <f t="array" aca="1" ref="AA37" ca="1">IF(CELL("contents",O37)=0,"",CELL("contents",O37))</f>
        <v/>
      </c>
    </row>
    <row r="38" spans="1:27" x14ac:dyDescent="0.35">
      <c r="A38" s="8" t="str" cm="1">
        <f t="array" ref="A38">IF(IFERROR(INDEX(SalesforceData!$A$2:'SalesforceData'!$A$36, MATCH(0, COUNTIF(DataTransformation!$A$2:'DataTransformation'!$A37, SalesforceData!$A$2:'SalesforceData'!$A$36), 0)),"") = 0,"", IFERROR(INDEX(SalesforceData!$A$2:'SalesforceData'!$A$36, MATCH(0, COUNTIF(DataTransformation!$A$2:'DataTransformation'!$A37, SalesforceData!$A$2:'SalesforceData'!$A$36), 0)),""))</f>
        <v/>
      </c>
      <c r="B38" s="8" t="str" cm="1">
        <f t="array" ref="B38">IF(IFERROR(INDEX(SalesforceData!$B$2:'SalesforceData'!$B$36, MATCH(0, COUNTIF(DataTransformation!$B$2:'DataTransformation'!$B37, SalesforceData!$B$2:'SalesforceData'!$B$36), 0)),"") = 0,"", IFERROR(INDEX(SalesforceData!$B$2:'SalesforceData'!$B$36, MATCH(0, COUNTIF(DataTransformation!$B$2:'DataTransformation'!$B37, SalesforceData!$B$2:'SalesforceData'!$B$36), 0)),""))</f>
        <v/>
      </c>
      <c r="E38" s="9"/>
      <c r="G38" s="8" t="str">
        <f t="shared" si="1"/>
        <v/>
      </c>
      <c r="H38" s="8" cm="1">
        <f t="array" ref="H38">IFERROR(IF(COUNT(INDEX(SalesforceData!$D$2:$D$36,MATCH(1,($G38=SalesforceData!$A$2:$A$36)*(H$2=SalesforceData!$B$2:'SalesforceData'!$B$36)*(H$3=SalesforceData!$C$2:'SalesforceData'!$C$36),0)))=0,INDEX(SalesforceData!$F$2:$F$36,MATCH(1,($G38=SalesforceData!$A$2:$A$36)*(H$2=SalesforceData!$B$2:'SalesforceData'!$B$36) * (H$3=SalesforceData!$E$2:'SalesforceData'!$E$36),0)),INDEX(SalesforceData!$D$2:$D$36,MATCH(1,($G38=SalesforceData!$A$2:$A$36)*(H$2=SalesforceData!$B$2:'SalesforceData'!$B$36)*(H$3=SalesforceData!$C$2:'SalesforceData'!$C$36),0))),"")</f>
        <v>0</v>
      </c>
      <c r="I38" s="8" cm="1">
        <f t="array" ref="I38">IFERROR(IF(COUNT(INDEX(SalesforceData!$D$2:$D$36,MATCH(1,($G38=SalesforceData!$A$2:$A$36)*(I$2=SalesforceData!$B$2:'SalesforceData'!$B$36)*(I$3=SalesforceData!$C$2:'SalesforceData'!$C$36),0)))=0,INDEX(SalesforceData!$F$2:$F$36,MATCH(1,($G38=SalesforceData!$A$2:$A$36)*(I$2=SalesforceData!$B$2:'SalesforceData'!$B$36) * (I$3=SalesforceData!$E$2:'SalesforceData'!$E$36),0)),INDEX(SalesforceData!$D$2:$D$36,MATCH(1,($G38=SalesforceData!$A$2:$A$36)*(I$2=SalesforceData!$B$2:'SalesforceData'!$B$36)*(I$3=SalesforceData!$C$2:'SalesforceData'!$C$36),0))),"")</f>
        <v>0</v>
      </c>
      <c r="J38" s="8" cm="1">
        <f t="array" ref="J38">IFERROR(IF(COUNT(INDEX(SalesforceData!$D$2:$D$36,MATCH(1,($G38=SalesforceData!$A$2:$A$36)*(J$2=SalesforceData!$B$2:'SalesforceData'!$B$36)*(J$3=SalesforceData!$C$2:'SalesforceData'!$C$36),0)))=0,INDEX(SalesforceData!$F$2:$F$36,MATCH(1,($G38=SalesforceData!$A$2:$A$36)*(J$2=SalesforceData!$B$2:'SalesforceData'!$B$36) * (J$3=SalesforceData!$E$2:'SalesforceData'!$E$36),0)),INDEX(SalesforceData!$D$2:$D$36,MATCH(1,($G38=SalesforceData!$A$2:$A$36)*(J$2=SalesforceData!$B$2:'SalesforceData'!$B$36)*(J$3=SalesforceData!$C$2:'SalesforceData'!$C$36),0))),"")</f>
        <v>0</v>
      </c>
      <c r="K38" s="8" cm="1">
        <f t="array" ref="K38">IFERROR(IF(COUNT(INDEX(SalesforceData!$D$2:$D$36,MATCH(1,($G38=SalesforceData!$A$2:$A$36)*(K$2=SalesforceData!$B$2:'SalesforceData'!$B$36)*(K$3=SalesforceData!$C$2:'SalesforceData'!$C$36),0)))=0,INDEX(SalesforceData!$F$2:$F$36,MATCH(1,($G38=SalesforceData!$A$2:$A$36)*(K$2=SalesforceData!$B$2:'SalesforceData'!$B$36) * (K$3=SalesforceData!$E$2:'SalesforceData'!$E$36),0)),INDEX(SalesforceData!$D$2:$D$36,MATCH(1,($G38=SalesforceData!$A$2:$A$36)*(K$2=SalesforceData!$B$2:'SalesforceData'!$B$36)*(K$3=SalesforceData!$C$2:'SalesforceData'!$C$36),0))),"")</f>
        <v>0</v>
      </c>
      <c r="L38" s="8" cm="1">
        <f t="array" ref="L38">IFERROR(IF(COUNT(INDEX(SalesforceData!$D$2:$D$36,MATCH(1,($G38=SalesforceData!$A$2:$A$36)*(L$2=SalesforceData!$B$2:'SalesforceData'!$B$36)*(L$3=SalesforceData!$C$2:'SalesforceData'!$C$36),0)))=0,INDEX(SalesforceData!$F$2:$F$36,MATCH(1,($G38=SalesforceData!$A$2:$A$36)*(L$2=SalesforceData!$B$2:'SalesforceData'!$B$36) * (L$3=SalesforceData!$E$2:'SalesforceData'!$E$36),0)),INDEX(SalesforceData!$D$2:$D$36,MATCH(1,($G38=SalesforceData!$A$2:$A$36)*(L$2=SalesforceData!$B$2:'SalesforceData'!$B$36)*(L$3=SalesforceData!$C$2:'SalesforceData'!$C$36),0))),"")</f>
        <v>0</v>
      </c>
      <c r="M38" s="8" cm="1">
        <f t="array" ref="M38">IFERROR(IF(COUNT(INDEX(SalesforceData!$D$2:$D$36,MATCH(1,($G38=SalesforceData!$A$2:$A$36)*(M$2=SalesforceData!$B$2:'SalesforceData'!$B$36)*(M$3=SalesforceData!$C$2:'SalesforceData'!$C$36),0)))=0,INDEX(SalesforceData!$F$2:$F$36,MATCH(1,($G38=SalesforceData!$A$2:$A$36)*(M$2=SalesforceData!$B$2:'SalesforceData'!$B$36) * (M$3=SalesforceData!$E$2:'SalesforceData'!$E$36),0)),INDEX(SalesforceData!$D$2:$D$36,MATCH(1,($G38=SalesforceData!$A$2:$A$36)*(M$2=SalesforceData!$B$2:'SalesforceData'!$B$36)*(M$3=SalesforceData!$C$2:'SalesforceData'!$C$36),0))),"")</f>
        <v>0</v>
      </c>
      <c r="N38" s="8" cm="1">
        <f t="array" ref="N38">IFERROR(IF(COUNT(INDEX(SalesforceData!$D$2:$D$36,MATCH(1,($G38=SalesforceData!$A$2:$A$36)*(N$2=SalesforceData!$B$2:'SalesforceData'!$B$36)*(N$3=SalesforceData!$C$2:'SalesforceData'!$C$36),0)))=0,INDEX(SalesforceData!$F$2:$F$36,MATCH(1,($G38=SalesforceData!$A$2:$A$36)*(N$2=SalesforceData!$B$2:'SalesforceData'!$B$36) * (N$3=SalesforceData!$E$2:'SalesforceData'!$E$36),0)),INDEX(SalesforceData!$D$2:$D$36,MATCH(1,($G38=SalesforceData!$A$2:$A$36)*(N$2=SalesforceData!$B$2:'SalesforceData'!$B$36)*(N$3=SalesforceData!$C$2:'SalesforceData'!$C$36),0))),"")</f>
        <v>0</v>
      </c>
      <c r="O38" s="8" cm="1">
        <f t="array" ref="O38">IFERROR(IF(COUNT(INDEX(SalesforceData!$D$2:$D$36,MATCH(1,($G38=SalesforceData!$A$2:$A$36)*(O$2=SalesforceData!$B$2:'SalesforceData'!$B$36)*(O$3=SalesforceData!$C$2:'SalesforceData'!$C$36),0)))=0,INDEX(SalesforceData!$F$2:$F$36,MATCH(1,($G38=SalesforceData!$A$2:$A$36)*(O$2=SalesforceData!$B$2:'SalesforceData'!$B$36) * (O$3=SalesforceData!$E$2:'SalesforceData'!$E$36),0)),INDEX(SalesforceData!$D$2:$D$36,MATCH(1,($G38=SalesforceData!$A$2:$A$36)*(O$2=SalesforceData!$B$2:'SalesforceData'!$B$36)*(O$3=SalesforceData!$C$2:'SalesforceData'!$C$36),0))),"")</f>
        <v>0</v>
      </c>
      <c r="Q38" s="9"/>
      <c r="S38" t="str" cm="1">
        <f t="array" aca="1" ref="S38" ca="1">IF(CELL("contents",G38)=0,"",CELL("contents",G38))</f>
        <v/>
      </c>
      <c r="T38" t="str" cm="1">
        <f t="array" aca="1" ref="T38" ca="1">IF(CELL("contents",H38)=0,"",CELL("contents",H38))</f>
        <v/>
      </c>
      <c r="U38" t="str" cm="1">
        <f t="array" aca="1" ref="U38" ca="1">IF(CELL("contents",I38)=0,"",CELL("contents",I38))</f>
        <v/>
      </c>
      <c r="V38" t="str" cm="1">
        <f t="array" aca="1" ref="V38" ca="1">IF(CELL("contents",J38)=0,"",CELL("contents",J38))</f>
        <v/>
      </c>
      <c r="W38" t="str" cm="1">
        <f t="array" aca="1" ref="W38" ca="1">IF(CELL("contents",K38)=0,"",CELL("contents",K38))</f>
        <v/>
      </c>
      <c r="X38" t="str" cm="1">
        <f t="array" aca="1" ref="X38" ca="1">IF(CELL("contents",L38)=0,"",CELL("contents",L38))</f>
        <v/>
      </c>
      <c r="Y38" t="str" cm="1">
        <f t="array" aca="1" ref="Y38" ca="1">IF(CELL("contents",M38)=0,"",CELL("contents",M38))</f>
        <v/>
      </c>
      <c r="Z38" t="str" cm="1">
        <f t="array" aca="1" ref="Z38" ca="1">IF(CELL("contents",N38)=0,"",CELL("contents",N38))</f>
        <v/>
      </c>
      <c r="AA38" t="str" cm="1">
        <f t="array" aca="1" ref="AA38" ca="1">IF(CELL("contents",O38)=0,"",CELL("contents",O38))</f>
        <v/>
      </c>
    </row>
    <row r="39" spans="1:27" x14ac:dyDescent="0.35">
      <c r="A39" s="8" t="str" cm="1">
        <f t="array" ref="A39">IF(IFERROR(INDEX(SalesforceData!$A$2:'SalesforceData'!$A$36, MATCH(0, COUNTIF(DataTransformation!$A$2:'DataTransformation'!$A38, SalesforceData!$A$2:'SalesforceData'!$A$36), 0)),"") = 0,"", IFERROR(INDEX(SalesforceData!$A$2:'SalesforceData'!$A$36, MATCH(0, COUNTIF(DataTransformation!$A$2:'DataTransformation'!$A38, SalesforceData!$A$2:'SalesforceData'!$A$36), 0)),""))</f>
        <v/>
      </c>
      <c r="B39" s="8" t="str" cm="1">
        <f t="array" ref="B39">IF(IFERROR(INDEX(SalesforceData!$B$2:'SalesforceData'!$B$36, MATCH(0, COUNTIF(DataTransformation!$B$2:'DataTransformation'!$B38, SalesforceData!$B$2:'SalesforceData'!$B$36), 0)),"") = 0,"", IFERROR(INDEX(SalesforceData!$B$2:'SalesforceData'!$B$36, MATCH(0, COUNTIF(DataTransformation!$B$2:'DataTransformation'!$B38, SalesforceData!$B$2:'SalesforceData'!$B$36), 0)),""))</f>
        <v/>
      </c>
      <c r="E39" s="9"/>
      <c r="G39" s="8" t="str">
        <f t="shared" si="1"/>
        <v/>
      </c>
      <c r="H39" s="8" cm="1">
        <f t="array" ref="H39">IFERROR(IF(COUNT(INDEX(SalesforceData!$D$2:$D$36,MATCH(1,($G39=SalesforceData!$A$2:$A$36)*(H$2=SalesforceData!$B$2:'SalesforceData'!$B$36)*(H$3=SalesforceData!$C$2:'SalesforceData'!$C$36),0)))=0,INDEX(SalesforceData!$F$2:$F$36,MATCH(1,($G39=SalesforceData!$A$2:$A$36)*(H$2=SalesforceData!$B$2:'SalesforceData'!$B$36) * (H$3=SalesforceData!$E$2:'SalesforceData'!$E$36),0)),INDEX(SalesforceData!$D$2:$D$36,MATCH(1,($G39=SalesforceData!$A$2:$A$36)*(H$2=SalesforceData!$B$2:'SalesforceData'!$B$36)*(H$3=SalesforceData!$C$2:'SalesforceData'!$C$36),0))),"")</f>
        <v>0</v>
      </c>
      <c r="I39" s="8" cm="1">
        <f t="array" ref="I39">IFERROR(IF(COUNT(INDEX(SalesforceData!$D$2:$D$36,MATCH(1,($G39=SalesforceData!$A$2:$A$36)*(I$2=SalesforceData!$B$2:'SalesforceData'!$B$36)*(I$3=SalesforceData!$C$2:'SalesforceData'!$C$36),0)))=0,INDEX(SalesforceData!$F$2:$F$36,MATCH(1,($G39=SalesforceData!$A$2:$A$36)*(I$2=SalesforceData!$B$2:'SalesforceData'!$B$36) * (I$3=SalesforceData!$E$2:'SalesforceData'!$E$36),0)),INDEX(SalesforceData!$D$2:$D$36,MATCH(1,($G39=SalesforceData!$A$2:$A$36)*(I$2=SalesforceData!$B$2:'SalesforceData'!$B$36)*(I$3=SalesforceData!$C$2:'SalesforceData'!$C$36),0))),"")</f>
        <v>0</v>
      </c>
      <c r="J39" s="8" cm="1">
        <f t="array" ref="J39">IFERROR(IF(COUNT(INDEX(SalesforceData!$D$2:$D$36,MATCH(1,($G39=SalesforceData!$A$2:$A$36)*(J$2=SalesforceData!$B$2:'SalesforceData'!$B$36)*(J$3=SalesforceData!$C$2:'SalesforceData'!$C$36),0)))=0,INDEX(SalesforceData!$F$2:$F$36,MATCH(1,($G39=SalesforceData!$A$2:$A$36)*(J$2=SalesforceData!$B$2:'SalesforceData'!$B$36) * (J$3=SalesforceData!$E$2:'SalesforceData'!$E$36),0)),INDEX(SalesforceData!$D$2:$D$36,MATCH(1,($G39=SalesforceData!$A$2:$A$36)*(J$2=SalesforceData!$B$2:'SalesforceData'!$B$36)*(J$3=SalesforceData!$C$2:'SalesforceData'!$C$36),0))),"")</f>
        <v>0</v>
      </c>
      <c r="K39" s="8" cm="1">
        <f t="array" ref="K39">IFERROR(IF(COUNT(INDEX(SalesforceData!$D$2:$D$36,MATCH(1,($G39=SalesforceData!$A$2:$A$36)*(K$2=SalesforceData!$B$2:'SalesforceData'!$B$36)*(K$3=SalesforceData!$C$2:'SalesforceData'!$C$36),0)))=0,INDEX(SalesforceData!$F$2:$F$36,MATCH(1,($G39=SalesforceData!$A$2:$A$36)*(K$2=SalesforceData!$B$2:'SalesforceData'!$B$36) * (K$3=SalesforceData!$E$2:'SalesforceData'!$E$36),0)),INDEX(SalesforceData!$D$2:$D$36,MATCH(1,($G39=SalesforceData!$A$2:$A$36)*(K$2=SalesforceData!$B$2:'SalesforceData'!$B$36)*(K$3=SalesforceData!$C$2:'SalesforceData'!$C$36),0))),"")</f>
        <v>0</v>
      </c>
      <c r="L39" s="8" cm="1">
        <f t="array" ref="L39">IFERROR(IF(COUNT(INDEX(SalesforceData!$D$2:$D$36,MATCH(1,($G39=SalesforceData!$A$2:$A$36)*(L$2=SalesforceData!$B$2:'SalesforceData'!$B$36)*(L$3=SalesforceData!$C$2:'SalesforceData'!$C$36),0)))=0,INDEX(SalesforceData!$F$2:$F$36,MATCH(1,($G39=SalesforceData!$A$2:$A$36)*(L$2=SalesforceData!$B$2:'SalesforceData'!$B$36) * (L$3=SalesforceData!$E$2:'SalesforceData'!$E$36),0)),INDEX(SalesforceData!$D$2:$D$36,MATCH(1,($G39=SalesforceData!$A$2:$A$36)*(L$2=SalesforceData!$B$2:'SalesforceData'!$B$36)*(L$3=SalesforceData!$C$2:'SalesforceData'!$C$36),0))),"")</f>
        <v>0</v>
      </c>
      <c r="M39" s="8" cm="1">
        <f t="array" ref="M39">IFERROR(IF(COUNT(INDEX(SalesforceData!$D$2:$D$36,MATCH(1,($G39=SalesforceData!$A$2:$A$36)*(M$2=SalesforceData!$B$2:'SalesforceData'!$B$36)*(M$3=SalesforceData!$C$2:'SalesforceData'!$C$36),0)))=0,INDEX(SalesforceData!$F$2:$F$36,MATCH(1,($G39=SalesforceData!$A$2:$A$36)*(M$2=SalesforceData!$B$2:'SalesforceData'!$B$36) * (M$3=SalesforceData!$E$2:'SalesforceData'!$E$36),0)),INDEX(SalesforceData!$D$2:$D$36,MATCH(1,($G39=SalesforceData!$A$2:$A$36)*(M$2=SalesforceData!$B$2:'SalesforceData'!$B$36)*(M$3=SalesforceData!$C$2:'SalesforceData'!$C$36),0))),"")</f>
        <v>0</v>
      </c>
      <c r="N39" s="8" cm="1">
        <f t="array" ref="N39">IFERROR(IF(COUNT(INDEX(SalesforceData!$D$2:$D$36,MATCH(1,($G39=SalesforceData!$A$2:$A$36)*(N$2=SalesforceData!$B$2:'SalesforceData'!$B$36)*(N$3=SalesforceData!$C$2:'SalesforceData'!$C$36),0)))=0,INDEX(SalesforceData!$F$2:$F$36,MATCH(1,($G39=SalesforceData!$A$2:$A$36)*(N$2=SalesforceData!$B$2:'SalesforceData'!$B$36) * (N$3=SalesforceData!$E$2:'SalesforceData'!$E$36),0)),INDEX(SalesforceData!$D$2:$D$36,MATCH(1,($G39=SalesforceData!$A$2:$A$36)*(N$2=SalesforceData!$B$2:'SalesforceData'!$B$36)*(N$3=SalesforceData!$C$2:'SalesforceData'!$C$36),0))),"")</f>
        <v>0</v>
      </c>
      <c r="O39" s="8" cm="1">
        <f t="array" ref="O39">IFERROR(IF(COUNT(INDEX(SalesforceData!$D$2:$D$36,MATCH(1,($G39=SalesforceData!$A$2:$A$36)*(O$2=SalesforceData!$B$2:'SalesforceData'!$B$36)*(O$3=SalesforceData!$C$2:'SalesforceData'!$C$36),0)))=0,INDEX(SalesforceData!$F$2:$F$36,MATCH(1,($G39=SalesforceData!$A$2:$A$36)*(O$2=SalesforceData!$B$2:'SalesforceData'!$B$36) * (O$3=SalesforceData!$E$2:'SalesforceData'!$E$36),0)),INDEX(SalesforceData!$D$2:$D$36,MATCH(1,($G39=SalesforceData!$A$2:$A$36)*(O$2=SalesforceData!$B$2:'SalesforceData'!$B$36)*(O$3=SalesforceData!$C$2:'SalesforceData'!$C$36),0))),"")</f>
        <v>0</v>
      </c>
      <c r="Q39" s="9"/>
      <c r="S39" t="str" cm="1">
        <f t="array" aca="1" ref="S39" ca="1">IF(CELL("contents",G39)=0,"",CELL("contents",G39))</f>
        <v/>
      </c>
      <c r="T39" t="str" cm="1">
        <f t="array" aca="1" ref="T39" ca="1">IF(CELL("contents",H39)=0,"",CELL("contents",H39))</f>
        <v/>
      </c>
      <c r="U39" t="str" cm="1">
        <f t="array" aca="1" ref="U39" ca="1">IF(CELL("contents",I39)=0,"",CELL("contents",I39))</f>
        <v/>
      </c>
      <c r="V39" t="str" cm="1">
        <f t="array" aca="1" ref="V39" ca="1">IF(CELL("contents",J39)=0,"",CELL("contents",J39))</f>
        <v/>
      </c>
      <c r="W39" t="str" cm="1">
        <f t="array" aca="1" ref="W39" ca="1">IF(CELL("contents",K39)=0,"",CELL("contents",K39))</f>
        <v/>
      </c>
      <c r="X39" t="str" cm="1">
        <f t="array" aca="1" ref="X39" ca="1">IF(CELL("contents",L39)=0,"",CELL("contents",L39))</f>
        <v/>
      </c>
      <c r="Y39" t="str" cm="1">
        <f t="array" aca="1" ref="Y39" ca="1">IF(CELL("contents",M39)=0,"",CELL("contents",M39))</f>
        <v/>
      </c>
      <c r="Z39" t="str" cm="1">
        <f t="array" aca="1" ref="Z39" ca="1">IF(CELL("contents",N39)=0,"",CELL("contents",N39))</f>
        <v/>
      </c>
      <c r="AA39" t="str" cm="1">
        <f t="array" aca="1" ref="AA39" ca="1">IF(CELL("contents",O39)=0,"",CELL("contents",O39))</f>
        <v/>
      </c>
    </row>
    <row r="40" spans="1:27" x14ac:dyDescent="0.35">
      <c r="A40" s="8" t="str" cm="1">
        <f t="array" ref="A40">IF(IFERROR(INDEX(SalesforceData!$A$2:'SalesforceData'!$A$36, MATCH(0, COUNTIF(DataTransformation!$A$2:'DataTransformation'!$A39, SalesforceData!$A$2:'SalesforceData'!$A$36), 0)),"") = 0,"", IFERROR(INDEX(SalesforceData!$A$2:'SalesforceData'!$A$36, MATCH(0, COUNTIF(DataTransformation!$A$2:'DataTransformation'!$A39, SalesforceData!$A$2:'SalesforceData'!$A$36), 0)),""))</f>
        <v/>
      </c>
      <c r="B40" s="8" t="str" cm="1">
        <f t="array" ref="B40">IF(IFERROR(INDEX(SalesforceData!$B$2:'SalesforceData'!$B$36, MATCH(0, COUNTIF(DataTransformation!$B$2:'DataTransformation'!$B39, SalesforceData!$B$2:'SalesforceData'!$B$36), 0)),"") = 0,"", IFERROR(INDEX(SalesforceData!$B$2:'SalesforceData'!$B$36, MATCH(0, COUNTIF(DataTransformation!$B$2:'DataTransformation'!$B39, SalesforceData!$B$2:'SalesforceData'!$B$36), 0)),""))</f>
        <v/>
      </c>
      <c r="E40" s="9"/>
      <c r="G40" s="8" t="str">
        <f t="shared" si="1"/>
        <v/>
      </c>
      <c r="H40" s="8" cm="1">
        <f t="array" ref="H40">IFERROR(IF(COUNT(INDEX(SalesforceData!$D$2:$D$36,MATCH(1,($G40=SalesforceData!$A$2:$A$36)*(H$2=SalesforceData!$B$2:'SalesforceData'!$B$36)*(H$3=SalesforceData!$C$2:'SalesforceData'!$C$36),0)))=0,INDEX(SalesforceData!$F$2:$F$36,MATCH(1,($G40=SalesforceData!$A$2:$A$36)*(H$2=SalesforceData!$B$2:'SalesforceData'!$B$36) * (H$3=SalesforceData!$E$2:'SalesforceData'!$E$36),0)),INDEX(SalesforceData!$D$2:$D$36,MATCH(1,($G40=SalesforceData!$A$2:$A$36)*(H$2=SalesforceData!$B$2:'SalesforceData'!$B$36)*(H$3=SalesforceData!$C$2:'SalesforceData'!$C$36),0))),"")</f>
        <v>0</v>
      </c>
      <c r="I40" s="8" cm="1">
        <f t="array" ref="I40">IFERROR(IF(COUNT(INDEX(SalesforceData!$D$2:$D$36,MATCH(1,($G40=SalesforceData!$A$2:$A$36)*(I$2=SalesforceData!$B$2:'SalesforceData'!$B$36)*(I$3=SalesforceData!$C$2:'SalesforceData'!$C$36),0)))=0,INDEX(SalesforceData!$F$2:$F$36,MATCH(1,($G40=SalesforceData!$A$2:$A$36)*(I$2=SalesforceData!$B$2:'SalesforceData'!$B$36) * (I$3=SalesforceData!$E$2:'SalesforceData'!$E$36),0)),INDEX(SalesforceData!$D$2:$D$36,MATCH(1,($G40=SalesforceData!$A$2:$A$36)*(I$2=SalesforceData!$B$2:'SalesforceData'!$B$36)*(I$3=SalesforceData!$C$2:'SalesforceData'!$C$36),0))),"")</f>
        <v>0</v>
      </c>
      <c r="J40" s="8" cm="1">
        <f t="array" ref="J40">IFERROR(IF(COUNT(INDEX(SalesforceData!$D$2:$D$36,MATCH(1,($G40=SalesforceData!$A$2:$A$36)*(J$2=SalesforceData!$B$2:'SalesforceData'!$B$36)*(J$3=SalesforceData!$C$2:'SalesforceData'!$C$36),0)))=0,INDEX(SalesforceData!$F$2:$F$36,MATCH(1,($G40=SalesforceData!$A$2:$A$36)*(J$2=SalesforceData!$B$2:'SalesforceData'!$B$36) * (J$3=SalesforceData!$E$2:'SalesforceData'!$E$36),0)),INDEX(SalesforceData!$D$2:$D$36,MATCH(1,($G40=SalesforceData!$A$2:$A$36)*(J$2=SalesforceData!$B$2:'SalesforceData'!$B$36)*(J$3=SalesforceData!$C$2:'SalesforceData'!$C$36),0))),"")</f>
        <v>0</v>
      </c>
      <c r="K40" s="8" cm="1">
        <f t="array" ref="K40">IFERROR(IF(COUNT(INDEX(SalesforceData!$D$2:$D$36,MATCH(1,($G40=SalesforceData!$A$2:$A$36)*(K$2=SalesforceData!$B$2:'SalesforceData'!$B$36)*(K$3=SalesforceData!$C$2:'SalesforceData'!$C$36),0)))=0,INDEX(SalesforceData!$F$2:$F$36,MATCH(1,($G40=SalesforceData!$A$2:$A$36)*(K$2=SalesforceData!$B$2:'SalesforceData'!$B$36) * (K$3=SalesforceData!$E$2:'SalesforceData'!$E$36),0)),INDEX(SalesforceData!$D$2:$D$36,MATCH(1,($G40=SalesforceData!$A$2:$A$36)*(K$2=SalesforceData!$B$2:'SalesforceData'!$B$36)*(K$3=SalesforceData!$C$2:'SalesforceData'!$C$36),0))),"")</f>
        <v>0</v>
      </c>
      <c r="L40" s="8" cm="1">
        <f t="array" ref="L40">IFERROR(IF(COUNT(INDEX(SalesforceData!$D$2:$D$36,MATCH(1,($G40=SalesforceData!$A$2:$A$36)*(L$2=SalesforceData!$B$2:'SalesforceData'!$B$36)*(L$3=SalesforceData!$C$2:'SalesforceData'!$C$36),0)))=0,INDEX(SalesforceData!$F$2:$F$36,MATCH(1,($G40=SalesforceData!$A$2:$A$36)*(L$2=SalesforceData!$B$2:'SalesforceData'!$B$36) * (L$3=SalesforceData!$E$2:'SalesforceData'!$E$36),0)),INDEX(SalesforceData!$D$2:$D$36,MATCH(1,($G40=SalesforceData!$A$2:$A$36)*(L$2=SalesforceData!$B$2:'SalesforceData'!$B$36)*(L$3=SalesforceData!$C$2:'SalesforceData'!$C$36),0))),"")</f>
        <v>0</v>
      </c>
      <c r="M40" s="8" cm="1">
        <f t="array" ref="M40">IFERROR(IF(COUNT(INDEX(SalesforceData!$D$2:$D$36,MATCH(1,($G40=SalesforceData!$A$2:$A$36)*(M$2=SalesforceData!$B$2:'SalesforceData'!$B$36)*(M$3=SalesforceData!$C$2:'SalesforceData'!$C$36),0)))=0,INDEX(SalesforceData!$F$2:$F$36,MATCH(1,($G40=SalesforceData!$A$2:$A$36)*(M$2=SalesforceData!$B$2:'SalesforceData'!$B$36) * (M$3=SalesforceData!$E$2:'SalesforceData'!$E$36),0)),INDEX(SalesforceData!$D$2:$D$36,MATCH(1,($G40=SalesforceData!$A$2:$A$36)*(M$2=SalesforceData!$B$2:'SalesforceData'!$B$36)*(M$3=SalesforceData!$C$2:'SalesforceData'!$C$36),0))),"")</f>
        <v>0</v>
      </c>
      <c r="N40" s="8" cm="1">
        <f t="array" ref="N40">IFERROR(IF(COUNT(INDEX(SalesforceData!$D$2:$D$36,MATCH(1,($G40=SalesforceData!$A$2:$A$36)*(N$2=SalesforceData!$B$2:'SalesforceData'!$B$36)*(N$3=SalesforceData!$C$2:'SalesforceData'!$C$36),0)))=0,INDEX(SalesforceData!$F$2:$F$36,MATCH(1,($G40=SalesforceData!$A$2:$A$36)*(N$2=SalesforceData!$B$2:'SalesforceData'!$B$36) * (N$3=SalesforceData!$E$2:'SalesforceData'!$E$36),0)),INDEX(SalesforceData!$D$2:$D$36,MATCH(1,($G40=SalesforceData!$A$2:$A$36)*(N$2=SalesforceData!$B$2:'SalesforceData'!$B$36)*(N$3=SalesforceData!$C$2:'SalesforceData'!$C$36),0))),"")</f>
        <v>0</v>
      </c>
      <c r="O40" s="8" cm="1">
        <f t="array" ref="O40">IFERROR(IF(COUNT(INDEX(SalesforceData!$D$2:$D$36,MATCH(1,($G40=SalesforceData!$A$2:$A$36)*(O$2=SalesforceData!$B$2:'SalesforceData'!$B$36)*(O$3=SalesforceData!$C$2:'SalesforceData'!$C$36),0)))=0,INDEX(SalesforceData!$F$2:$F$36,MATCH(1,($G40=SalesforceData!$A$2:$A$36)*(O$2=SalesforceData!$B$2:'SalesforceData'!$B$36) * (O$3=SalesforceData!$E$2:'SalesforceData'!$E$36),0)),INDEX(SalesforceData!$D$2:$D$36,MATCH(1,($G40=SalesforceData!$A$2:$A$36)*(O$2=SalesforceData!$B$2:'SalesforceData'!$B$36)*(O$3=SalesforceData!$C$2:'SalesforceData'!$C$36),0))),"")</f>
        <v>0</v>
      </c>
      <c r="Q40" s="9"/>
      <c r="S40" t="str" cm="1">
        <f t="array" aca="1" ref="S40" ca="1">IF(CELL("contents",G40)=0,"",CELL("contents",G40))</f>
        <v/>
      </c>
      <c r="T40" t="str" cm="1">
        <f t="array" aca="1" ref="T40" ca="1">IF(CELL("contents",H40)=0,"",CELL("contents",H40))</f>
        <v/>
      </c>
      <c r="U40" t="str" cm="1">
        <f t="array" aca="1" ref="U40" ca="1">IF(CELL("contents",I40)=0,"",CELL("contents",I40))</f>
        <v/>
      </c>
      <c r="V40" t="str" cm="1">
        <f t="array" aca="1" ref="V40" ca="1">IF(CELL("contents",J40)=0,"",CELL("contents",J40))</f>
        <v/>
      </c>
      <c r="W40" t="str" cm="1">
        <f t="array" aca="1" ref="W40" ca="1">IF(CELL("contents",K40)=0,"",CELL("contents",K40))</f>
        <v/>
      </c>
      <c r="X40" t="str" cm="1">
        <f t="array" aca="1" ref="X40" ca="1">IF(CELL("contents",L40)=0,"",CELL("contents",L40))</f>
        <v/>
      </c>
      <c r="Y40" t="str" cm="1">
        <f t="array" aca="1" ref="Y40" ca="1">IF(CELL("contents",M40)=0,"",CELL("contents",M40))</f>
        <v/>
      </c>
      <c r="Z40" t="str" cm="1">
        <f t="array" aca="1" ref="Z40" ca="1">IF(CELL("contents",N40)=0,"",CELL("contents",N40))</f>
        <v/>
      </c>
      <c r="AA40" t="str" cm="1">
        <f t="array" aca="1" ref="AA40" ca="1">IF(CELL("contents",O40)=0,"",CELL("contents",O40))</f>
        <v/>
      </c>
    </row>
    <row r="41" spans="1:27" x14ac:dyDescent="0.35">
      <c r="A41" s="8" t="str" cm="1">
        <f t="array" ref="A41">IF(IFERROR(INDEX(SalesforceData!$A$2:'SalesforceData'!$A$36, MATCH(0, COUNTIF(DataTransformation!$A$2:'DataTransformation'!$A40, SalesforceData!$A$2:'SalesforceData'!$A$36), 0)),"") = 0,"", IFERROR(INDEX(SalesforceData!$A$2:'SalesforceData'!$A$36, MATCH(0, COUNTIF(DataTransformation!$A$2:'DataTransformation'!$A40, SalesforceData!$A$2:'SalesforceData'!$A$36), 0)),""))</f>
        <v/>
      </c>
      <c r="B41" s="8" t="str" cm="1">
        <f t="array" ref="B41">IF(IFERROR(INDEX(SalesforceData!$B$2:'SalesforceData'!$B$36, MATCH(0, COUNTIF(DataTransformation!$B$2:'DataTransformation'!$B40, SalesforceData!$B$2:'SalesforceData'!$B$36), 0)),"") = 0,"", IFERROR(INDEX(SalesforceData!$B$2:'SalesforceData'!$B$36, MATCH(0, COUNTIF(DataTransformation!$B$2:'DataTransformation'!$B40, SalesforceData!$B$2:'SalesforceData'!$B$36), 0)),""))</f>
        <v/>
      </c>
      <c r="E41" s="9"/>
      <c r="G41" s="8" t="str">
        <f t="shared" si="1"/>
        <v/>
      </c>
      <c r="H41" s="8" cm="1">
        <f t="array" ref="H41">IFERROR(IF(COUNT(INDEX(SalesforceData!$D$2:$D$36,MATCH(1,($G41=SalesforceData!$A$2:$A$36)*(H$2=SalesforceData!$B$2:'SalesforceData'!$B$36)*(H$3=SalesforceData!$C$2:'SalesforceData'!$C$36),0)))=0,INDEX(SalesforceData!$F$2:$F$36,MATCH(1,($G41=SalesforceData!$A$2:$A$36)*(H$2=SalesforceData!$B$2:'SalesforceData'!$B$36) * (H$3=SalesforceData!$E$2:'SalesforceData'!$E$36),0)),INDEX(SalesforceData!$D$2:$D$36,MATCH(1,($G41=SalesforceData!$A$2:$A$36)*(H$2=SalesforceData!$B$2:'SalesforceData'!$B$36)*(H$3=SalesforceData!$C$2:'SalesforceData'!$C$36),0))),"")</f>
        <v>0</v>
      </c>
      <c r="I41" s="8" cm="1">
        <f t="array" ref="I41">IFERROR(IF(COUNT(INDEX(SalesforceData!$D$2:$D$36,MATCH(1,($G41=SalesforceData!$A$2:$A$36)*(I$2=SalesforceData!$B$2:'SalesforceData'!$B$36)*(I$3=SalesforceData!$C$2:'SalesforceData'!$C$36),0)))=0,INDEX(SalesforceData!$F$2:$F$36,MATCH(1,($G41=SalesforceData!$A$2:$A$36)*(I$2=SalesforceData!$B$2:'SalesforceData'!$B$36) * (I$3=SalesforceData!$E$2:'SalesforceData'!$E$36),0)),INDEX(SalesforceData!$D$2:$D$36,MATCH(1,($G41=SalesforceData!$A$2:$A$36)*(I$2=SalesforceData!$B$2:'SalesforceData'!$B$36)*(I$3=SalesforceData!$C$2:'SalesforceData'!$C$36),0))),"")</f>
        <v>0</v>
      </c>
      <c r="J41" s="8" cm="1">
        <f t="array" ref="J41">IFERROR(IF(COUNT(INDEX(SalesforceData!$D$2:$D$36,MATCH(1,($G41=SalesforceData!$A$2:$A$36)*(J$2=SalesforceData!$B$2:'SalesforceData'!$B$36)*(J$3=SalesforceData!$C$2:'SalesforceData'!$C$36),0)))=0,INDEX(SalesforceData!$F$2:$F$36,MATCH(1,($G41=SalesforceData!$A$2:$A$36)*(J$2=SalesforceData!$B$2:'SalesforceData'!$B$36) * (J$3=SalesforceData!$E$2:'SalesforceData'!$E$36),0)),INDEX(SalesforceData!$D$2:$D$36,MATCH(1,($G41=SalesforceData!$A$2:$A$36)*(J$2=SalesforceData!$B$2:'SalesforceData'!$B$36)*(J$3=SalesforceData!$C$2:'SalesforceData'!$C$36),0))),"")</f>
        <v>0</v>
      </c>
      <c r="K41" s="8" cm="1">
        <f t="array" ref="K41">IFERROR(IF(COUNT(INDEX(SalesforceData!$D$2:$D$36,MATCH(1,($G41=SalesforceData!$A$2:$A$36)*(K$2=SalesforceData!$B$2:'SalesforceData'!$B$36)*(K$3=SalesforceData!$C$2:'SalesforceData'!$C$36),0)))=0,INDEX(SalesforceData!$F$2:$F$36,MATCH(1,($G41=SalesforceData!$A$2:$A$36)*(K$2=SalesforceData!$B$2:'SalesforceData'!$B$36) * (K$3=SalesforceData!$E$2:'SalesforceData'!$E$36),0)),INDEX(SalesforceData!$D$2:$D$36,MATCH(1,($G41=SalesforceData!$A$2:$A$36)*(K$2=SalesforceData!$B$2:'SalesforceData'!$B$36)*(K$3=SalesforceData!$C$2:'SalesforceData'!$C$36),0))),"")</f>
        <v>0</v>
      </c>
      <c r="L41" s="8" cm="1">
        <f t="array" ref="L41">IFERROR(IF(COUNT(INDEX(SalesforceData!$D$2:$D$36,MATCH(1,($G41=SalesforceData!$A$2:$A$36)*(L$2=SalesforceData!$B$2:'SalesforceData'!$B$36)*(L$3=SalesforceData!$C$2:'SalesforceData'!$C$36),0)))=0,INDEX(SalesforceData!$F$2:$F$36,MATCH(1,($G41=SalesforceData!$A$2:$A$36)*(L$2=SalesforceData!$B$2:'SalesforceData'!$B$36) * (L$3=SalesforceData!$E$2:'SalesforceData'!$E$36),0)),INDEX(SalesforceData!$D$2:$D$36,MATCH(1,($G41=SalesforceData!$A$2:$A$36)*(L$2=SalesforceData!$B$2:'SalesforceData'!$B$36)*(L$3=SalesforceData!$C$2:'SalesforceData'!$C$36),0))),"")</f>
        <v>0</v>
      </c>
      <c r="M41" s="8" cm="1">
        <f t="array" ref="M41">IFERROR(IF(COUNT(INDEX(SalesforceData!$D$2:$D$36,MATCH(1,($G41=SalesforceData!$A$2:$A$36)*(M$2=SalesforceData!$B$2:'SalesforceData'!$B$36)*(M$3=SalesforceData!$C$2:'SalesforceData'!$C$36),0)))=0,INDEX(SalesforceData!$F$2:$F$36,MATCH(1,($G41=SalesforceData!$A$2:$A$36)*(M$2=SalesforceData!$B$2:'SalesforceData'!$B$36) * (M$3=SalesforceData!$E$2:'SalesforceData'!$E$36),0)),INDEX(SalesforceData!$D$2:$D$36,MATCH(1,($G41=SalesforceData!$A$2:$A$36)*(M$2=SalesforceData!$B$2:'SalesforceData'!$B$36)*(M$3=SalesforceData!$C$2:'SalesforceData'!$C$36),0))),"")</f>
        <v>0</v>
      </c>
      <c r="N41" s="8" cm="1">
        <f t="array" ref="N41">IFERROR(IF(COUNT(INDEX(SalesforceData!$D$2:$D$36,MATCH(1,($G41=SalesforceData!$A$2:$A$36)*(N$2=SalesforceData!$B$2:'SalesforceData'!$B$36)*(N$3=SalesforceData!$C$2:'SalesforceData'!$C$36),0)))=0,INDEX(SalesforceData!$F$2:$F$36,MATCH(1,($G41=SalesforceData!$A$2:$A$36)*(N$2=SalesforceData!$B$2:'SalesforceData'!$B$36) * (N$3=SalesforceData!$E$2:'SalesforceData'!$E$36),0)),INDEX(SalesforceData!$D$2:$D$36,MATCH(1,($G41=SalesforceData!$A$2:$A$36)*(N$2=SalesforceData!$B$2:'SalesforceData'!$B$36)*(N$3=SalesforceData!$C$2:'SalesforceData'!$C$36),0))),"")</f>
        <v>0</v>
      </c>
      <c r="O41" s="8" cm="1">
        <f t="array" ref="O41">IFERROR(IF(COUNT(INDEX(SalesforceData!$D$2:$D$36,MATCH(1,($G41=SalesforceData!$A$2:$A$36)*(O$2=SalesforceData!$B$2:'SalesforceData'!$B$36)*(O$3=SalesforceData!$C$2:'SalesforceData'!$C$36),0)))=0,INDEX(SalesforceData!$F$2:$F$36,MATCH(1,($G41=SalesforceData!$A$2:$A$36)*(O$2=SalesforceData!$B$2:'SalesforceData'!$B$36) * (O$3=SalesforceData!$E$2:'SalesforceData'!$E$36),0)),INDEX(SalesforceData!$D$2:$D$36,MATCH(1,($G41=SalesforceData!$A$2:$A$36)*(O$2=SalesforceData!$B$2:'SalesforceData'!$B$36)*(O$3=SalesforceData!$C$2:'SalesforceData'!$C$36),0))),"")</f>
        <v>0</v>
      </c>
      <c r="Q41" s="9"/>
      <c r="S41" t="str" cm="1">
        <f t="array" aca="1" ref="S41" ca="1">IF(CELL("contents",G41)=0,"",CELL("contents",G41))</f>
        <v/>
      </c>
      <c r="T41" t="str" cm="1">
        <f t="array" aca="1" ref="T41" ca="1">IF(CELL("contents",H41)=0,"",CELL("contents",H41))</f>
        <v/>
      </c>
      <c r="U41" t="str" cm="1">
        <f t="array" aca="1" ref="U41" ca="1">IF(CELL("contents",I41)=0,"",CELL("contents",I41))</f>
        <v/>
      </c>
      <c r="V41" t="str" cm="1">
        <f t="array" aca="1" ref="V41" ca="1">IF(CELL("contents",J41)=0,"",CELL("contents",J41))</f>
        <v/>
      </c>
      <c r="W41" t="str" cm="1">
        <f t="array" aca="1" ref="W41" ca="1">IF(CELL("contents",K41)=0,"",CELL("contents",K41))</f>
        <v/>
      </c>
      <c r="X41" t="str" cm="1">
        <f t="array" aca="1" ref="X41" ca="1">IF(CELL("contents",L41)=0,"",CELL("contents",L41))</f>
        <v/>
      </c>
      <c r="Y41" t="str" cm="1">
        <f t="array" aca="1" ref="Y41" ca="1">IF(CELL("contents",M41)=0,"",CELL("contents",M41))</f>
        <v/>
      </c>
      <c r="Z41" t="str" cm="1">
        <f t="array" aca="1" ref="Z41" ca="1">IF(CELL("contents",N41)=0,"",CELL("contents",N41))</f>
        <v/>
      </c>
      <c r="AA41" t="str" cm="1">
        <f t="array" aca="1" ref="AA41" ca="1">IF(CELL("contents",O41)=0,"",CELL("contents",O41))</f>
        <v/>
      </c>
    </row>
    <row r="42" spans="1:27" x14ac:dyDescent="0.35">
      <c r="A42" s="8" t="str" cm="1">
        <f t="array" ref="A42">IF(IFERROR(INDEX(SalesforceData!$A$2:'SalesforceData'!$A$36, MATCH(0, COUNTIF(DataTransformation!$A$2:'DataTransformation'!$A41, SalesforceData!$A$2:'SalesforceData'!$A$36), 0)),"") = 0,"", IFERROR(INDEX(SalesforceData!$A$2:'SalesforceData'!$A$36, MATCH(0, COUNTIF(DataTransformation!$A$2:'DataTransformation'!$A41, SalesforceData!$A$2:'SalesforceData'!$A$36), 0)),""))</f>
        <v/>
      </c>
      <c r="B42" s="8" t="str" cm="1">
        <f t="array" ref="B42">IF(IFERROR(INDEX(SalesforceData!$B$2:'SalesforceData'!$B$36, MATCH(0, COUNTIF(DataTransformation!$B$2:'DataTransformation'!$B41, SalesforceData!$B$2:'SalesforceData'!$B$36), 0)),"") = 0,"", IFERROR(INDEX(SalesforceData!$B$2:'SalesforceData'!$B$36, MATCH(0, COUNTIF(DataTransformation!$B$2:'DataTransformation'!$B41, SalesforceData!$B$2:'SalesforceData'!$B$36), 0)),""))</f>
        <v/>
      </c>
      <c r="E42" s="9"/>
      <c r="G42" s="8" t="str">
        <f t="shared" si="1"/>
        <v/>
      </c>
      <c r="H42" s="8" cm="1">
        <f t="array" ref="H42">IFERROR(IF(COUNT(INDEX(SalesforceData!$D$2:$D$36,MATCH(1,($G42=SalesforceData!$A$2:$A$36)*(H$2=SalesforceData!$B$2:'SalesforceData'!$B$36)*(H$3=SalesforceData!$C$2:'SalesforceData'!$C$36),0)))=0,INDEX(SalesforceData!$F$2:$F$36,MATCH(1,($G42=SalesforceData!$A$2:$A$36)*(H$2=SalesforceData!$B$2:'SalesforceData'!$B$36) * (H$3=SalesforceData!$E$2:'SalesforceData'!$E$36),0)),INDEX(SalesforceData!$D$2:$D$36,MATCH(1,($G42=SalesforceData!$A$2:$A$36)*(H$2=SalesforceData!$B$2:'SalesforceData'!$B$36)*(H$3=SalesforceData!$C$2:'SalesforceData'!$C$36),0))),"")</f>
        <v>0</v>
      </c>
      <c r="I42" s="8" cm="1">
        <f t="array" ref="I42">IFERROR(IF(COUNT(INDEX(SalesforceData!$D$2:$D$36,MATCH(1,($G42=SalesforceData!$A$2:$A$36)*(I$2=SalesforceData!$B$2:'SalesforceData'!$B$36)*(I$3=SalesforceData!$C$2:'SalesforceData'!$C$36),0)))=0,INDEX(SalesforceData!$F$2:$F$36,MATCH(1,($G42=SalesforceData!$A$2:$A$36)*(I$2=SalesforceData!$B$2:'SalesforceData'!$B$36) * (I$3=SalesforceData!$E$2:'SalesforceData'!$E$36),0)),INDEX(SalesforceData!$D$2:$D$36,MATCH(1,($G42=SalesforceData!$A$2:$A$36)*(I$2=SalesforceData!$B$2:'SalesforceData'!$B$36)*(I$3=SalesforceData!$C$2:'SalesforceData'!$C$36),0))),"")</f>
        <v>0</v>
      </c>
      <c r="J42" s="8" cm="1">
        <f t="array" ref="J42">IFERROR(IF(COUNT(INDEX(SalesforceData!$D$2:$D$36,MATCH(1,($G42=SalesforceData!$A$2:$A$36)*(J$2=SalesforceData!$B$2:'SalesforceData'!$B$36)*(J$3=SalesforceData!$C$2:'SalesforceData'!$C$36),0)))=0,INDEX(SalesforceData!$F$2:$F$36,MATCH(1,($G42=SalesforceData!$A$2:$A$36)*(J$2=SalesforceData!$B$2:'SalesforceData'!$B$36) * (J$3=SalesforceData!$E$2:'SalesforceData'!$E$36),0)),INDEX(SalesforceData!$D$2:$D$36,MATCH(1,($G42=SalesforceData!$A$2:$A$36)*(J$2=SalesforceData!$B$2:'SalesforceData'!$B$36)*(J$3=SalesforceData!$C$2:'SalesforceData'!$C$36),0))),"")</f>
        <v>0</v>
      </c>
      <c r="K42" s="8" cm="1">
        <f t="array" ref="K42">IFERROR(IF(COUNT(INDEX(SalesforceData!$D$2:$D$36,MATCH(1,($G42=SalesforceData!$A$2:$A$36)*(K$2=SalesforceData!$B$2:'SalesforceData'!$B$36)*(K$3=SalesforceData!$C$2:'SalesforceData'!$C$36),0)))=0,INDEX(SalesforceData!$F$2:$F$36,MATCH(1,($G42=SalesforceData!$A$2:$A$36)*(K$2=SalesforceData!$B$2:'SalesforceData'!$B$36) * (K$3=SalesforceData!$E$2:'SalesforceData'!$E$36),0)),INDEX(SalesforceData!$D$2:$D$36,MATCH(1,($G42=SalesforceData!$A$2:$A$36)*(K$2=SalesforceData!$B$2:'SalesforceData'!$B$36)*(K$3=SalesforceData!$C$2:'SalesforceData'!$C$36),0))),"")</f>
        <v>0</v>
      </c>
      <c r="L42" s="8" cm="1">
        <f t="array" ref="L42">IFERROR(IF(COUNT(INDEX(SalesforceData!$D$2:$D$36,MATCH(1,($G42=SalesforceData!$A$2:$A$36)*(L$2=SalesforceData!$B$2:'SalesforceData'!$B$36)*(L$3=SalesforceData!$C$2:'SalesforceData'!$C$36),0)))=0,INDEX(SalesforceData!$F$2:$F$36,MATCH(1,($G42=SalesforceData!$A$2:$A$36)*(L$2=SalesforceData!$B$2:'SalesforceData'!$B$36) * (L$3=SalesforceData!$E$2:'SalesforceData'!$E$36),0)),INDEX(SalesforceData!$D$2:$D$36,MATCH(1,($G42=SalesforceData!$A$2:$A$36)*(L$2=SalesforceData!$B$2:'SalesforceData'!$B$36)*(L$3=SalesforceData!$C$2:'SalesforceData'!$C$36),0))),"")</f>
        <v>0</v>
      </c>
      <c r="M42" s="8" cm="1">
        <f t="array" ref="M42">IFERROR(IF(COUNT(INDEX(SalesforceData!$D$2:$D$36,MATCH(1,($G42=SalesforceData!$A$2:$A$36)*(M$2=SalesforceData!$B$2:'SalesforceData'!$B$36)*(M$3=SalesforceData!$C$2:'SalesforceData'!$C$36),0)))=0,INDEX(SalesforceData!$F$2:$F$36,MATCH(1,($G42=SalesforceData!$A$2:$A$36)*(M$2=SalesforceData!$B$2:'SalesforceData'!$B$36) * (M$3=SalesforceData!$E$2:'SalesforceData'!$E$36),0)),INDEX(SalesforceData!$D$2:$D$36,MATCH(1,($G42=SalesforceData!$A$2:$A$36)*(M$2=SalesforceData!$B$2:'SalesforceData'!$B$36)*(M$3=SalesforceData!$C$2:'SalesforceData'!$C$36),0))),"")</f>
        <v>0</v>
      </c>
      <c r="N42" s="8" cm="1">
        <f t="array" ref="N42">IFERROR(IF(COUNT(INDEX(SalesforceData!$D$2:$D$36,MATCH(1,($G42=SalesforceData!$A$2:$A$36)*(N$2=SalesforceData!$B$2:'SalesforceData'!$B$36)*(N$3=SalesforceData!$C$2:'SalesforceData'!$C$36),0)))=0,INDEX(SalesforceData!$F$2:$F$36,MATCH(1,($G42=SalesforceData!$A$2:$A$36)*(N$2=SalesforceData!$B$2:'SalesforceData'!$B$36) * (N$3=SalesforceData!$E$2:'SalesforceData'!$E$36),0)),INDEX(SalesforceData!$D$2:$D$36,MATCH(1,($G42=SalesforceData!$A$2:$A$36)*(N$2=SalesforceData!$B$2:'SalesforceData'!$B$36)*(N$3=SalesforceData!$C$2:'SalesforceData'!$C$36),0))),"")</f>
        <v>0</v>
      </c>
      <c r="O42" s="8" cm="1">
        <f t="array" ref="O42">IFERROR(IF(COUNT(INDEX(SalesforceData!$D$2:$D$36,MATCH(1,($G42=SalesforceData!$A$2:$A$36)*(O$2=SalesforceData!$B$2:'SalesforceData'!$B$36)*(O$3=SalesforceData!$C$2:'SalesforceData'!$C$36),0)))=0,INDEX(SalesforceData!$F$2:$F$36,MATCH(1,($G42=SalesforceData!$A$2:$A$36)*(O$2=SalesforceData!$B$2:'SalesforceData'!$B$36) * (O$3=SalesforceData!$E$2:'SalesforceData'!$E$36),0)),INDEX(SalesforceData!$D$2:$D$36,MATCH(1,($G42=SalesforceData!$A$2:$A$36)*(O$2=SalesforceData!$B$2:'SalesforceData'!$B$36)*(O$3=SalesforceData!$C$2:'SalesforceData'!$C$36),0))),"")</f>
        <v>0</v>
      </c>
      <c r="Q42" s="9"/>
      <c r="S42" t="str" cm="1">
        <f t="array" aca="1" ref="S42" ca="1">IF(CELL("contents",G42)=0,"",CELL("contents",G42))</f>
        <v/>
      </c>
      <c r="T42" t="str" cm="1">
        <f t="array" aca="1" ref="T42" ca="1">IF(CELL("contents",H42)=0,"",CELL("contents",H42))</f>
        <v/>
      </c>
      <c r="U42" t="str" cm="1">
        <f t="array" aca="1" ref="U42" ca="1">IF(CELL("contents",I42)=0,"",CELL("contents",I42))</f>
        <v/>
      </c>
      <c r="V42" t="str" cm="1">
        <f t="array" aca="1" ref="V42" ca="1">IF(CELL("contents",J42)=0,"",CELL("contents",J42))</f>
        <v/>
      </c>
      <c r="W42" t="str" cm="1">
        <f t="array" aca="1" ref="W42" ca="1">IF(CELL("contents",K42)=0,"",CELL("contents",K42))</f>
        <v/>
      </c>
      <c r="X42" t="str" cm="1">
        <f t="array" aca="1" ref="X42" ca="1">IF(CELL("contents",L42)=0,"",CELL("contents",L42))</f>
        <v/>
      </c>
      <c r="Y42" t="str" cm="1">
        <f t="array" aca="1" ref="Y42" ca="1">IF(CELL("contents",M42)=0,"",CELL("contents",M42))</f>
        <v/>
      </c>
      <c r="Z42" t="str" cm="1">
        <f t="array" aca="1" ref="Z42" ca="1">IF(CELL("contents",N42)=0,"",CELL("contents",N42))</f>
        <v/>
      </c>
      <c r="AA42" t="str" cm="1">
        <f t="array" aca="1" ref="AA42" ca="1">IF(CELL("contents",O42)=0,"",CELL("contents",O42))</f>
        <v/>
      </c>
    </row>
    <row r="43" spans="1:27" x14ac:dyDescent="0.35">
      <c r="A43" s="8" t="str" cm="1">
        <f t="array" ref="A43">IF(IFERROR(INDEX(SalesforceData!$A$2:'SalesforceData'!$A$36, MATCH(0, COUNTIF(DataTransformation!$A$2:'DataTransformation'!$A42, SalesforceData!$A$2:'SalesforceData'!$A$36), 0)),"") = 0,"", IFERROR(INDEX(SalesforceData!$A$2:'SalesforceData'!$A$36, MATCH(0, COUNTIF(DataTransformation!$A$2:'DataTransformation'!$A42, SalesforceData!$A$2:'SalesforceData'!$A$36), 0)),""))</f>
        <v/>
      </c>
      <c r="B43" s="8" t="str" cm="1">
        <f t="array" ref="B43">IF(IFERROR(INDEX(SalesforceData!$B$2:'SalesforceData'!$B$36, MATCH(0, COUNTIF(DataTransformation!$B$2:'DataTransformation'!$B42, SalesforceData!$B$2:'SalesforceData'!$B$36), 0)),"") = 0,"", IFERROR(INDEX(SalesforceData!$B$2:'SalesforceData'!$B$36, MATCH(0, COUNTIF(DataTransformation!$B$2:'DataTransformation'!$B42, SalesforceData!$B$2:'SalesforceData'!$B$36), 0)),""))</f>
        <v/>
      </c>
      <c r="E43" s="9"/>
      <c r="G43" s="8" t="str">
        <f t="shared" si="1"/>
        <v/>
      </c>
      <c r="H43" s="8" cm="1">
        <f t="array" ref="H43">IFERROR(IF(COUNT(INDEX(SalesforceData!$D$2:$D$36,MATCH(1,($G43=SalesforceData!$A$2:$A$36)*(H$2=SalesforceData!$B$2:'SalesforceData'!$B$36)*(H$3=SalesforceData!$C$2:'SalesforceData'!$C$36),0)))=0,INDEX(SalesforceData!$F$2:$F$36,MATCH(1,($G43=SalesforceData!$A$2:$A$36)*(H$2=SalesforceData!$B$2:'SalesforceData'!$B$36) * (H$3=SalesforceData!$E$2:'SalesforceData'!$E$36),0)),INDEX(SalesforceData!$D$2:$D$36,MATCH(1,($G43=SalesforceData!$A$2:$A$36)*(H$2=SalesforceData!$B$2:'SalesforceData'!$B$36)*(H$3=SalesforceData!$C$2:'SalesforceData'!$C$36),0))),"")</f>
        <v>0</v>
      </c>
      <c r="I43" s="8" cm="1">
        <f t="array" ref="I43">IFERROR(IF(COUNT(INDEX(SalesforceData!$D$2:$D$36,MATCH(1,($G43=SalesforceData!$A$2:$A$36)*(I$2=SalesforceData!$B$2:'SalesforceData'!$B$36)*(I$3=SalesforceData!$C$2:'SalesforceData'!$C$36),0)))=0,INDEX(SalesforceData!$F$2:$F$36,MATCH(1,($G43=SalesforceData!$A$2:$A$36)*(I$2=SalesforceData!$B$2:'SalesforceData'!$B$36) * (I$3=SalesforceData!$E$2:'SalesforceData'!$E$36),0)),INDEX(SalesforceData!$D$2:$D$36,MATCH(1,($G43=SalesforceData!$A$2:$A$36)*(I$2=SalesforceData!$B$2:'SalesforceData'!$B$36)*(I$3=SalesforceData!$C$2:'SalesforceData'!$C$36),0))),"")</f>
        <v>0</v>
      </c>
      <c r="J43" s="8" cm="1">
        <f t="array" ref="J43">IFERROR(IF(COUNT(INDEX(SalesforceData!$D$2:$D$36,MATCH(1,($G43=SalesforceData!$A$2:$A$36)*(J$2=SalesforceData!$B$2:'SalesforceData'!$B$36)*(J$3=SalesforceData!$C$2:'SalesforceData'!$C$36),0)))=0,INDEX(SalesforceData!$F$2:$F$36,MATCH(1,($G43=SalesforceData!$A$2:$A$36)*(J$2=SalesforceData!$B$2:'SalesforceData'!$B$36) * (J$3=SalesforceData!$E$2:'SalesforceData'!$E$36),0)),INDEX(SalesforceData!$D$2:$D$36,MATCH(1,($G43=SalesforceData!$A$2:$A$36)*(J$2=SalesforceData!$B$2:'SalesforceData'!$B$36)*(J$3=SalesforceData!$C$2:'SalesforceData'!$C$36),0))),"")</f>
        <v>0</v>
      </c>
      <c r="K43" s="8" cm="1">
        <f t="array" ref="K43">IFERROR(IF(COUNT(INDEX(SalesforceData!$D$2:$D$36,MATCH(1,($G43=SalesforceData!$A$2:$A$36)*(K$2=SalesforceData!$B$2:'SalesforceData'!$B$36)*(K$3=SalesforceData!$C$2:'SalesforceData'!$C$36),0)))=0,INDEX(SalesforceData!$F$2:$F$36,MATCH(1,($G43=SalesforceData!$A$2:$A$36)*(K$2=SalesforceData!$B$2:'SalesforceData'!$B$36) * (K$3=SalesforceData!$E$2:'SalesforceData'!$E$36),0)),INDEX(SalesforceData!$D$2:$D$36,MATCH(1,($G43=SalesforceData!$A$2:$A$36)*(K$2=SalesforceData!$B$2:'SalesforceData'!$B$36)*(K$3=SalesforceData!$C$2:'SalesforceData'!$C$36),0))),"")</f>
        <v>0</v>
      </c>
      <c r="L43" s="8" cm="1">
        <f t="array" ref="L43">IFERROR(IF(COUNT(INDEX(SalesforceData!$D$2:$D$36,MATCH(1,($G43=SalesforceData!$A$2:$A$36)*(L$2=SalesforceData!$B$2:'SalesforceData'!$B$36)*(L$3=SalesforceData!$C$2:'SalesforceData'!$C$36),0)))=0,INDEX(SalesforceData!$F$2:$F$36,MATCH(1,($G43=SalesforceData!$A$2:$A$36)*(L$2=SalesforceData!$B$2:'SalesforceData'!$B$36) * (L$3=SalesforceData!$E$2:'SalesforceData'!$E$36),0)),INDEX(SalesforceData!$D$2:$D$36,MATCH(1,($G43=SalesforceData!$A$2:$A$36)*(L$2=SalesforceData!$B$2:'SalesforceData'!$B$36)*(L$3=SalesforceData!$C$2:'SalesforceData'!$C$36),0))),"")</f>
        <v>0</v>
      </c>
      <c r="M43" s="8" cm="1">
        <f t="array" ref="M43">IFERROR(IF(COUNT(INDEX(SalesforceData!$D$2:$D$36,MATCH(1,($G43=SalesforceData!$A$2:$A$36)*(M$2=SalesforceData!$B$2:'SalesforceData'!$B$36)*(M$3=SalesforceData!$C$2:'SalesforceData'!$C$36),0)))=0,INDEX(SalesforceData!$F$2:$F$36,MATCH(1,($G43=SalesforceData!$A$2:$A$36)*(M$2=SalesforceData!$B$2:'SalesforceData'!$B$36) * (M$3=SalesforceData!$E$2:'SalesforceData'!$E$36),0)),INDEX(SalesforceData!$D$2:$D$36,MATCH(1,($G43=SalesforceData!$A$2:$A$36)*(M$2=SalesforceData!$B$2:'SalesforceData'!$B$36)*(M$3=SalesforceData!$C$2:'SalesforceData'!$C$36),0))),"")</f>
        <v>0</v>
      </c>
      <c r="N43" s="8" cm="1">
        <f t="array" ref="N43">IFERROR(IF(COUNT(INDEX(SalesforceData!$D$2:$D$36,MATCH(1,($G43=SalesforceData!$A$2:$A$36)*(N$2=SalesforceData!$B$2:'SalesforceData'!$B$36)*(N$3=SalesforceData!$C$2:'SalesforceData'!$C$36),0)))=0,INDEX(SalesforceData!$F$2:$F$36,MATCH(1,($G43=SalesforceData!$A$2:$A$36)*(N$2=SalesforceData!$B$2:'SalesforceData'!$B$36) * (N$3=SalesforceData!$E$2:'SalesforceData'!$E$36),0)),INDEX(SalesforceData!$D$2:$D$36,MATCH(1,($G43=SalesforceData!$A$2:$A$36)*(N$2=SalesforceData!$B$2:'SalesforceData'!$B$36)*(N$3=SalesforceData!$C$2:'SalesforceData'!$C$36),0))),"")</f>
        <v>0</v>
      </c>
      <c r="O43" s="8" cm="1">
        <f t="array" ref="O43">IFERROR(IF(COUNT(INDEX(SalesforceData!$D$2:$D$36,MATCH(1,($G43=SalesforceData!$A$2:$A$36)*(O$2=SalesforceData!$B$2:'SalesforceData'!$B$36)*(O$3=SalesforceData!$C$2:'SalesforceData'!$C$36),0)))=0,INDEX(SalesforceData!$F$2:$F$36,MATCH(1,($G43=SalesforceData!$A$2:$A$36)*(O$2=SalesforceData!$B$2:'SalesforceData'!$B$36) * (O$3=SalesforceData!$E$2:'SalesforceData'!$E$36),0)),INDEX(SalesforceData!$D$2:$D$36,MATCH(1,($G43=SalesforceData!$A$2:$A$36)*(O$2=SalesforceData!$B$2:'SalesforceData'!$B$36)*(O$3=SalesforceData!$C$2:'SalesforceData'!$C$36),0))),"")</f>
        <v>0</v>
      </c>
      <c r="Q43" s="9"/>
      <c r="S43" t="str" cm="1">
        <f t="array" aca="1" ref="S43" ca="1">IF(CELL("contents",G43)=0,"",CELL("contents",G43))</f>
        <v/>
      </c>
      <c r="T43" t="str" cm="1">
        <f t="array" aca="1" ref="T43" ca="1">IF(CELL("contents",H43)=0,"",CELL("contents",H43))</f>
        <v/>
      </c>
      <c r="U43" t="str" cm="1">
        <f t="array" aca="1" ref="U43" ca="1">IF(CELL("contents",I43)=0,"",CELL("contents",I43))</f>
        <v/>
      </c>
      <c r="V43" t="str" cm="1">
        <f t="array" aca="1" ref="V43" ca="1">IF(CELL("contents",J43)=0,"",CELL("contents",J43))</f>
        <v/>
      </c>
      <c r="W43" t="str" cm="1">
        <f t="array" aca="1" ref="W43" ca="1">IF(CELL("contents",K43)=0,"",CELL("contents",K43))</f>
        <v/>
      </c>
      <c r="X43" t="str" cm="1">
        <f t="array" aca="1" ref="X43" ca="1">IF(CELL("contents",L43)=0,"",CELL("contents",L43))</f>
        <v/>
      </c>
      <c r="Y43" t="str" cm="1">
        <f t="array" aca="1" ref="Y43" ca="1">IF(CELL("contents",M43)=0,"",CELL("contents",M43))</f>
        <v/>
      </c>
      <c r="Z43" t="str" cm="1">
        <f t="array" aca="1" ref="Z43" ca="1">IF(CELL("contents",N43)=0,"",CELL("contents",N43))</f>
        <v/>
      </c>
      <c r="AA43" t="str" cm="1">
        <f t="array" aca="1" ref="AA43" ca="1">IF(CELL("contents",O43)=0,"",CELL("contents",O43))</f>
        <v/>
      </c>
    </row>
    <row r="44" spans="1:27" x14ac:dyDescent="0.35">
      <c r="A44" s="8" t="str" cm="1">
        <f t="array" ref="A44">IF(IFERROR(INDEX(SalesforceData!$A$2:'SalesforceData'!$A$36, MATCH(0, COUNTIF(DataTransformation!$A$2:'DataTransformation'!$A43, SalesforceData!$A$2:'SalesforceData'!$A$36), 0)),"") = 0,"", IFERROR(INDEX(SalesforceData!$A$2:'SalesforceData'!$A$36, MATCH(0, COUNTIF(DataTransformation!$A$2:'DataTransformation'!$A43, SalesforceData!$A$2:'SalesforceData'!$A$36), 0)),""))</f>
        <v/>
      </c>
      <c r="B44" s="8" t="str" cm="1">
        <f t="array" ref="B44">IF(IFERROR(INDEX(SalesforceData!$B$2:'SalesforceData'!$B$36, MATCH(0, COUNTIF(DataTransformation!$B$2:'DataTransformation'!$B43, SalesforceData!$B$2:'SalesforceData'!$B$36), 0)),"") = 0,"", IFERROR(INDEX(SalesforceData!$B$2:'SalesforceData'!$B$36, MATCH(0, COUNTIF(DataTransformation!$B$2:'DataTransformation'!$B43, SalesforceData!$B$2:'SalesforceData'!$B$36), 0)),""))</f>
        <v/>
      </c>
      <c r="E44" s="9"/>
      <c r="G44" s="8" t="str">
        <f t="shared" si="1"/>
        <v/>
      </c>
      <c r="H44" s="8" cm="1">
        <f t="array" ref="H44">IFERROR(IF(COUNT(INDEX(SalesforceData!$D$2:$D$36,MATCH(1,($G44=SalesforceData!$A$2:$A$36)*(H$2=SalesforceData!$B$2:'SalesforceData'!$B$36)*(H$3=SalesforceData!$C$2:'SalesforceData'!$C$36),0)))=0,INDEX(SalesforceData!$F$2:$F$36,MATCH(1,($G44=SalesforceData!$A$2:$A$36)*(H$2=SalesforceData!$B$2:'SalesforceData'!$B$36) * (H$3=SalesforceData!$E$2:'SalesforceData'!$E$36),0)),INDEX(SalesforceData!$D$2:$D$36,MATCH(1,($G44=SalesforceData!$A$2:$A$36)*(H$2=SalesforceData!$B$2:'SalesforceData'!$B$36)*(H$3=SalesforceData!$C$2:'SalesforceData'!$C$36),0))),"")</f>
        <v>0</v>
      </c>
      <c r="I44" s="8" cm="1">
        <f t="array" ref="I44">IFERROR(IF(COUNT(INDEX(SalesforceData!$D$2:$D$36,MATCH(1,($G44=SalesforceData!$A$2:$A$36)*(I$2=SalesforceData!$B$2:'SalesforceData'!$B$36)*(I$3=SalesforceData!$C$2:'SalesforceData'!$C$36),0)))=0,INDEX(SalesforceData!$F$2:$F$36,MATCH(1,($G44=SalesforceData!$A$2:$A$36)*(I$2=SalesforceData!$B$2:'SalesforceData'!$B$36) * (I$3=SalesforceData!$E$2:'SalesforceData'!$E$36),0)),INDEX(SalesforceData!$D$2:$D$36,MATCH(1,($G44=SalesforceData!$A$2:$A$36)*(I$2=SalesforceData!$B$2:'SalesforceData'!$B$36)*(I$3=SalesforceData!$C$2:'SalesforceData'!$C$36),0))),"")</f>
        <v>0</v>
      </c>
      <c r="J44" s="8" cm="1">
        <f t="array" ref="J44">IFERROR(IF(COUNT(INDEX(SalesforceData!$D$2:$D$36,MATCH(1,($G44=SalesforceData!$A$2:$A$36)*(J$2=SalesforceData!$B$2:'SalesforceData'!$B$36)*(J$3=SalesforceData!$C$2:'SalesforceData'!$C$36),0)))=0,INDEX(SalesforceData!$F$2:$F$36,MATCH(1,($G44=SalesforceData!$A$2:$A$36)*(J$2=SalesforceData!$B$2:'SalesforceData'!$B$36) * (J$3=SalesforceData!$E$2:'SalesforceData'!$E$36),0)),INDEX(SalesforceData!$D$2:$D$36,MATCH(1,($G44=SalesforceData!$A$2:$A$36)*(J$2=SalesforceData!$B$2:'SalesforceData'!$B$36)*(J$3=SalesforceData!$C$2:'SalesforceData'!$C$36),0))),"")</f>
        <v>0</v>
      </c>
      <c r="K44" s="8" cm="1">
        <f t="array" ref="K44">IFERROR(IF(COUNT(INDEX(SalesforceData!$D$2:$D$36,MATCH(1,($G44=SalesforceData!$A$2:$A$36)*(K$2=SalesforceData!$B$2:'SalesforceData'!$B$36)*(K$3=SalesforceData!$C$2:'SalesforceData'!$C$36),0)))=0,INDEX(SalesforceData!$F$2:$F$36,MATCH(1,($G44=SalesforceData!$A$2:$A$36)*(K$2=SalesforceData!$B$2:'SalesforceData'!$B$36) * (K$3=SalesforceData!$E$2:'SalesforceData'!$E$36),0)),INDEX(SalesforceData!$D$2:$D$36,MATCH(1,($G44=SalesforceData!$A$2:$A$36)*(K$2=SalesforceData!$B$2:'SalesforceData'!$B$36)*(K$3=SalesforceData!$C$2:'SalesforceData'!$C$36),0))),"")</f>
        <v>0</v>
      </c>
      <c r="L44" s="8" cm="1">
        <f t="array" ref="L44">IFERROR(IF(COUNT(INDEX(SalesforceData!$D$2:$D$36,MATCH(1,($G44=SalesforceData!$A$2:$A$36)*(L$2=SalesforceData!$B$2:'SalesforceData'!$B$36)*(L$3=SalesforceData!$C$2:'SalesforceData'!$C$36),0)))=0,INDEX(SalesforceData!$F$2:$F$36,MATCH(1,($G44=SalesforceData!$A$2:$A$36)*(L$2=SalesforceData!$B$2:'SalesforceData'!$B$36) * (L$3=SalesforceData!$E$2:'SalesforceData'!$E$36),0)),INDEX(SalesforceData!$D$2:$D$36,MATCH(1,($G44=SalesforceData!$A$2:$A$36)*(L$2=SalesforceData!$B$2:'SalesforceData'!$B$36)*(L$3=SalesforceData!$C$2:'SalesforceData'!$C$36),0))),"")</f>
        <v>0</v>
      </c>
      <c r="M44" s="8" cm="1">
        <f t="array" ref="M44">IFERROR(IF(COUNT(INDEX(SalesforceData!$D$2:$D$36,MATCH(1,($G44=SalesforceData!$A$2:$A$36)*(M$2=SalesforceData!$B$2:'SalesforceData'!$B$36)*(M$3=SalesforceData!$C$2:'SalesforceData'!$C$36),0)))=0,INDEX(SalesforceData!$F$2:$F$36,MATCH(1,($G44=SalesforceData!$A$2:$A$36)*(M$2=SalesforceData!$B$2:'SalesforceData'!$B$36) * (M$3=SalesforceData!$E$2:'SalesforceData'!$E$36),0)),INDEX(SalesforceData!$D$2:$D$36,MATCH(1,($G44=SalesforceData!$A$2:$A$36)*(M$2=SalesforceData!$B$2:'SalesforceData'!$B$36)*(M$3=SalesforceData!$C$2:'SalesforceData'!$C$36),0))),"")</f>
        <v>0</v>
      </c>
      <c r="N44" s="8" cm="1">
        <f t="array" ref="N44">IFERROR(IF(COUNT(INDEX(SalesforceData!$D$2:$D$36,MATCH(1,($G44=SalesforceData!$A$2:$A$36)*(N$2=SalesforceData!$B$2:'SalesforceData'!$B$36)*(N$3=SalesforceData!$C$2:'SalesforceData'!$C$36),0)))=0,INDEX(SalesforceData!$F$2:$F$36,MATCH(1,($G44=SalesforceData!$A$2:$A$36)*(N$2=SalesforceData!$B$2:'SalesforceData'!$B$36) * (N$3=SalesforceData!$E$2:'SalesforceData'!$E$36),0)),INDEX(SalesforceData!$D$2:$D$36,MATCH(1,($G44=SalesforceData!$A$2:$A$36)*(N$2=SalesforceData!$B$2:'SalesforceData'!$B$36)*(N$3=SalesforceData!$C$2:'SalesforceData'!$C$36),0))),"")</f>
        <v>0</v>
      </c>
      <c r="O44" s="8" cm="1">
        <f t="array" ref="O44">IFERROR(IF(COUNT(INDEX(SalesforceData!$D$2:$D$36,MATCH(1,($G44=SalesforceData!$A$2:$A$36)*(O$2=SalesforceData!$B$2:'SalesforceData'!$B$36)*(O$3=SalesforceData!$C$2:'SalesforceData'!$C$36),0)))=0,INDEX(SalesforceData!$F$2:$F$36,MATCH(1,($G44=SalesforceData!$A$2:$A$36)*(O$2=SalesforceData!$B$2:'SalesforceData'!$B$36) * (O$3=SalesforceData!$E$2:'SalesforceData'!$E$36),0)),INDEX(SalesforceData!$D$2:$D$36,MATCH(1,($G44=SalesforceData!$A$2:$A$36)*(O$2=SalesforceData!$B$2:'SalesforceData'!$B$36)*(O$3=SalesforceData!$C$2:'SalesforceData'!$C$36),0))),"")</f>
        <v>0</v>
      </c>
      <c r="Q44" s="9"/>
      <c r="S44" t="str" cm="1">
        <f t="array" aca="1" ref="S44" ca="1">IF(CELL("contents",G44)=0,"",CELL("contents",G44))</f>
        <v/>
      </c>
      <c r="T44" t="str" cm="1">
        <f t="array" aca="1" ref="T44" ca="1">IF(CELL("contents",H44)=0,"",CELL("contents",H44))</f>
        <v/>
      </c>
      <c r="U44" t="str" cm="1">
        <f t="array" aca="1" ref="U44" ca="1">IF(CELL("contents",I44)=0,"",CELL("contents",I44))</f>
        <v/>
      </c>
      <c r="V44" t="str" cm="1">
        <f t="array" aca="1" ref="V44" ca="1">IF(CELL("contents",J44)=0,"",CELL("contents",J44))</f>
        <v/>
      </c>
      <c r="W44" t="str" cm="1">
        <f t="array" aca="1" ref="W44" ca="1">IF(CELL("contents",K44)=0,"",CELL("contents",K44))</f>
        <v/>
      </c>
      <c r="X44" t="str" cm="1">
        <f t="array" aca="1" ref="X44" ca="1">IF(CELL("contents",L44)=0,"",CELL("contents",L44))</f>
        <v/>
      </c>
      <c r="Y44" t="str" cm="1">
        <f t="array" aca="1" ref="Y44" ca="1">IF(CELL("contents",M44)=0,"",CELL("contents",M44))</f>
        <v/>
      </c>
      <c r="Z44" t="str" cm="1">
        <f t="array" aca="1" ref="Z44" ca="1">IF(CELL("contents",N44)=0,"",CELL("contents",N44))</f>
        <v/>
      </c>
      <c r="AA44" t="str" cm="1">
        <f t="array" aca="1" ref="AA44" ca="1">IF(CELL("contents",O44)=0,"",CELL("contents",O44))</f>
        <v/>
      </c>
    </row>
    <row r="45" spans="1:27" x14ac:dyDescent="0.35">
      <c r="A45" s="8" t="str" cm="1">
        <f t="array" ref="A45">IF(IFERROR(INDEX(SalesforceData!$A$2:'SalesforceData'!$A$36, MATCH(0, COUNTIF(DataTransformation!$A$2:'DataTransformation'!$A44, SalesforceData!$A$2:'SalesforceData'!$A$36), 0)),"") = 0,"", IFERROR(INDEX(SalesforceData!$A$2:'SalesforceData'!$A$36, MATCH(0, COUNTIF(DataTransformation!$A$2:'DataTransformation'!$A44, SalesforceData!$A$2:'SalesforceData'!$A$36), 0)),""))</f>
        <v/>
      </c>
      <c r="B45" s="8" t="str" cm="1">
        <f t="array" ref="B45">IF(IFERROR(INDEX(SalesforceData!$B$2:'SalesforceData'!$B$36, MATCH(0, COUNTIF(DataTransformation!$B$2:'DataTransformation'!$B44, SalesforceData!$B$2:'SalesforceData'!$B$36), 0)),"") = 0,"", IFERROR(INDEX(SalesforceData!$B$2:'SalesforceData'!$B$36, MATCH(0, COUNTIF(DataTransformation!$B$2:'DataTransformation'!$B44, SalesforceData!$B$2:'SalesforceData'!$B$36), 0)),""))</f>
        <v/>
      </c>
      <c r="E45" s="9"/>
      <c r="G45" s="8" t="str">
        <f t="shared" si="1"/>
        <v/>
      </c>
      <c r="H45" s="8" cm="1">
        <f t="array" ref="H45">IFERROR(IF(COUNT(INDEX(SalesforceData!$D$2:$D$36,MATCH(1,($G45=SalesforceData!$A$2:$A$36)*(H$2=SalesforceData!$B$2:'SalesforceData'!$B$36)*(H$3=SalesforceData!$C$2:'SalesforceData'!$C$36),0)))=0,INDEX(SalesforceData!$F$2:$F$36,MATCH(1,($G45=SalesforceData!$A$2:$A$36)*(H$2=SalesforceData!$B$2:'SalesforceData'!$B$36) * (H$3=SalesforceData!$E$2:'SalesforceData'!$E$36),0)),INDEX(SalesforceData!$D$2:$D$36,MATCH(1,($G45=SalesforceData!$A$2:$A$36)*(H$2=SalesforceData!$B$2:'SalesforceData'!$B$36)*(H$3=SalesforceData!$C$2:'SalesforceData'!$C$36),0))),"")</f>
        <v>0</v>
      </c>
      <c r="I45" s="8" cm="1">
        <f t="array" ref="I45">IFERROR(IF(COUNT(INDEX(SalesforceData!$D$2:$D$36,MATCH(1,($G45=SalesforceData!$A$2:$A$36)*(I$2=SalesforceData!$B$2:'SalesforceData'!$B$36)*(I$3=SalesforceData!$C$2:'SalesforceData'!$C$36),0)))=0,INDEX(SalesforceData!$F$2:$F$36,MATCH(1,($G45=SalesforceData!$A$2:$A$36)*(I$2=SalesforceData!$B$2:'SalesforceData'!$B$36) * (I$3=SalesforceData!$E$2:'SalesforceData'!$E$36),0)),INDEX(SalesforceData!$D$2:$D$36,MATCH(1,($G45=SalesforceData!$A$2:$A$36)*(I$2=SalesforceData!$B$2:'SalesforceData'!$B$36)*(I$3=SalesforceData!$C$2:'SalesforceData'!$C$36),0))),"")</f>
        <v>0</v>
      </c>
      <c r="J45" s="8" cm="1">
        <f t="array" ref="J45">IFERROR(IF(COUNT(INDEX(SalesforceData!$D$2:$D$36,MATCH(1,($G45=SalesforceData!$A$2:$A$36)*(J$2=SalesforceData!$B$2:'SalesforceData'!$B$36)*(J$3=SalesforceData!$C$2:'SalesforceData'!$C$36),0)))=0,INDEX(SalesforceData!$F$2:$F$36,MATCH(1,($G45=SalesforceData!$A$2:$A$36)*(J$2=SalesforceData!$B$2:'SalesforceData'!$B$36) * (J$3=SalesforceData!$E$2:'SalesforceData'!$E$36),0)),INDEX(SalesforceData!$D$2:$D$36,MATCH(1,($G45=SalesforceData!$A$2:$A$36)*(J$2=SalesforceData!$B$2:'SalesforceData'!$B$36)*(J$3=SalesforceData!$C$2:'SalesforceData'!$C$36),0))),"")</f>
        <v>0</v>
      </c>
      <c r="K45" s="8" cm="1">
        <f t="array" ref="K45">IFERROR(IF(COUNT(INDEX(SalesforceData!$D$2:$D$36,MATCH(1,($G45=SalesforceData!$A$2:$A$36)*(K$2=SalesforceData!$B$2:'SalesforceData'!$B$36)*(K$3=SalesforceData!$C$2:'SalesforceData'!$C$36),0)))=0,INDEX(SalesforceData!$F$2:$F$36,MATCH(1,($G45=SalesforceData!$A$2:$A$36)*(K$2=SalesforceData!$B$2:'SalesforceData'!$B$36) * (K$3=SalesforceData!$E$2:'SalesforceData'!$E$36),0)),INDEX(SalesforceData!$D$2:$D$36,MATCH(1,($G45=SalesforceData!$A$2:$A$36)*(K$2=SalesforceData!$B$2:'SalesforceData'!$B$36)*(K$3=SalesforceData!$C$2:'SalesforceData'!$C$36),0))),"")</f>
        <v>0</v>
      </c>
      <c r="L45" s="8" cm="1">
        <f t="array" ref="L45">IFERROR(IF(COUNT(INDEX(SalesforceData!$D$2:$D$36,MATCH(1,($G45=SalesforceData!$A$2:$A$36)*(L$2=SalesforceData!$B$2:'SalesforceData'!$B$36)*(L$3=SalesforceData!$C$2:'SalesforceData'!$C$36),0)))=0,INDEX(SalesforceData!$F$2:$F$36,MATCH(1,($G45=SalesforceData!$A$2:$A$36)*(L$2=SalesforceData!$B$2:'SalesforceData'!$B$36) * (L$3=SalesforceData!$E$2:'SalesforceData'!$E$36),0)),INDEX(SalesforceData!$D$2:$D$36,MATCH(1,($G45=SalesforceData!$A$2:$A$36)*(L$2=SalesforceData!$B$2:'SalesforceData'!$B$36)*(L$3=SalesforceData!$C$2:'SalesforceData'!$C$36),0))),"")</f>
        <v>0</v>
      </c>
      <c r="M45" s="8" cm="1">
        <f t="array" ref="M45">IFERROR(IF(COUNT(INDEX(SalesforceData!$D$2:$D$36,MATCH(1,($G45=SalesforceData!$A$2:$A$36)*(M$2=SalesforceData!$B$2:'SalesforceData'!$B$36)*(M$3=SalesforceData!$C$2:'SalesforceData'!$C$36),0)))=0,INDEX(SalesforceData!$F$2:$F$36,MATCH(1,($G45=SalesforceData!$A$2:$A$36)*(M$2=SalesforceData!$B$2:'SalesforceData'!$B$36) * (M$3=SalesforceData!$E$2:'SalesforceData'!$E$36),0)),INDEX(SalesforceData!$D$2:$D$36,MATCH(1,($G45=SalesforceData!$A$2:$A$36)*(M$2=SalesforceData!$B$2:'SalesforceData'!$B$36)*(M$3=SalesforceData!$C$2:'SalesforceData'!$C$36),0))),"")</f>
        <v>0</v>
      </c>
      <c r="N45" s="8" cm="1">
        <f t="array" ref="N45">IFERROR(IF(COUNT(INDEX(SalesforceData!$D$2:$D$36,MATCH(1,($G45=SalesforceData!$A$2:$A$36)*(N$2=SalesforceData!$B$2:'SalesforceData'!$B$36)*(N$3=SalesforceData!$C$2:'SalesforceData'!$C$36),0)))=0,INDEX(SalesforceData!$F$2:$F$36,MATCH(1,($G45=SalesforceData!$A$2:$A$36)*(N$2=SalesforceData!$B$2:'SalesforceData'!$B$36) * (N$3=SalesforceData!$E$2:'SalesforceData'!$E$36),0)),INDEX(SalesforceData!$D$2:$D$36,MATCH(1,($G45=SalesforceData!$A$2:$A$36)*(N$2=SalesforceData!$B$2:'SalesforceData'!$B$36)*(N$3=SalesforceData!$C$2:'SalesforceData'!$C$36),0))),"")</f>
        <v>0</v>
      </c>
      <c r="O45" s="8" cm="1">
        <f t="array" ref="O45">IFERROR(IF(COUNT(INDEX(SalesforceData!$D$2:$D$36,MATCH(1,($G45=SalesforceData!$A$2:$A$36)*(O$2=SalesforceData!$B$2:'SalesforceData'!$B$36)*(O$3=SalesforceData!$C$2:'SalesforceData'!$C$36),0)))=0,INDEX(SalesforceData!$F$2:$F$36,MATCH(1,($G45=SalesforceData!$A$2:$A$36)*(O$2=SalesforceData!$B$2:'SalesforceData'!$B$36) * (O$3=SalesforceData!$E$2:'SalesforceData'!$E$36),0)),INDEX(SalesforceData!$D$2:$D$36,MATCH(1,($G45=SalesforceData!$A$2:$A$36)*(O$2=SalesforceData!$B$2:'SalesforceData'!$B$36)*(O$3=SalesforceData!$C$2:'SalesforceData'!$C$36),0))),"")</f>
        <v>0</v>
      </c>
      <c r="Q45" s="9"/>
      <c r="S45" t="str" cm="1">
        <f t="array" aca="1" ref="S45" ca="1">IF(CELL("contents",G45)=0,"",CELL("contents",G45))</f>
        <v/>
      </c>
      <c r="T45" t="str" cm="1">
        <f t="array" aca="1" ref="T45" ca="1">IF(CELL("contents",H45)=0,"",CELL("contents",H45))</f>
        <v/>
      </c>
      <c r="U45" t="str" cm="1">
        <f t="array" aca="1" ref="U45" ca="1">IF(CELL("contents",I45)=0,"",CELL("contents",I45))</f>
        <v/>
      </c>
      <c r="V45" t="str" cm="1">
        <f t="array" aca="1" ref="V45" ca="1">IF(CELL("contents",J45)=0,"",CELL("contents",J45))</f>
        <v/>
      </c>
      <c r="W45" t="str" cm="1">
        <f t="array" aca="1" ref="W45" ca="1">IF(CELL("contents",K45)=0,"",CELL("contents",K45))</f>
        <v/>
      </c>
      <c r="X45" t="str" cm="1">
        <f t="array" aca="1" ref="X45" ca="1">IF(CELL("contents",L45)=0,"",CELL("contents",L45))</f>
        <v/>
      </c>
      <c r="Y45" t="str" cm="1">
        <f t="array" aca="1" ref="Y45" ca="1">IF(CELL("contents",M45)=0,"",CELL("contents",M45))</f>
        <v/>
      </c>
      <c r="Z45" t="str" cm="1">
        <f t="array" aca="1" ref="Z45" ca="1">IF(CELL("contents",N45)=0,"",CELL("contents",N45))</f>
        <v/>
      </c>
      <c r="AA45" t="str" cm="1">
        <f t="array" aca="1" ref="AA45" ca="1">IF(CELL("contents",O45)=0,"",CELL("contents",O45))</f>
        <v/>
      </c>
    </row>
    <row r="46" spans="1:27" x14ac:dyDescent="0.35">
      <c r="A46" s="8" t="str" cm="1">
        <f t="array" ref="A46">IF(IFERROR(INDEX(SalesforceData!$A$2:'SalesforceData'!$A$36, MATCH(0, COUNTIF(DataTransformation!$A$2:'DataTransformation'!$A45, SalesforceData!$A$2:'SalesforceData'!$A$36), 0)),"") = 0,"", IFERROR(INDEX(SalesforceData!$A$2:'SalesforceData'!$A$36, MATCH(0, COUNTIF(DataTransformation!$A$2:'DataTransformation'!$A45, SalesforceData!$A$2:'SalesforceData'!$A$36), 0)),""))</f>
        <v/>
      </c>
      <c r="B46" s="8" t="str" cm="1">
        <f t="array" ref="B46">IF(IFERROR(INDEX(SalesforceData!$B$2:'SalesforceData'!$B$36, MATCH(0, COUNTIF(DataTransformation!$B$2:'DataTransformation'!$B45, SalesforceData!$B$2:'SalesforceData'!$B$36), 0)),"") = 0,"", IFERROR(INDEX(SalesforceData!$B$2:'SalesforceData'!$B$36, MATCH(0, COUNTIF(DataTransformation!$B$2:'DataTransformation'!$B45, SalesforceData!$B$2:'SalesforceData'!$B$36), 0)),""))</f>
        <v/>
      </c>
      <c r="E46" s="9"/>
      <c r="G46" s="8" t="str">
        <f t="shared" si="1"/>
        <v/>
      </c>
      <c r="H46" s="8" cm="1">
        <f t="array" ref="H46">IFERROR(IF(COUNT(INDEX(SalesforceData!$D$2:$D$36,MATCH(1,($G46=SalesforceData!$A$2:$A$36)*(H$2=SalesforceData!$B$2:'SalesforceData'!$B$36)*(H$3=SalesforceData!$C$2:'SalesforceData'!$C$36),0)))=0,INDEX(SalesforceData!$F$2:$F$36,MATCH(1,($G46=SalesforceData!$A$2:$A$36)*(H$2=SalesforceData!$B$2:'SalesforceData'!$B$36) * (H$3=SalesforceData!$E$2:'SalesforceData'!$E$36),0)),INDEX(SalesforceData!$D$2:$D$36,MATCH(1,($G46=SalesforceData!$A$2:$A$36)*(H$2=SalesforceData!$B$2:'SalesforceData'!$B$36)*(H$3=SalesforceData!$C$2:'SalesforceData'!$C$36),0))),"")</f>
        <v>0</v>
      </c>
      <c r="I46" s="8" cm="1">
        <f t="array" ref="I46">IFERROR(IF(COUNT(INDEX(SalesforceData!$D$2:$D$36,MATCH(1,($G46=SalesforceData!$A$2:$A$36)*(I$2=SalesforceData!$B$2:'SalesforceData'!$B$36)*(I$3=SalesforceData!$C$2:'SalesforceData'!$C$36),0)))=0,INDEX(SalesforceData!$F$2:$F$36,MATCH(1,($G46=SalesforceData!$A$2:$A$36)*(I$2=SalesforceData!$B$2:'SalesforceData'!$B$36) * (I$3=SalesforceData!$E$2:'SalesforceData'!$E$36),0)),INDEX(SalesforceData!$D$2:$D$36,MATCH(1,($G46=SalesforceData!$A$2:$A$36)*(I$2=SalesforceData!$B$2:'SalesforceData'!$B$36)*(I$3=SalesforceData!$C$2:'SalesforceData'!$C$36),0))),"")</f>
        <v>0</v>
      </c>
      <c r="J46" s="8" cm="1">
        <f t="array" ref="J46">IFERROR(IF(COUNT(INDEX(SalesforceData!$D$2:$D$36,MATCH(1,($G46=SalesforceData!$A$2:$A$36)*(J$2=SalesforceData!$B$2:'SalesforceData'!$B$36)*(J$3=SalesforceData!$C$2:'SalesforceData'!$C$36),0)))=0,INDEX(SalesforceData!$F$2:$F$36,MATCH(1,($G46=SalesforceData!$A$2:$A$36)*(J$2=SalesforceData!$B$2:'SalesforceData'!$B$36) * (J$3=SalesforceData!$E$2:'SalesforceData'!$E$36),0)),INDEX(SalesforceData!$D$2:$D$36,MATCH(1,($G46=SalesforceData!$A$2:$A$36)*(J$2=SalesforceData!$B$2:'SalesforceData'!$B$36)*(J$3=SalesforceData!$C$2:'SalesforceData'!$C$36),0))),"")</f>
        <v>0</v>
      </c>
      <c r="K46" s="8" cm="1">
        <f t="array" ref="K46">IFERROR(IF(COUNT(INDEX(SalesforceData!$D$2:$D$36,MATCH(1,($G46=SalesforceData!$A$2:$A$36)*(K$2=SalesforceData!$B$2:'SalesforceData'!$B$36)*(K$3=SalesforceData!$C$2:'SalesforceData'!$C$36),0)))=0,INDEX(SalesforceData!$F$2:$F$36,MATCH(1,($G46=SalesforceData!$A$2:$A$36)*(K$2=SalesforceData!$B$2:'SalesforceData'!$B$36) * (K$3=SalesforceData!$E$2:'SalesforceData'!$E$36),0)),INDEX(SalesforceData!$D$2:$D$36,MATCH(1,($G46=SalesforceData!$A$2:$A$36)*(K$2=SalesforceData!$B$2:'SalesforceData'!$B$36)*(K$3=SalesforceData!$C$2:'SalesforceData'!$C$36),0))),"")</f>
        <v>0</v>
      </c>
      <c r="L46" s="8" cm="1">
        <f t="array" ref="L46">IFERROR(IF(COUNT(INDEX(SalesforceData!$D$2:$D$36,MATCH(1,($G46=SalesforceData!$A$2:$A$36)*(L$2=SalesforceData!$B$2:'SalesforceData'!$B$36)*(L$3=SalesforceData!$C$2:'SalesforceData'!$C$36),0)))=0,INDEX(SalesforceData!$F$2:$F$36,MATCH(1,($G46=SalesforceData!$A$2:$A$36)*(L$2=SalesforceData!$B$2:'SalesforceData'!$B$36) * (L$3=SalesforceData!$E$2:'SalesforceData'!$E$36),0)),INDEX(SalesforceData!$D$2:$D$36,MATCH(1,($G46=SalesforceData!$A$2:$A$36)*(L$2=SalesforceData!$B$2:'SalesforceData'!$B$36)*(L$3=SalesforceData!$C$2:'SalesforceData'!$C$36),0))),"")</f>
        <v>0</v>
      </c>
      <c r="M46" s="8" cm="1">
        <f t="array" ref="M46">IFERROR(IF(COUNT(INDEX(SalesforceData!$D$2:$D$36,MATCH(1,($G46=SalesforceData!$A$2:$A$36)*(M$2=SalesforceData!$B$2:'SalesforceData'!$B$36)*(M$3=SalesforceData!$C$2:'SalesforceData'!$C$36),0)))=0,INDEX(SalesforceData!$F$2:$F$36,MATCH(1,($G46=SalesforceData!$A$2:$A$36)*(M$2=SalesforceData!$B$2:'SalesforceData'!$B$36) * (M$3=SalesforceData!$E$2:'SalesforceData'!$E$36),0)),INDEX(SalesforceData!$D$2:$D$36,MATCH(1,($G46=SalesforceData!$A$2:$A$36)*(M$2=SalesforceData!$B$2:'SalesforceData'!$B$36)*(M$3=SalesforceData!$C$2:'SalesforceData'!$C$36),0))),"")</f>
        <v>0</v>
      </c>
      <c r="N46" s="8" cm="1">
        <f t="array" ref="N46">IFERROR(IF(COUNT(INDEX(SalesforceData!$D$2:$D$36,MATCH(1,($G46=SalesforceData!$A$2:$A$36)*(N$2=SalesforceData!$B$2:'SalesforceData'!$B$36)*(N$3=SalesforceData!$C$2:'SalesforceData'!$C$36),0)))=0,INDEX(SalesforceData!$F$2:$F$36,MATCH(1,($G46=SalesforceData!$A$2:$A$36)*(N$2=SalesforceData!$B$2:'SalesforceData'!$B$36) * (N$3=SalesforceData!$E$2:'SalesforceData'!$E$36),0)),INDEX(SalesforceData!$D$2:$D$36,MATCH(1,($G46=SalesforceData!$A$2:$A$36)*(N$2=SalesforceData!$B$2:'SalesforceData'!$B$36)*(N$3=SalesforceData!$C$2:'SalesforceData'!$C$36),0))),"")</f>
        <v>0</v>
      </c>
      <c r="O46" s="8" cm="1">
        <f t="array" ref="O46">IFERROR(IF(COUNT(INDEX(SalesforceData!$D$2:$D$36,MATCH(1,($G46=SalesforceData!$A$2:$A$36)*(O$2=SalesforceData!$B$2:'SalesforceData'!$B$36)*(O$3=SalesforceData!$C$2:'SalesforceData'!$C$36),0)))=0,INDEX(SalesforceData!$F$2:$F$36,MATCH(1,($G46=SalesforceData!$A$2:$A$36)*(O$2=SalesforceData!$B$2:'SalesforceData'!$B$36) * (O$3=SalesforceData!$E$2:'SalesforceData'!$E$36),0)),INDEX(SalesforceData!$D$2:$D$36,MATCH(1,($G46=SalesforceData!$A$2:$A$36)*(O$2=SalesforceData!$B$2:'SalesforceData'!$B$36)*(O$3=SalesforceData!$C$2:'SalesforceData'!$C$36),0))),"")</f>
        <v>0</v>
      </c>
      <c r="Q46" s="9"/>
      <c r="S46" t="str" cm="1">
        <f t="array" aca="1" ref="S46" ca="1">IF(CELL("contents",G46)=0,"",CELL("contents",G46))</f>
        <v/>
      </c>
      <c r="T46" t="str" cm="1">
        <f t="array" aca="1" ref="T46" ca="1">IF(CELL("contents",H46)=0,"",CELL("contents",H46))</f>
        <v/>
      </c>
      <c r="U46" t="str" cm="1">
        <f t="array" aca="1" ref="U46" ca="1">IF(CELL("contents",I46)=0,"",CELL("contents",I46))</f>
        <v/>
      </c>
      <c r="V46" t="str" cm="1">
        <f t="array" aca="1" ref="V46" ca="1">IF(CELL("contents",J46)=0,"",CELL("contents",J46))</f>
        <v/>
      </c>
      <c r="W46" t="str" cm="1">
        <f t="array" aca="1" ref="W46" ca="1">IF(CELL("contents",K46)=0,"",CELL("contents",K46))</f>
        <v/>
      </c>
      <c r="X46" t="str" cm="1">
        <f t="array" aca="1" ref="X46" ca="1">IF(CELL("contents",L46)=0,"",CELL("contents",L46))</f>
        <v/>
      </c>
      <c r="Y46" t="str" cm="1">
        <f t="array" aca="1" ref="Y46" ca="1">IF(CELL("contents",M46)=0,"",CELL("contents",M46))</f>
        <v/>
      </c>
      <c r="Z46" t="str" cm="1">
        <f t="array" aca="1" ref="Z46" ca="1">IF(CELL("contents",N46)=0,"",CELL("contents",N46))</f>
        <v/>
      </c>
      <c r="AA46" t="str" cm="1">
        <f t="array" aca="1" ref="AA46" ca="1">IF(CELL("contents",O46)=0,"",CELL("contents",O46))</f>
        <v/>
      </c>
    </row>
    <row r="47" spans="1:27" x14ac:dyDescent="0.35">
      <c r="A47" s="8" t="str" cm="1">
        <f t="array" ref="A47">IF(IFERROR(INDEX(SalesforceData!$A$2:'SalesforceData'!$A$36, MATCH(0, COUNTIF(DataTransformation!$A$2:'DataTransformation'!$A46, SalesforceData!$A$2:'SalesforceData'!$A$36), 0)),"") = 0,"", IFERROR(INDEX(SalesforceData!$A$2:'SalesforceData'!$A$36, MATCH(0, COUNTIF(DataTransformation!$A$2:'DataTransformation'!$A46, SalesforceData!$A$2:'SalesforceData'!$A$36), 0)),""))</f>
        <v/>
      </c>
      <c r="B47" s="8" t="str" cm="1">
        <f t="array" ref="B47">IF(IFERROR(INDEX(SalesforceData!$B$2:'SalesforceData'!$B$36, MATCH(0, COUNTIF(DataTransformation!$B$2:'DataTransformation'!$B46, SalesforceData!$B$2:'SalesforceData'!$B$36), 0)),"") = 0,"", IFERROR(INDEX(SalesforceData!$B$2:'SalesforceData'!$B$36, MATCH(0, COUNTIF(DataTransformation!$B$2:'DataTransformation'!$B46, SalesforceData!$B$2:'SalesforceData'!$B$36), 0)),""))</f>
        <v/>
      </c>
      <c r="E47" s="9"/>
      <c r="G47" s="8" t="str">
        <f t="shared" si="1"/>
        <v/>
      </c>
      <c r="H47" s="8" cm="1">
        <f t="array" ref="H47">IFERROR(IF(COUNT(INDEX(SalesforceData!$D$2:$D$36,MATCH(1,($G47=SalesforceData!$A$2:$A$36)*(H$2=SalesforceData!$B$2:'SalesforceData'!$B$36)*(H$3=SalesforceData!$C$2:'SalesforceData'!$C$36),0)))=0,INDEX(SalesforceData!$F$2:$F$36,MATCH(1,($G47=SalesforceData!$A$2:$A$36)*(H$2=SalesforceData!$B$2:'SalesforceData'!$B$36) * (H$3=SalesforceData!$E$2:'SalesforceData'!$E$36),0)),INDEX(SalesforceData!$D$2:$D$36,MATCH(1,($G47=SalesforceData!$A$2:$A$36)*(H$2=SalesforceData!$B$2:'SalesforceData'!$B$36)*(H$3=SalesforceData!$C$2:'SalesforceData'!$C$36),0))),"")</f>
        <v>0</v>
      </c>
      <c r="I47" s="8" cm="1">
        <f t="array" ref="I47">IFERROR(IF(COUNT(INDEX(SalesforceData!$D$2:$D$36,MATCH(1,($G47=SalesforceData!$A$2:$A$36)*(I$2=SalesforceData!$B$2:'SalesforceData'!$B$36)*(I$3=SalesforceData!$C$2:'SalesforceData'!$C$36),0)))=0,INDEX(SalesforceData!$F$2:$F$36,MATCH(1,($G47=SalesforceData!$A$2:$A$36)*(I$2=SalesforceData!$B$2:'SalesforceData'!$B$36) * (I$3=SalesforceData!$E$2:'SalesforceData'!$E$36),0)),INDEX(SalesforceData!$D$2:$D$36,MATCH(1,($G47=SalesforceData!$A$2:$A$36)*(I$2=SalesforceData!$B$2:'SalesforceData'!$B$36)*(I$3=SalesforceData!$C$2:'SalesforceData'!$C$36),0))),"")</f>
        <v>0</v>
      </c>
      <c r="J47" s="8" cm="1">
        <f t="array" ref="J47">IFERROR(IF(COUNT(INDEX(SalesforceData!$D$2:$D$36,MATCH(1,($G47=SalesforceData!$A$2:$A$36)*(J$2=SalesforceData!$B$2:'SalesforceData'!$B$36)*(J$3=SalesforceData!$C$2:'SalesforceData'!$C$36),0)))=0,INDEX(SalesforceData!$F$2:$F$36,MATCH(1,($G47=SalesforceData!$A$2:$A$36)*(J$2=SalesforceData!$B$2:'SalesforceData'!$B$36) * (J$3=SalesforceData!$E$2:'SalesforceData'!$E$36),0)),INDEX(SalesforceData!$D$2:$D$36,MATCH(1,($G47=SalesforceData!$A$2:$A$36)*(J$2=SalesforceData!$B$2:'SalesforceData'!$B$36)*(J$3=SalesforceData!$C$2:'SalesforceData'!$C$36),0))),"")</f>
        <v>0</v>
      </c>
      <c r="K47" s="8" cm="1">
        <f t="array" ref="K47">IFERROR(IF(COUNT(INDEX(SalesforceData!$D$2:$D$36,MATCH(1,($G47=SalesforceData!$A$2:$A$36)*(K$2=SalesforceData!$B$2:'SalesforceData'!$B$36)*(K$3=SalesforceData!$C$2:'SalesforceData'!$C$36),0)))=0,INDEX(SalesforceData!$F$2:$F$36,MATCH(1,($G47=SalesforceData!$A$2:$A$36)*(K$2=SalesforceData!$B$2:'SalesforceData'!$B$36) * (K$3=SalesforceData!$E$2:'SalesforceData'!$E$36),0)),INDEX(SalesforceData!$D$2:$D$36,MATCH(1,($G47=SalesforceData!$A$2:$A$36)*(K$2=SalesforceData!$B$2:'SalesforceData'!$B$36)*(K$3=SalesforceData!$C$2:'SalesforceData'!$C$36),0))),"")</f>
        <v>0</v>
      </c>
      <c r="L47" s="8" cm="1">
        <f t="array" ref="L47">IFERROR(IF(COUNT(INDEX(SalesforceData!$D$2:$D$36,MATCH(1,($G47=SalesforceData!$A$2:$A$36)*(L$2=SalesforceData!$B$2:'SalesforceData'!$B$36)*(L$3=SalesforceData!$C$2:'SalesforceData'!$C$36),0)))=0,INDEX(SalesforceData!$F$2:$F$36,MATCH(1,($G47=SalesforceData!$A$2:$A$36)*(L$2=SalesforceData!$B$2:'SalesforceData'!$B$36) * (L$3=SalesforceData!$E$2:'SalesforceData'!$E$36),0)),INDEX(SalesforceData!$D$2:$D$36,MATCH(1,($G47=SalesforceData!$A$2:$A$36)*(L$2=SalesforceData!$B$2:'SalesforceData'!$B$36)*(L$3=SalesforceData!$C$2:'SalesforceData'!$C$36),0))),"")</f>
        <v>0</v>
      </c>
      <c r="M47" s="8" cm="1">
        <f t="array" ref="M47">IFERROR(IF(COUNT(INDEX(SalesforceData!$D$2:$D$36,MATCH(1,($G47=SalesforceData!$A$2:$A$36)*(M$2=SalesforceData!$B$2:'SalesforceData'!$B$36)*(M$3=SalesforceData!$C$2:'SalesforceData'!$C$36),0)))=0,INDEX(SalesforceData!$F$2:$F$36,MATCH(1,($G47=SalesforceData!$A$2:$A$36)*(M$2=SalesforceData!$B$2:'SalesforceData'!$B$36) * (M$3=SalesforceData!$E$2:'SalesforceData'!$E$36),0)),INDEX(SalesforceData!$D$2:$D$36,MATCH(1,($G47=SalesforceData!$A$2:$A$36)*(M$2=SalesforceData!$B$2:'SalesforceData'!$B$36)*(M$3=SalesforceData!$C$2:'SalesforceData'!$C$36),0))),"")</f>
        <v>0</v>
      </c>
      <c r="N47" s="8" cm="1">
        <f t="array" ref="N47">IFERROR(IF(COUNT(INDEX(SalesforceData!$D$2:$D$36,MATCH(1,($G47=SalesforceData!$A$2:$A$36)*(N$2=SalesforceData!$B$2:'SalesforceData'!$B$36)*(N$3=SalesforceData!$C$2:'SalesforceData'!$C$36),0)))=0,INDEX(SalesforceData!$F$2:$F$36,MATCH(1,($G47=SalesforceData!$A$2:$A$36)*(N$2=SalesforceData!$B$2:'SalesforceData'!$B$36) * (N$3=SalesforceData!$E$2:'SalesforceData'!$E$36),0)),INDEX(SalesforceData!$D$2:$D$36,MATCH(1,($G47=SalesforceData!$A$2:$A$36)*(N$2=SalesforceData!$B$2:'SalesforceData'!$B$36)*(N$3=SalesforceData!$C$2:'SalesforceData'!$C$36),0))),"")</f>
        <v>0</v>
      </c>
      <c r="O47" s="8" cm="1">
        <f t="array" ref="O47">IFERROR(IF(COUNT(INDEX(SalesforceData!$D$2:$D$36,MATCH(1,($G47=SalesforceData!$A$2:$A$36)*(O$2=SalesforceData!$B$2:'SalesforceData'!$B$36)*(O$3=SalesforceData!$C$2:'SalesforceData'!$C$36),0)))=0,INDEX(SalesforceData!$F$2:$F$36,MATCH(1,($G47=SalesforceData!$A$2:$A$36)*(O$2=SalesforceData!$B$2:'SalesforceData'!$B$36) * (O$3=SalesforceData!$E$2:'SalesforceData'!$E$36),0)),INDEX(SalesforceData!$D$2:$D$36,MATCH(1,($G47=SalesforceData!$A$2:$A$36)*(O$2=SalesforceData!$B$2:'SalesforceData'!$B$36)*(O$3=SalesforceData!$C$2:'SalesforceData'!$C$36),0))),"")</f>
        <v>0</v>
      </c>
      <c r="Q47" s="9"/>
      <c r="S47" t="str" cm="1">
        <f t="array" aca="1" ref="S47" ca="1">IF(CELL("contents",G47)=0,"",CELL("contents",G47))</f>
        <v/>
      </c>
      <c r="T47" t="str" cm="1">
        <f t="array" aca="1" ref="T47" ca="1">IF(CELL("contents",H47)=0,"",CELL("contents",H47))</f>
        <v/>
      </c>
      <c r="U47" t="str" cm="1">
        <f t="array" aca="1" ref="U47" ca="1">IF(CELL("contents",I47)=0,"",CELL("contents",I47))</f>
        <v/>
      </c>
      <c r="V47" t="str" cm="1">
        <f t="array" aca="1" ref="V47" ca="1">IF(CELL("contents",J47)=0,"",CELL("contents",J47))</f>
        <v/>
      </c>
      <c r="W47" t="str" cm="1">
        <f t="array" aca="1" ref="W47" ca="1">IF(CELL("contents",K47)=0,"",CELL("contents",K47))</f>
        <v/>
      </c>
      <c r="X47" t="str" cm="1">
        <f t="array" aca="1" ref="X47" ca="1">IF(CELL("contents",L47)=0,"",CELL("contents",L47))</f>
        <v/>
      </c>
      <c r="Y47" t="str" cm="1">
        <f t="array" aca="1" ref="Y47" ca="1">IF(CELL("contents",M47)=0,"",CELL("contents",M47))</f>
        <v/>
      </c>
      <c r="Z47" t="str" cm="1">
        <f t="array" aca="1" ref="Z47" ca="1">IF(CELL("contents",N47)=0,"",CELL("contents",N47))</f>
        <v/>
      </c>
      <c r="AA47" t="str" cm="1">
        <f t="array" aca="1" ref="AA47" ca="1">IF(CELL("contents",O47)=0,"",CELL("contents",O47))</f>
        <v/>
      </c>
    </row>
    <row r="48" spans="1:27" x14ac:dyDescent="0.35">
      <c r="A48" s="8" t="str" cm="1">
        <f t="array" ref="A48">IF(IFERROR(INDEX(SalesforceData!$A$2:'SalesforceData'!$A$36, MATCH(0, COUNTIF(DataTransformation!$A$2:'DataTransformation'!$A47, SalesforceData!$A$2:'SalesforceData'!$A$36), 0)),"") = 0,"", IFERROR(INDEX(SalesforceData!$A$2:'SalesforceData'!$A$36, MATCH(0, COUNTIF(DataTransformation!$A$2:'DataTransformation'!$A47, SalesforceData!$A$2:'SalesforceData'!$A$36), 0)),""))</f>
        <v/>
      </c>
      <c r="B48" s="8" t="str" cm="1">
        <f t="array" ref="B48">IF(IFERROR(INDEX(SalesforceData!$B$2:'SalesforceData'!$B$36, MATCH(0, COUNTIF(DataTransformation!$B$2:'DataTransformation'!$B47, SalesforceData!$B$2:'SalesforceData'!$B$36), 0)),"") = 0,"", IFERROR(INDEX(SalesforceData!$B$2:'SalesforceData'!$B$36, MATCH(0, COUNTIF(DataTransformation!$B$2:'DataTransformation'!$B47, SalesforceData!$B$2:'SalesforceData'!$B$36), 0)),""))</f>
        <v/>
      </c>
      <c r="E48" s="9"/>
      <c r="G48" s="8" t="str">
        <f t="shared" si="1"/>
        <v/>
      </c>
      <c r="H48" s="8" cm="1">
        <f t="array" ref="H48">IFERROR(IF(COUNT(INDEX(SalesforceData!$D$2:$D$36,MATCH(1,($G48=SalesforceData!$A$2:$A$36)*(H$2=SalesforceData!$B$2:'SalesforceData'!$B$36)*(H$3=SalesforceData!$C$2:'SalesforceData'!$C$36),0)))=0,INDEX(SalesforceData!$F$2:$F$36,MATCH(1,($G48=SalesforceData!$A$2:$A$36)*(H$2=SalesforceData!$B$2:'SalesforceData'!$B$36) * (H$3=SalesforceData!$E$2:'SalesforceData'!$E$36),0)),INDEX(SalesforceData!$D$2:$D$36,MATCH(1,($G48=SalesforceData!$A$2:$A$36)*(H$2=SalesforceData!$B$2:'SalesforceData'!$B$36)*(H$3=SalesforceData!$C$2:'SalesforceData'!$C$36),0))),"")</f>
        <v>0</v>
      </c>
      <c r="I48" s="8" cm="1">
        <f t="array" ref="I48">IFERROR(IF(COUNT(INDEX(SalesforceData!$D$2:$D$36,MATCH(1,($G48=SalesforceData!$A$2:$A$36)*(I$2=SalesforceData!$B$2:'SalesforceData'!$B$36)*(I$3=SalesforceData!$C$2:'SalesforceData'!$C$36),0)))=0,INDEX(SalesforceData!$F$2:$F$36,MATCH(1,($G48=SalesforceData!$A$2:$A$36)*(I$2=SalesforceData!$B$2:'SalesforceData'!$B$36) * (I$3=SalesforceData!$E$2:'SalesforceData'!$E$36),0)),INDEX(SalesforceData!$D$2:$D$36,MATCH(1,($G48=SalesforceData!$A$2:$A$36)*(I$2=SalesforceData!$B$2:'SalesforceData'!$B$36)*(I$3=SalesforceData!$C$2:'SalesforceData'!$C$36),0))),"")</f>
        <v>0</v>
      </c>
      <c r="J48" s="8" cm="1">
        <f t="array" ref="J48">IFERROR(IF(COUNT(INDEX(SalesforceData!$D$2:$D$36,MATCH(1,($G48=SalesforceData!$A$2:$A$36)*(J$2=SalesforceData!$B$2:'SalesforceData'!$B$36)*(J$3=SalesforceData!$C$2:'SalesforceData'!$C$36),0)))=0,INDEX(SalesforceData!$F$2:$F$36,MATCH(1,($G48=SalesforceData!$A$2:$A$36)*(J$2=SalesforceData!$B$2:'SalesforceData'!$B$36) * (J$3=SalesforceData!$E$2:'SalesforceData'!$E$36),0)),INDEX(SalesforceData!$D$2:$D$36,MATCH(1,($G48=SalesforceData!$A$2:$A$36)*(J$2=SalesforceData!$B$2:'SalesforceData'!$B$36)*(J$3=SalesforceData!$C$2:'SalesforceData'!$C$36),0))),"")</f>
        <v>0</v>
      </c>
      <c r="K48" s="8" cm="1">
        <f t="array" ref="K48">IFERROR(IF(COUNT(INDEX(SalesforceData!$D$2:$D$36,MATCH(1,($G48=SalesforceData!$A$2:$A$36)*(K$2=SalesforceData!$B$2:'SalesforceData'!$B$36)*(K$3=SalesforceData!$C$2:'SalesforceData'!$C$36),0)))=0,INDEX(SalesforceData!$F$2:$F$36,MATCH(1,($G48=SalesforceData!$A$2:$A$36)*(K$2=SalesforceData!$B$2:'SalesforceData'!$B$36) * (K$3=SalesforceData!$E$2:'SalesforceData'!$E$36),0)),INDEX(SalesforceData!$D$2:$D$36,MATCH(1,($G48=SalesforceData!$A$2:$A$36)*(K$2=SalesforceData!$B$2:'SalesforceData'!$B$36)*(K$3=SalesforceData!$C$2:'SalesforceData'!$C$36),0))),"")</f>
        <v>0</v>
      </c>
      <c r="L48" s="8" cm="1">
        <f t="array" ref="L48">IFERROR(IF(COUNT(INDEX(SalesforceData!$D$2:$D$36,MATCH(1,($G48=SalesforceData!$A$2:$A$36)*(L$2=SalesforceData!$B$2:'SalesforceData'!$B$36)*(L$3=SalesforceData!$C$2:'SalesforceData'!$C$36),0)))=0,INDEX(SalesforceData!$F$2:$F$36,MATCH(1,($G48=SalesforceData!$A$2:$A$36)*(L$2=SalesforceData!$B$2:'SalesforceData'!$B$36) * (L$3=SalesforceData!$E$2:'SalesforceData'!$E$36),0)),INDEX(SalesforceData!$D$2:$D$36,MATCH(1,($G48=SalesforceData!$A$2:$A$36)*(L$2=SalesforceData!$B$2:'SalesforceData'!$B$36)*(L$3=SalesforceData!$C$2:'SalesforceData'!$C$36),0))),"")</f>
        <v>0</v>
      </c>
      <c r="M48" s="8" cm="1">
        <f t="array" ref="M48">IFERROR(IF(COUNT(INDEX(SalesforceData!$D$2:$D$36,MATCH(1,($G48=SalesforceData!$A$2:$A$36)*(M$2=SalesforceData!$B$2:'SalesforceData'!$B$36)*(M$3=SalesforceData!$C$2:'SalesforceData'!$C$36),0)))=0,INDEX(SalesforceData!$F$2:$F$36,MATCH(1,($G48=SalesforceData!$A$2:$A$36)*(M$2=SalesforceData!$B$2:'SalesforceData'!$B$36) * (M$3=SalesforceData!$E$2:'SalesforceData'!$E$36),0)),INDEX(SalesforceData!$D$2:$D$36,MATCH(1,($G48=SalesforceData!$A$2:$A$36)*(M$2=SalesforceData!$B$2:'SalesforceData'!$B$36)*(M$3=SalesforceData!$C$2:'SalesforceData'!$C$36),0))),"")</f>
        <v>0</v>
      </c>
      <c r="N48" s="8" cm="1">
        <f t="array" ref="N48">IFERROR(IF(COUNT(INDEX(SalesforceData!$D$2:$D$36,MATCH(1,($G48=SalesforceData!$A$2:$A$36)*(N$2=SalesforceData!$B$2:'SalesforceData'!$B$36)*(N$3=SalesforceData!$C$2:'SalesforceData'!$C$36),0)))=0,INDEX(SalesforceData!$F$2:$F$36,MATCH(1,($G48=SalesforceData!$A$2:$A$36)*(N$2=SalesforceData!$B$2:'SalesforceData'!$B$36) * (N$3=SalesforceData!$E$2:'SalesforceData'!$E$36),0)),INDEX(SalesforceData!$D$2:$D$36,MATCH(1,($G48=SalesforceData!$A$2:$A$36)*(N$2=SalesforceData!$B$2:'SalesforceData'!$B$36)*(N$3=SalesforceData!$C$2:'SalesforceData'!$C$36),0))),"")</f>
        <v>0</v>
      </c>
      <c r="O48" s="8" cm="1">
        <f t="array" ref="O48">IFERROR(IF(COUNT(INDEX(SalesforceData!$D$2:$D$36,MATCH(1,($G48=SalesforceData!$A$2:$A$36)*(O$2=SalesforceData!$B$2:'SalesforceData'!$B$36)*(O$3=SalesforceData!$C$2:'SalesforceData'!$C$36),0)))=0,INDEX(SalesforceData!$F$2:$F$36,MATCH(1,($G48=SalesforceData!$A$2:$A$36)*(O$2=SalesforceData!$B$2:'SalesforceData'!$B$36) * (O$3=SalesforceData!$E$2:'SalesforceData'!$E$36),0)),INDEX(SalesforceData!$D$2:$D$36,MATCH(1,($G48=SalesforceData!$A$2:$A$36)*(O$2=SalesforceData!$B$2:'SalesforceData'!$B$36)*(O$3=SalesforceData!$C$2:'SalesforceData'!$C$36),0))),"")</f>
        <v>0</v>
      </c>
      <c r="Q48" s="9"/>
      <c r="S48" t="str" cm="1">
        <f t="array" aca="1" ref="S48" ca="1">IF(CELL("contents",G48)=0,"",CELL("contents",G48))</f>
        <v/>
      </c>
      <c r="T48" t="str" cm="1">
        <f t="array" aca="1" ref="T48" ca="1">IF(CELL("contents",H48)=0,"",CELL("contents",H48))</f>
        <v/>
      </c>
      <c r="U48" t="str" cm="1">
        <f t="array" aca="1" ref="U48" ca="1">IF(CELL("contents",I48)=0,"",CELL("contents",I48))</f>
        <v/>
      </c>
      <c r="V48" t="str" cm="1">
        <f t="array" aca="1" ref="V48" ca="1">IF(CELL("contents",J48)=0,"",CELL("contents",J48))</f>
        <v/>
      </c>
      <c r="W48" t="str" cm="1">
        <f t="array" aca="1" ref="W48" ca="1">IF(CELL("contents",K48)=0,"",CELL("contents",K48))</f>
        <v/>
      </c>
      <c r="X48" t="str" cm="1">
        <f t="array" aca="1" ref="X48" ca="1">IF(CELL("contents",L48)=0,"",CELL("contents",L48))</f>
        <v/>
      </c>
      <c r="Y48" t="str" cm="1">
        <f t="array" aca="1" ref="Y48" ca="1">IF(CELL("contents",M48)=0,"",CELL("contents",M48))</f>
        <v/>
      </c>
      <c r="Z48" t="str" cm="1">
        <f t="array" aca="1" ref="Z48" ca="1">IF(CELL("contents",N48)=0,"",CELL("contents",N48))</f>
        <v/>
      </c>
      <c r="AA48" t="str" cm="1">
        <f t="array" aca="1" ref="AA48" ca="1">IF(CELL("contents",O48)=0,"",CELL("contents",O48))</f>
        <v/>
      </c>
    </row>
    <row r="49" spans="1:27" x14ac:dyDescent="0.35">
      <c r="A49" s="8" t="str" cm="1">
        <f t="array" ref="A49">IF(IFERROR(INDEX(SalesforceData!$A$2:'SalesforceData'!$A$36, MATCH(0, COUNTIF(DataTransformation!$A$2:'DataTransformation'!$A48, SalesforceData!$A$2:'SalesforceData'!$A$36), 0)),"") = 0,"", IFERROR(INDEX(SalesforceData!$A$2:'SalesforceData'!$A$36, MATCH(0, COUNTIF(DataTransformation!$A$2:'DataTransformation'!$A48, SalesforceData!$A$2:'SalesforceData'!$A$36), 0)),""))</f>
        <v/>
      </c>
      <c r="B49" s="8" t="str" cm="1">
        <f t="array" ref="B49">IF(IFERROR(INDEX(SalesforceData!$B$2:'SalesforceData'!$B$36, MATCH(0, COUNTIF(DataTransformation!$B$2:'DataTransformation'!$B48, SalesforceData!$B$2:'SalesforceData'!$B$36), 0)),"") = 0,"", IFERROR(INDEX(SalesforceData!$B$2:'SalesforceData'!$B$36, MATCH(0, COUNTIF(DataTransformation!$B$2:'DataTransformation'!$B48, SalesforceData!$B$2:'SalesforceData'!$B$36), 0)),""))</f>
        <v/>
      </c>
      <c r="E49" s="9"/>
      <c r="G49" s="8" t="str">
        <f t="shared" si="1"/>
        <v/>
      </c>
      <c r="H49" s="8" cm="1">
        <f t="array" ref="H49">IFERROR(IF(COUNT(INDEX(SalesforceData!$D$2:$D$36,MATCH(1,($G49=SalesforceData!$A$2:$A$36)*(H$2=SalesforceData!$B$2:'SalesforceData'!$B$36)*(H$3=SalesforceData!$C$2:'SalesforceData'!$C$36),0)))=0,INDEX(SalesforceData!$F$2:$F$36,MATCH(1,($G49=SalesforceData!$A$2:$A$36)*(H$2=SalesforceData!$B$2:'SalesforceData'!$B$36) * (H$3=SalesforceData!$E$2:'SalesforceData'!$E$36),0)),INDEX(SalesforceData!$D$2:$D$36,MATCH(1,($G49=SalesforceData!$A$2:$A$36)*(H$2=SalesforceData!$B$2:'SalesforceData'!$B$36)*(H$3=SalesforceData!$C$2:'SalesforceData'!$C$36),0))),"")</f>
        <v>0</v>
      </c>
      <c r="I49" s="8" cm="1">
        <f t="array" ref="I49">IFERROR(IF(COUNT(INDEX(SalesforceData!$D$2:$D$36,MATCH(1,($G49=SalesforceData!$A$2:$A$36)*(I$2=SalesforceData!$B$2:'SalesforceData'!$B$36)*(I$3=SalesforceData!$C$2:'SalesforceData'!$C$36),0)))=0,INDEX(SalesforceData!$F$2:$F$36,MATCH(1,($G49=SalesforceData!$A$2:$A$36)*(I$2=SalesforceData!$B$2:'SalesforceData'!$B$36) * (I$3=SalesforceData!$E$2:'SalesforceData'!$E$36),0)),INDEX(SalesforceData!$D$2:$D$36,MATCH(1,($G49=SalesforceData!$A$2:$A$36)*(I$2=SalesforceData!$B$2:'SalesforceData'!$B$36)*(I$3=SalesforceData!$C$2:'SalesforceData'!$C$36),0))),"")</f>
        <v>0</v>
      </c>
      <c r="J49" s="8" cm="1">
        <f t="array" ref="J49">IFERROR(IF(COUNT(INDEX(SalesforceData!$D$2:$D$36,MATCH(1,($G49=SalesforceData!$A$2:$A$36)*(J$2=SalesforceData!$B$2:'SalesforceData'!$B$36)*(J$3=SalesforceData!$C$2:'SalesforceData'!$C$36),0)))=0,INDEX(SalesforceData!$F$2:$F$36,MATCH(1,($G49=SalesforceData!$A$2:$A$36)*(J$2=SalesforceData!$B$2:'SalesforceData'!$B$36) * (J$3=SalesforceData!$E$2:'SalesforceData'!$E$36),0)),INDEX(SalesforceData!$D$2:$D$36,MATCH(1,($G49=SalesforceData!$A$2:$A$36)*(J$2=SalesforceData!$B$2:'SalesforceData'!$B$36)*(J$3=SalesforceData!$C$2:'SalesforceData'!$C$36),0))),"")</f>
        <v>0</v>
      </c>
      <c r="K49" s="8" cm="1">
        <f t="array" ref="K49">IFERROR(IF(COUNT(INDEX(SalesforceData!$D$2:$D$36,MATCH(1,($G49=SalesforceData!$A$2:$A$36)*(K$2=SalesforceData!$B$2:'SalesforceData'!$B$36)*(K$3=SalesforceData!$C$2:'SalesforceData'!$C$36),0)))=0,INDEX(SalesforceData!$F$2:$F$36,MATCH(1,($G49=SalesforceData!$A$2:$A$36)*(K$2=SalesforceData!$B$2:'SalesforceData'!$B$36) * (K$3=SalesforceData!$E$2:'SalesforceData'!$E$36),0)),INDEX(SalesforceData!$D$2:$D$36,MATCH(1,($G49=SalesforceData!$A$2:$A$36)*(K$2=SalesforceData!$B$2:'SalesforceData'!$B$36)*(K$3=SalesforceData!$C$2:'SalesforceData'!$C$36),0))),"")</f>
        <v>0</v>
      </c>
      <c r="L49" s="8" cm="1">
        <f t="array" ref="L49">IFERROR(IF(COUNT(INDEX(SalesforceData!$D$2:$D$36,MATCH(1,($G49=SalesforceData!$A$2:$A$36)*(L$2=SalesforceData!$B$2:'SalesforceData'!$B$36)*(L$3=SalesforceData!$C$2:'SalesforceData'!$C$36),0)))=0,INDEX(SalesforceData!$F$2:$F$36,MATCH(1,($G49=SalesforceData!$A$2:$A$36)*(L$2=SalesforceData!$B$2:'SalesforceData'!$B$36) * (L$3=SalesforceData!$E$2:'SalesforceData'!$E$36),0)),INDEX(SalesforceData!$D$2:$D$36,MATCH(1,($G49=SalesforceData!$A$2:$A$36)*(L$2=SalesforceData!$B$2:'SalesforceData'!$B$36)*(L$3=SalesforceData!$C$2:'SalesforceData'!$C$36),0))),"")</f>
        <v>0</v>
      </c>
      <c r="M49" s="8" cm="1">
        <f t="array" ref="M49">IFERROR(IF(COUNT(INDEX(SalesforceData!$D$2:$D$36,MATCH(1,($G49=SalesforceData!$A$2:$A$36)*(M$2=SalesforceData!$B$2:'SalesforceData'!$B$36)*(M$3=SalesforceData!$C$2:'SalesforceData'!$C$36),0)))=0,INDEX(SalesforceData!$F$2:$F$36,MATCH(1,($G49=SalesforceData!$A$2:$A$36)*(M$2=SalesforceData!$B$2:'SalesforceData'!$B$36) * (M$3=SalesforceData!$E$2:'SalesforceData'!$E$36),0)),INDEX(SalesforceData!$D$2:$D$36,MATCH(1,($G49=SalesforceData!$A$2:$A$36)*(M$2=SalesforceData!$B$2:'SalesforceData'!$B$36)*(M$3=SalesforceData!$C$2:'SalesforceData'!$C$36),0))),"")</f>
        <v>0</v>
      </c>
      <c r="N49" s="8" cm="1">
        <f t="array" ref="N49">IFERROR(IF(COUNT(INDEX(SalesforceData!$D$2:$D$36,MATCH(1,($G49=SalesforceData!$A$2:$A$36)*(N$2=SalesforceData!$B$2:'SalesforceData'!$B$36)*(N$3=SalesforceData!$C$2:'SalesforceData'!$C$36),0)))=0,INDEX(SalesforceData!$F$2:$F$36,MATCH(1,($G49=SalesforceData!$A$2:$A$36)*(N$2=SalesforceData!$B$2:'SalesforceData'!$B$36) * (N$3=SalesforceData!$E$2:'SalesforceData'!$E$36),0)),INDEX(SalesforceData!$D$2:$D$36,MATCH(1,($G49=SalesforceData!$A$2:$A$36)*(N$2=SalesforceData!$B$2:'SalesforceData'!$B$36)*(N$3=SalesforceData!$C$2:'SalesforceData'!$C$36),0))),"")</f>
        <v>0</v>
      </c>
      <c r="O49" s="8" cm="1">
        <f t="array" ref="O49">IFERROR(IF(COUNT(INDEX(SalesforceData!$D$2:$D$36,MATCH(1,($G49=SalesforceData!$A$2:$A$36)*(O$2=SalesforceData!$B$2:'SalesforceData'!$B$36)*(O$3=SalesforceData!$C$2:'SalesforceData'!$C$36),0)))=0,INDEX(SalesforceData!$F$2:$F$36,MATCH(1,($G49=SalesforceData!$A$2:$A$36)*(O$2=SalesforceData!$B$2:'SalesforceData'!$B$36) * (O$3=SalesforceData!$E$2:'SalesforceData'!$E$36),0)),INDEX(SalesforceData!$D$2:$D$36,MATCH(1,($G49=SalesforceData!$A$2:$A$36)*(O$2=SalesforceData!$B$2:'SalesforceData'!$B$36)*(O$3=SalesforceData!$C$2:'SalesforceData'!$C$36),0))),"")</f>
        <v>0</v>
      </c>
      <c r="Q49" s="9"/>
      <c r="S49" t="str" cm="1">
        <f t="array" aca="1" ref="S49" ca="1">IF(CELL("contents",G49)=0,"",CELL("contents",G49))</f>
        <v/>
      </c>
      <c r="T49" t="str" cm="1">
        <f t="array" aca="1" ref="T49" ca="1">IF(CELL("contents",H49)=0,"",CELL("contents",H49))</f>
        <v/>
      </c>
      <c r="U49" t="str" cm="1">
        <f t="array" aca="1" ref="U49" ca="1">IF(CELL("contents",I49)=0,"",CELL("contents",I49))</f>
        <v/>
      </c>
      <c r="V49" t="str" cm="1">
        <f t="array" aca="1" ref="V49" ca="1">IF(CELL("contents",J49)=0,"",CELL("contents",J49))</f>
        <v/>
      </c>
      <c r="W49" t="str" cm="1">
        <f t="array" aca="1" ref="W49" ca="1">IF(CELL("contents",K49)=0,"",CELL("contents",K49))</f>
        <v/>
      </c>
      <c r="X49" t="str" cm="1">
        <f t="array" aca="1" ref="X49" ca="1">IF(CELL("contents",L49)=0,"",CELL("contents",L49))</f>
        <v/>
      </c>
      <c r="Y49" t="str" cm="1">
        <f t="array" aca="1" ref="Y49" ca="1">IF(CELL("contents",M49)=0,"",CELL("contents",M49))</f>
        <v/>
      </c>
      <c r="Z49" t="str" cm="1">
        <f t="array" aca="1" ref="Z49" ca="1">IF(CELL("contents",N49)=0,"",CELL("contents",N49))</f>
        <v/>
      </c>
      <c r="AA49" t="str" cm="1">
        <f t="array" aca="1" ref="AA49" ca="1">IF(CELL("contents",O49)=0,"",CELL("contents",O49))</f>
        <v/>
      </c>
    </row>
    <row r="50" spans="1:27" x14ac:dyDescent="0.35">
      <c r="A50" s="8" t="str" cm="1">
        <f t="array" ref="A50">IF(IFERROR(INDEX(SalesforceData!$A$2:'SalesforceData'!$A$36, MATCH(0, COUNTIF(DataTransformation!$A$2:'DataTransformation'!$A49, SalesforceData!$A$2:'SalesforceData'!$A$36), 0)),"") = 0,"", IFERROR(INDEX(SalesforceData!$A$2:'SalesforceData'!$A$36, MATCH(0, COUNTIF(DataTransformation!$A$2:'DataTransformation'!$A49, SalesforceData!$A$2:'SalesforceData'!$A$36), 0)),""))</f>
        <v/>
      </c>
      <c r="B50" s="8" t="str" cm="1">
        <f t="array" ref="B50">IF(IFERROR(INDEX(SalesforceData!$B$2:'SalesforceData'!$B$36, MATCH(0, COUNTIF(DataTransformation!$B$2:'DataTransformation'!$B49, SalesforceData!$B$2:'SalesforceData'!$B$36), 0)),"") = 0,"", IFERROR(INDEX(SalesforceData!$B$2:'SalesforceData'!$B$36, MATCH(0, COUNTIF(DataTransformation!$B$2:'DataTransformation'!$B49, SalesforceData!$B$2:'SalesforceData'!$B$36), 0)),""))</f>
        <v/>
      </c>
      <c r="E50" s="9"/>
      <c r="G50" s="8" t="str">
        <f t="shared" si="1"/>
        <v/>
      </c>
      <c r="H50" s="8" cm="1">
        <f t="array" ref="H50">IFERROR(IF(COUNT(INDEX(SalesforceData!$D$2:$D$36,MATCH(1,($G50=SalesforceData!$A$2:$A$36)*(H$2=SalesforceData!$B$2:'SalesforceData'!$B$36)*(H$3=SalesforceData!$C$2:'SalesforceData'!$C$36),0)))=0,INDEX(SalesforceData!$F$2:$F$36,MATCH(1,($G50=SalesforceData!$A$2:$A$36)*(H$2=SalesforceData!$B$2:'SalesforceData'!$B$36) * (H$3=SalesforceData!$E$2:'SalesforceData'!$E$36),0)),INDEX(SalesforceData!$D$2:$D$36,MATCH(1,($G50=SalesforceData!$A$2:$A$36)*(H$2=SalesforceData!$B$2:'SalesforceData'!$B$36)*(H$3=SalesforceData!$C$2:'SalesforceData'!$C$36),0))),"")</f>
        <v>0</v>
      </c>
      <c r="I50" s="8" cm="1">
        <f t="array" ref="I50">IFERROR(IF(COUNT(INDEX(SalesforceData!$D$2:$D$36,MATCH(1,($G50=SalesforceData!$A$2:$A$36)*(I$2=SalesforceData!$B$2:'SalesforceData'!$B$36)*(I$3=SalesforceData!$C$2:'SalesforceData'!$C$36),0)))=0,INDEX(SalesforceData!$F$2:$F$36,MATCH(1,($G50=SalesforceData!$A$2:$A$36)*(I$2=SalesforceData!$B$2:'SalesforceData'!$B$36) * (I$3=SalesforceData!$E$2:'SalesforceData'!$E$36),0)),INDEX(SalesforceData!$D$2:$D$36,MATCH(1,($G50=SalesforceData!$A$2:$A$36)*(I$2=SalesforceData!$B$2:'SalesforceData'!$B$36)*(I$3=SalesforceData!$C$2:'SalesforceData'!$C$36),0))),"")</f>
        <v>0</v>
      </c>
      <c r="J50" s="8" cm="1">
        <f t="array" ref="J50">IFERROR(IF(COUNT(INDEX(SalesforceData!$D$2:$D$36,MATCH(1,($G50=SalesforceData!$A$2:$A$36)*(J$2=SalesforceData!$B$2:'SalesforceData'!$B$36)*(J$3=SalesforceData!$C$2:'SalesforceData'!$C$36),0)))=0,INDEX(SalesforceData!$F$2:$F$36,MATCH(1,($G50=SalesforceData!$A$2:$A$36)*(J$2=SalesforceData!$B$2:'SalesforceData'!$B$36) * (J$3=SalesforceData!$E$2:'SalesforceData'!$E$36),0)),INDEX(SalesforceData!$D$2:$D$36,MATCH(1,($G50=SalesforceData!$A$2:$A$36)*(J$2=SalesforceData!$B$2:'SalesforceData'!$B$36)*(J$3=SalesforceData!$C$2:'SalesforceData'!$C$36),0))),"")</f>
        <v>0</v>
      </c>
      <c r="K50" s="8" cm="1">
        <f t="array" ref="K50">IFERROR(IF(COUNT(INDEX(SalesforceData!$D$2:$D$36,MATCH(1,($G50=SalesforceData!$A$2:$A$36)*(K$2=SalesforceData!$B$2:'SalesforceData'!$B$36)*(K$3=SalesforceData!$C$2:'SalesforceData'!$C$36),0)))=0,INDEX(SalesforceData!$F$2:$F$36,MATCH(1,($G50=SalesforceData!$A$2:$A$36)*(K$2=SalesforceData!$B$2:'SalesforceData'!$B$36) * (K$3=SalesforceData!$E$2:'SalesforceData'!$E$36),0)),INDEX(SalesforceData!$D$2:$D$36,MATCH(1,($G50=SalesforceData!$A$2:$A$36)*(K$2=SalesforceData!$B$2:'SalesforceData'!$B$36)*(K$3=SalesforceData!$C$2:'SalesforceData'!$C$36),0))),"")</f>
        <v>0</v>
      </c>
      <c r="L50" s="8" cm="1">
        <f t="array" ref="L50">IFERROR(IF(COUNT(INDEX(SalesforceData!$D$2:$D$36,MATCH(1,($G50=SalesforceData!$A$2:$A$36)*(L$2=SalesforceData!$B$2:'SalesforceData'!$B$36)*(L$3=SalesforceData!$C$2:'SalesforceData'!$C$36),0)))=0,INDEX(SalesforceData!$F$2:$F$36,MATCH(1,($G50=SalesforceData!$A$2:$A$36)*(L$2=SalesforceData!$B$2:'SalesforceData'!$B$36) * (L$3=SalesforceData!$E$2:'SalesforceData'!$E$36),0)),INDEX(SalesforceData!$D$2:$D$36,MATCH(1,($G50=SalesforceData!$A$2:$A$36)*(L$2=SalesforceData!$B$2:'SalesforceData'!$B$36)*(L$3=SalesforceData!$C$2:'SalesforceData'!$C$36),0))),"")</f>
        <v>0</v>
      </c>
      <c r="M50" s="8" cm="1">
        <f t="array" ref="M50">IFERROR(IF(COUNT(INDEX(SalesforceData!$D$2:$D$36,MATCH(1,($G50=SalesforceData!$A$2:$A$36)*(M$2=SalesforceData!$B$2:'SalesforceData'!$B$36)*(M$3=SalesforceData!$C$2:'SalesforceData'!$C$36),0)))=0,INDEX(SalesforceData!$F$2:$F$36,MATCH(1,($G50=SalesforceData!$A$2:$A$36)*(M$2=SalesforceData!$B$2:'SalesforceData'!$B$36) * (M$3=SalesforceData!$E$2:'SalesforceData'!$E$36),0)),INDEX(SalesforceData!$D$2:$D$36,MATCH(1,($G50=SalesforceData!$A$2:$A$36)*(M$2=SalesforceData!$B$2:'SalesforceData'!$B$36)*(M$3=SalesforceData!$C$2:'SalesforceData'!$C$36),0))),"")</f>
        <v>0</v>
      </c>
      <c r="N50" s="8" cm="1">
        <f t="array" ref="N50">IFERROR(IF(COUNT(INDEX(SalesforceData!$D$2:$D$36,MATCH(1,($G50=SalesforceData!$A$2:$A$36)*(N$2=SalesforceData!$B$2:'SalesforceData'!$B$36)*(N$3=SalesforceData!$C$2:'SalesforceData'!$C$36),0)))=0,INDEX(SalesforceData!$F$2:$F$36,MATCH(1,($G50=SalesforceData!$A$2:$A$36)*(N$2=SalesforceData!$B$2:'SalesforceData'!$B$36) * (N$3=SalesforceData!$E$2:'SalesforceData'!$E$36),0)),INDEX(SalesforceData!$D$2:$D$36,MATCH(1,($G50=SalesforceData!$A$2:$A$36)*(N$2=SalesforceData!$B$2:'SalesforceData'!$B$36)*(N$3=SalesforceData!$C$2:'SalesforceData'!$C$36),0))),"")</f>
        <v>0</v>
      </c>
      <c r="O50" s="8" cm="1">
        <f t="array" ref="O50">IFERROR(IF(COUNT(INDEX(SalesforceData!$D$2:$D$36,MATCH(1,($G50=SalesforceData!$A$2:$A$36)*(O$2=SalesforceData!$B$2:'SalesforceData'!$B$36)*(O$3=SalesforceData!$C$2:'SalesforceData'!$C$36),0)))=0,INDEX(SalesforceData!$F$2:$F$36,MATCH(1,($G50=SalesforceData!$A$2:$A$36)*(O$2=SalesforceData!$B$2:'SalesforceData'!$B$36) * (O$3=SalesforceData!$E$2:'SalesforceData'!$E$36),0)),INDEX(SalesforceData!$D$2:$D$36,MATCH(1,($G50=SalesforceData!$A$2:$A$36)*(O$2=SalesforceData!$B$2:'SalesforceData'!$B$36)*(O$3=SalesforceData!$C$2:'SalesforceData'!$C$36),0))),"")</f>
        <v>0</v>
      </c>
      <c r="Q50" s="9"/>
      <c r="S50" t="str" cm="1">
        <f t="array" aca="1" ref="S50" ca="1">IF(CELL("contents",G50)=0,"",CELL("contents",G50))</f>
        <v/>
      </c>
      <c r="T50" t="str" cm="1">
        <f t="array" aca="1" ref="T50" ca="1">IF(CELL("contents",H50)=0,"",CELL("contents",H50))</f>
        <v/>
      </c>
      <c r="U50" t="str" cm="1">
        <f t="array" aca="1" ref="U50" ca="1">IF(CELL("contents",I50)=0,"",CELL("contents",I50))</f>
        <v/>
      </c>
      <c r="V50" t="str" cm="1">
        <f t="array" aca="1" ref="V50" ca="1">IF(CELL("contents",J50)=0,"",CELL("contents",J50))</f>
        <v/>
      </c>
      <c r="W50" t="str" cm="1">
        <f t="array" aca="1" ref="W50" ca="1">IF(CELL("contents",K50)=0,"",CELL("contents",K50))</f>
        <v/>
      </c>
      <c r="X50" t="str" cm="1">
        <f t="array" aca="1" ref="X50" ca="1">IF(CELL("contents",L50)=0,"",CELL("contents",L50))</f>
        <v/>
      </c>
      <c r="Y50" t="str" cm="1">
        <f t="array" aca="1" ref="Y50" ca="1">IF(CELL("contents",M50)=0,"",CELL("contents",M50))</f>
        <v/>
      </c>
      <c r="Z50" t="str" cm="1">
        <f t="array" aca="1" ref="Z50" ca="1">IF(CELL("contents",N50)=0,"",CELL("contents",N50))</f>
        <v/>
      </c>
      <c r="AA50" t="str" cm="1">
        <f t="array" aca="1" ref="AA50" ca="1">IF(CELL("contents",O50)=0,"",CELL("contents",O50))</f>
        <v/>
      </c>
    </row>
    <row r="51" spans="1:27" x14ac:dyDescent="0.35">
      <c r="A51" t="str" cm="1">
        <f t="array" ref="A51">IF(IFERROR(INDEX(SalesforceData!$A$2:'SalesforceData'!$A$36, MATCH(0, COUNTIF(DataTransformation!$A$2:'DataTransformation'!$A50, SalesforceData!$A$2:'SalesforceData'!$A$36), 0)),"") = 0,"", IFERROR(INDEX(SalesforceData!$A$2:'SalesforceData'!$A$36, MATCH(0, COUNTIF(DataTransformation!$A$2:'DataTransformation'!$A50, SalesforceData!$A$2:'SalesforceData'!$A$36), 0)),""))</f>
        <v/>
      </c>
      <c r="B51" t="str" cm="1">
        <f t="array" ref="B51">IF(IFERROR(INDEX(SalesforceData!$B$2:'SalesforceData'!$B$36, MATCH(0, COUNTIF(DataTransformation!$B$2:'DataTransformation'!$B50, SalesforceData!$B$2:'SalesforceData'!$B$36), 0)),"") = 0,"", IFERROR(INDEX(SalesforceData!$B$2:'SalesforceData'!$B$36, MATCH(0, COUNTIF(DataTransformation!$B$2:'DataTransformation'!$B50, SalesforceData!$B$2:'SalesforceData'!$B$36), 0)),""))</f>
        <v/>
      </c>
      <c r="G51" t="str">
        <f t="shared" si="1"/>
        <v/>
      </c>
      <c r="H51" cm="1">
        <f t="array" ref="H51">IFERROR(IF(COUNT(INDEX(SalesforceData!$D$2:$D$36,MATCH(1,($G51=SalesforceData!$A$2:$A$36)*(H$2=SalesforceData!$B$2:'SalesforceData'!$B$36)*(H$3=SalesforceData!$C$2:'SalesforceData'!$C$36),0)))=0,INDEX(SalesforceData!$F$2:$F$36,MATCH(1,($G51=SalesforceData!$A$2:$A$36)*(H$2=SalesforceData!$B$2:'SalesforceData'!$B$36) * (H$3=SalesforceData!$E$2:'SalesforceData'!$E$36),0)),INDEX(SalesforceData!$D$2:$D$36,MATCH(1,($G51=SalesforceData!$A$2:$A$36)*(H$2=SalesforceData!$B$2:'SalesforceData'!$B$36)*(H$3=SalesforceData!$C$2:'SalesforceData'!$C$36),0))),"")</f>
        <v>0</v>
      </c>
      <c r="I51" cm="1">
        <f t="array" ref="I51">IFERROR(IF(COUNT(INDEX(SalesforceData!$D$2:$D$36,MATCH(1,($G51=SalesforceData!$A$2:$A$36)*(I$2=SalesforceData!$B$2:'SalesforceData'!$B$36)*(I$3=SalesforceData!$C$2:'SalesforceData'!$C$36),0)))=0,INDEX(SalesforceData!$F$2:$F$36,MATCH(1,($G51=SalesforceData!$A$2:$A$36)*(I$2=SalesforceData!$B$2:'SalesforceData'!$B$36) * (I$3=SalesforceData!$E$2:'SalesforceData'!$E$36),0)),INDEX(SalesforceData!$D$2:$D$36,MATCH(1,($G51=SalesforceData!$A$2:$A$36)*(I$2=SalesforceData!$B$2:'SalesforceData'!$B$36)*(I$3=SalesforceData!$C$2:'SalesforceData'!$C$36),0))),"")</f>
        <v>0</v>
      </c>
      <c r="J51" cm="1">
        <f t="array" ref="J51">IFERROR(IF(COUNT(INDEX(SalesforceData!$D$2:$D$36,MATCH(1,($G51=SalesforceData!$A$2:$A$36)*(J$2=SalesforceData!$B$2:'SalesforceData'!$B$36)*(J$3=SalesforceData!$C$2:'SalesforceData'!$C$36),0)))=0,INDEX(SalesforceData!$F$2:$F$36,MATCH(1,($G51=SalesforceData!$A$2:$A$36)*(J$2=SalesforceData!$B$2:'SalesforceData'!$B$36) * (J$3=SalesforceData!$E$2:'SalesforceData'!$E$36),0)),INDEX(SalesforceData!$D$2:$D$36,MATCH(1,($G51=SalesforceData!$A$2:$A$36)*(J$2=SalesforceData!$B$2:'SalesforceData'!$B$36)*(J$3=SalesforceData!$C$2:'SalesforceData'!$C$36),0))),"")</f>
        <v>0</v>
      </c>
      <c r="K51" cm="1">
        <f t="array" ref="K51">IFERROR(IF(COUNT(INDEX(SalesforceData!$D$2:$D$36,MATCH(1,($G51=SalesforceData!$A$2:$A$36)*(K$2=SalesforceData!$B$2:'SalesforceData'!$B$36)*(K$3=SalesforceData!$C$2:'SalesforceData'!$C$36),0)))=0,INDEX(SalesforceData!$F$2:$F$36,MATCH(1,($G51=SalesforceData!$A$2:$A$36)*(K$2=SalesforceData!$B$2:'SalesforceData'!$B$36) * (K$3=SalesforceData!$E$2:'SalesforceData'!$E$36),0)),INDEX(SalesforceData!$D$2:$D$36,MATCH(1,($G51=SalesforceData!$A$2:$A$36)*(K$2=SalesforceData!$B$2:'SalesforceData'!$B$36)*(K$3=SalesforceData!$C$2:'SalesforceData'!$C$36),0))),"")</f>
        <v>0</v>
      </c>
      <c r="L51" cm="1">
        <f t="array" ref="L51">IFERROR(IF(COUNT(INDEX(SalesforceData!$D$2:$D$36,MATCH(1,($G51=SalesforceData!$A$2:$A$36)*(L$2=SalesforceData!$B$2:'SalesforceData'!$B$36)*(L$3=SalesforceData!$C$2:'SalesforceData'!$C$36),0)))=0,INDEX(SalesforceData!$F$2:$F$36,MATCH(1,($G51=SalesforceData!$A$2:$A$36)*(L$2=SalesforceData!$B$2:'SalesforceData'!$B$36) * (L$3=SalesforceData!$E$2:'SalesforceData'!$E$36),0)),INDEX(SalesforceData!$D$2:$D$36,MATCH(1,($G51=SalesforceData!$A$2:$A$36)*(L$2=SalesforceData!$B$2:'SalesforceData'!$B$36)*(L$3=SalesforceData!$C$2:'SalesforceData'!$C$36),0))),"")</f>
        <v>0</v>
      </c>
      <c r="M51" cm="1">
        <f t="array" ref="M51">IFERROR(IF(COUNT(INDEX(SalesforceData!$D$2:$D$36,MATCH(1,($G51=SalesforceData!$A$2:$A$36)*(M$2=SalesforceData!$B$2:'SalesforceData'!$B$36)*(M$3=SalesforceData!$C$2:'SalesforceData'!$C$36),0)))=0,INDEX(SalesforceData!$F$2:$F$36,MATCH(1,($G51=SalesforceData!$A$2:$A$36)*(M$2=SalesforceData!$B$2:'SalesforceData'!$B$36) * (M$3=SalesforceData!$E$2:'SalesforceData'!$E$36),0)),INDEX(SalesforceData!$D$2:$D$36,MATCH(1,($G51=SalesforceData!$A$2:$A$36)*(M$2=SalesforceData!$B$2:'SalesforceData'!$B$36)*(M$3=SalesforceData!$C$2:'SalesforceData'!$C$36),0))),"")</f>
        <v>0</v>
      </c>
      <c r="N51" cm="1">
        <f t="array" ref="N51">IFERROR(IF(COUNT(INDEX(SalesforceData!$D$2:$D$36,MATCH(1,($G51=SalesforceData!$A$2:$A$36)*(N$2=SalesforceData!$B$2:'SalesforceData'!$B$36)*(N$3=SalesforceData!$C$2:'SalesforceData'!$C$36),0)))=0,INDEX(SalesforceData!$F$2:$F$36,MATCH(1,($G51=SalesforceData!$A$2:$A$36)*(N$2=SalesforceData!$B$2:'SalesforceData'!$B$36) * (N$3=SalesforceData!$E$2:'SalesforceData'!$E$36),0)),INDEX(SalesforceData!$D$2:$D$36,MATCH(1,($G51=SalesforceData!$A$2:$A$36)*(N$2=SalesforceData!$B$2:'SalesforceData'!$B$36)*(N$3=SalesforceData!$C$2:'SalesforceData'!$C$36),0))),"")</f>
        <v>0</v>
      </c>
      <c r="O51" cm="1">
        <f t="array" ref="O51">IFERROR(IF(COUNT(INDEX(SalesforceData!$D$2:$D$36,MATCH(1,($G51=SalesforceData!$A$2:$A$36)*(O$2=SalesforceData!$B$2:'SalesforceData'!$B$36)*(O$3=SalesforceData!$C$2:'SalesforceData'!$C$36),0)))=0,INDEX(SalesforceData!$F$2:$F$36,MATCH(1,($G51=SalesforceData!$A$2:$A$36)*(O$2=SalesforceData!$B$2:'SalesforceData'!$B$36) * (O$3=SalesforceData!$E$2:'SalesforceData'!$E$36),0)),INDEX(SalesforceData!$D$2:$D$36,MATCH(1,($G51=SalesforceData!$A$2:$A$36)*(O$2=SalesforceData!$B$2:'SalesforceData'!$B$36)*(O$3=SalesforceData!$C$2:'SalesforceData'!$C$36),0))),"")</f>
        <v>0</v>
      </c>
    </row>
  </sheetData>
  <mergeCells count="3">
    <mergeCell ref="A1:B1"/>
    <mergeCell ref="E2:E12"/>
    <mergeCell ref="Q2:Q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0CAE-5492-4511-A291-24CB0FE717F3}">
  <dimension ref="A1:I50"/>
  <sheetViews>
    <sheetView workbookViewId="0">
      <selection activeCell="B5" sqref="B5"/>
    </sheetView>
  </sheetViews>
  <sheetFormatPr defaultColWidth="8.81640625" defaultRowHeight="14.5" x14ac:dyDescent="0.35"/>
  <cols>
    <col min="1" max="1" width="31.453125" bestFit="1" customWidth="1"/>
    <col min="2" max="2" width="6.453125" bestFit="1" customWidth="1"/>
    <col min="3" max="3" width="7.453125" bestFit="1" customWidth="1"/>
    <col min="4" max="4" width="6.453125" bestFit="1" customWidth="1"/>
    <col min="5" max="5" width="7.453125" bestFit="1" customWidth="1"/>
    <col min="6" max="6" width="6.453125" bestFit="1" customWidth="1"/>
    <col min="7" max="7" width="7.453125" bestFit="1" customWidth="1"/>
  </cols>
  <sheetData>
    <row r="1" spans="1:9" x14ac:dyDescent="0.35">
      <c r="A1" s="17" t="s">
        <v>8</v>
      </c>
      <c r="B1" s="18"/>
      <c r="C1" s="18"/>
      <c r="D1" s="18"/>
      <c r="E1" s="18"/>
      <c r="F1" s="18"/>
      <c r="G1" s="18"/>
      <c r="H1" s="18"/>
      <c r="I1" s="18"/>
    </row>
    <row r="3" spans="1:9" x14ac:dyDescent="0.35">
      <c r="A3" s="19" t="s">
        <v>8</v>
      </c>
      <c r="B3" s="25" t="str">
        <f ca="1">IF(DataTransformation!T2 = 0,"",DataTransformation!T2)</f>
        <v/>
      </c>
      <c r="C3" s="25"/>
      <c r="D3" s="25" t="str">
        <f ca="1">IF(DataTransformation!V2 = 0,"",DataTransformation!V2)</f>
        <v/>
      </c>
      <c r="E3" s="25"/>
      <c r="F3" s="25" t="str">
        <f ca="1">IF(DataTransformation!X2 = 0,"",DataTransformation!X2)</f>
        <v/>
      </c>
      <c r="G3" s="25"/>
      <c r="H3" s="25" t="str">
        <f ca="1">IF(DataTransformation!Z2 =0,"",DataTransformation!Z2)</f>
        <v/>
      </c>
      <c r="I3" s="25"/>
    </row>
    <row r="4" spans="1:9" x14ac:dyDescent="0.35">
      <c r="A4" s="14"/>
      <c r="B4" s="14" t="str">
        <f ca="1">DataTransformation!T3</f>
        <v/>
      </c>
      <c r="C4" s="14" t="str">
        <f ca="1">DataTransformation!U3</f>
        <v/>
      </c>
      <c r="D4" s="14" t="str">
        <f ca="1">DataTransformation!V3</f>
        <v/>
      </c>
      <c r="E4" s="14" t="str">
        <f ca="1">DataTransformation!W3</f>
        <v/>
      </c>
      <c r="F4" s="14" t="str">
        <f ca="1">DataTransformation!X3</f>
        <v/>
      </c>
      <c r="G4" s="14" t="str">
        <f ca="1">DataTransformation!Y3</f>
        <v/>
      </c>
      <c r="H4" s="14" t="str">
        <f ca="1">DataTransformation!Z3</f>
        <v/>
      </c>
      <c r="I4" s="14" t="str">
        <f ca="1">DataTransformation!AA3</f>
        <v/>
      </c>
    </row>
    <row r="5" spans="1:9" x14ac:dyDescent="0.35">
      <c r="A5" s="13" t="str">
        <f ca="1">IF(DataTransformation!S4="Manufacturers Empty Weight",DataTransformation!S4&amp;" (MEW)",IF(DataTransformation!S4="Maximum Landing Weight",DataTransformation!S4&amp;" (MLW)",IF(DataTransformation!S4="Maximum Take Off Weight",DataTransformation!S4&amp;" (MTOW)",IF(DataTransformation!S4="Maximum Taxi Weight",DataTransformation!S4&amp;" (MTW)",IF(DataTransformation!S4="Maximum Zero Fuel Weight",DataTransformation!S4&amp;" (MZFW)",IF(DataTransformation!S4="Basic Empty Weight",DataTransformation!S4&amp;" (BEW)",IF(DataTransformation!S4="Maximum Landing Weight - second weight",DataTransformation!S4&amp;" (MLW)",IF(DataTransformation!S4="Maximum Take Off Weight - second weight",DataTransformation!S4&amp;" (MTOW)",IF(DataTransformation!S4="Maximum Taxi Weight - second weight",DataTransformation!S4&amp;" (MTW)",IF(DataTransformation!S4="Operational Empty Weight",DataTransformation!S4&amp;" (OEW)",DataTransformation!S4))))))))))</f>
        <v/>
      </c>
      <c r="B5" s="21" t="str">
        <f ca="1">DataTransformation!T4</f>
        <v/>
      </c>
      <c r="C5" s="21" t="str">
        <f ca="1">DataTransformation!U4</f>
        <v/>
      </c>
      <c r="D5" s="21" t="str">
        <f ca="1">DataTransformation!V4</f>
        <v/>
      </c>
      <c r="E5" s="21" t="str">
        <f ca="1">DataTransformation!W4</f>
        <v/>
      </c>
      <c r="F5" s="21" t="str">
        <f ca="1">DataTransformation!X4</f>
        <v/>
      </c>
      <c r="G5" s="21" t="str">
        <f ca="1">DataTransformation!Y4</f>
        <v/>
      </c>
      <c r="H5" s="21" t="str">
        <f ca="1">DataTransformation!Z4</f>
        <v/>
      </c>
      <c r="I5" s="21" t="str">
        <f ca="1">DataTransformation!AA4</f>
        <v/>
      </c>
    </row>
    <row r="6" spans="1:9" x14ac:dyDescent="0.35">
      <c r="A6" s="13" t="str">
        <f ca="1">IF(DataTransformation!S5="Manufacturers Empty Weight",DataTransformation!S5&amp;" (MEW)",IF(DataTransformation!S5="Maximum Landing Weight",DataTransformation!S5&amp;" (MLW)",IF(DataTransformation!S5="Maximum Take Off Weight",DataTransformation!S5&amp;" (MTOW)",IF(DataTransformation!S5="Maximum Taxi Weight",DataTransformation!S5&amp;" (MTW)",IF(DataTransformation!S5="Maximum Zero Fuel Weight",DataTransformation!S5&amp;" (MZFW)",IF(DataTransformation!S5="Basic Empty Weight",DataTransformation!S5&amp;" (BEW)",IF(DataTransformation!S5="Maximum Landing Weight - second weight",DataTransformation!S5&amp;" (MLW)",IF(DataTransformation!S5="Maximum Take Off Weight - second weight",DataTransformation!S5&amp;" (MTOW)",IF(DataTransformation!S5="Maximum Taxi Weight - second weight",DataTransformation!S5&amp;" (MTW)",IF(DataTransformation!S5="Operational Empty Weight",DataTransformation!S5&amp;" (OEW)",DataTransformation!S5))))))))))</f>
        <v/>
      </c>
      <c r="B6" s="21" t="str">
        <f ca="1">DataTransformation!T5</f>
        <v/>
      </c>
      <c r="C6" s="21" t="str">
        <f ca="1">DataTransformation!U5</f>
        <v/>
      </c>
      <c r="D6" s="21" t="str">
        <f ca="1">DataTransformation!V5</f>
        <v/>
      </c>
      <c r="E6" s="21" t="str">
        <f ca="1">DataTransformation!W5</f>
        <v/>
      </c>
      <c r="F6" s="21" t="str">
        <f ca="1">DataTransformation!X5</f>
        <v/>
      </c>
      <c r="G6" s="21" t="str">
        <f ca="1">DataTransformation!Y5</f>
        <v/>
      </c>
      <c r="H6" s="21" t="str">
        <f ca="1">DataTransformation!Z5</f>
        <v/>
      </c>
      <c r="I6" s="21" t="str">
        <f ca="1">DataTransformation!AA5</f>
        <v/>
      </c>
    </row>
    <row r="7" spans="1:9" x14ac:dyDescent="0.35">
      <c r="A7" s="13" t="str">
        <f ca="1">IF(DataTransformation!S6="Manufacturers Empty Weight",DataTransformation!S6&amp;" (MEW)",IF(DataTransformation!S6="Maximum Landing Weight",DataTransformation!S6&amp;" (MLW)",IF(DataTransformation!S6="Maximum Take Off Weight",DataTransformation!S6&amp;" (MTOW)",IF(DataTransformation!S6="Maximum Taxi Weight",DataTransformation!S6&amp;" (MTW)",IF(DataTransformation!S6="Maximum Zero Fuel Weight",DataTransformation!S6&amp;" (MZFW)",IF(DataTransformation!S6="Basic Empty Weight",DataTransformation!S6&amp;" (BEW)",IF(DataTransformation!S6="Maximum Landing Weight - second weight",DataTransformation!S6&amp;" (MLW)",IF(DataTransformation!S6="Maximum Take Off Weight - second weight",DataTransformation!S6&amp;" (MTOW)",IF(DataTransformation!S6="Maximum Taxi Weight - second weight",DataTransformation!S6&amp;" (MTW)",IF(DataTransformation!S6="Operational Empty Weight",DataTransformation!S6&amp;" (OEW)",DataTransformation!S6))))))))))</f>
        <v/>
      </c>
      <c r="B7" s="21" t="str">
        <f ca="1">DataTransformation!T6</f>
        <v/>
      </c>
      <c r="C7" s="21" t="str">
        <f ca="1">DataTransformation!U6</f>
        <v/>
      </c>
      <c r="D7" s="21" t="str">
        <f ca="1">DataTransformation!V6</f>
        <v/>
      </c>
      <c r="E7" s="21" t="str">
        <f ca="1">DataTransformation!W6</f>
        <v/>
      </c>
      <c r="F7" s="21" t="str">
        <f ca="1">DataTransformation!X6</f>
        <v/>
      </c>
      <c r="G7" s="21" t="str">
        <f ca="1">DataTransformation!Y6</f>
        <v/>
      </c>
      <c r="H7" s="21" t="str">
        <f ca="1">DataTransformation!Z6</f>
        <v/>
      </c>
      <c r="I7" s="21" t="str">
        <f ca="1">DataTransformation!AA6</f>
        <v/>
      </c>
    </row>
    <row r="8" spans="1:9" x14ac:dyDescent="0.35">
      <c r="A8" s="13" t="str">
        <f ca="1">IF(DataTransformation!S7="Manufacturers Empty Weight",DataTransformation!S7&amp;" (MEW)",IF(DataTransformation!S7="Maximum Landing Weight",DataTransformation!S7&amp;" (MLW)",IF(DataTransformation!S7="Maximum Take Off Weight",DataTransformation!S7&amp;" (MTOW)",IF(DataTransformation!S7="Maximum Taxi Weight",DataTransformation!S7&amp;" (MTW)",IF(DataTransformation!S7="Maximum Zero Fuel Weight",DataTransformation!S7&amp;" (MZFW)",IF(DataTransformation!S7="Basic Empty Weight",DataTransformation!S7&amp;" (BEW)",IF(DataTransformation!S7="Maximum Landing Weight - second weight",DataTransformation!S7&amp;" (MLW)",IF(DataTransformation!S7="Maximum Take Off Weight - second weight",DataTransformation!S7&amp;" (MTOW)",IF(DataTransformation!S7="Maximum Taxi Weight - second weight",DataTransformation!S7&amp;" (MTW)",IF(DataTransformation!S7="Operational Empty Weight",DataTransformation!S7&amp;" (OEW)",DataTransformation!S7))))))))))</f>
        <v/>
      </c>
      <c r="B8" s="21" t="str">
        <f ca="1">DataTransformation!T7</f>
        <v/>
      </c>
      <c r="C8" s="21" t="str">
        <f ca="1">DataTransformation!U7</f>
        <v/>
      </c>
      <c r="D8" s="21" t="str">
        <f ca="1">DataTransformation!V7</f>
        <v/>
      </c>
      <c r="E8" s="21" t="str">
        <f ca="1">DataTransformation!W7</f>
        <v/>
      </c>
      <c r="F8" s="21" t="str">
        <f ca="1">DataTransformation!X7</f>
        <v/>
      </c>
      <c r="G8" s="21" t="str">
        <f ca="1">DataTransformation!Y7</f>
        <v/>
      </c>
      <c r="H8" s="21" t="str">
        <f ca="1">DataTransformation!Z7</f>
        <v/>
      </c>
      <c r="I8" s="21" t="str">
        <f ca="1">DataTransformation!AA7</f>
        <v/>
      </c>
    </row>
    <row r="9" spans="1:9" x14ac:dyDescent="0.35">
      <c r="A9" s="13" t="str">
        <f ca="1">IF(DataTransformation!S8="Manufacturers Empty Weight",DataTransformation!S8&amp;" (MEW)",IF(DataTransformation!S8="Maximum Landing Weight",DataTransformation!S8&amp;" (MLW)",IF(DataTransformation!S8="Maximum Take Off Weight",DataTransformation!S8&amp;" (MTOW)",IF(DataTransformation!S8="Maximum Taxi Weight",DataTransformation!S8&amp;" (MTW)",IF(DataTransformation!S8="Maximum Zero Fuel Weight",DataTransformation!S8&amp;" (MZFW)",IF(DataTransformation!S8="Basic Empty Weight",DataTransformation!S8&amp;" (BEW)",IF(DataTransformation!S8="Maximum Landing Weight - second weight",DataTransformation!S8&amp;" (MLW)",IF(DataTransformation!S8="Maximum Take Off Weight - second weight",DataTransformation!S8&amp;" (MTOW)",IF(DataTransformation!S8="Maximum Taxi Weight - second weight",DataTransformation!S8&amp;" (MTW)",IF(DataTransformation!S8="Operational Empty Weight",DataTransformation!S8&amp;" (OEW)",DataTransformation!S8))))))))))</f>
        <v/>
      </c>
      <c r="B9" s="21" t="str">
        <f ca="1">DataTransformation!T8</f>
        <v/>
      </c>
      <c r="C9" s="21" t="str">
        <f ca="1">DataTransformation!U8</f>
        <v/>
      </c>
      <c r="D9" s="21" t="str">
        <f ca="1">DataTransformation!V8</f>
        <v/>
      </c>
      <c r="E9" s="21" t="str">
        <f ca="1">DataTransformation!W8</f>
        <v/>
      </c>
      <c r="F9" s="21" t="str">
        <f ca="1">DataTransformation!X8</f>
        <v/>
      </c>
      <c r="G9" s="21" t="str">
        <f ca="1">DataTransformation!Y8</f>
        <v/>
      </c>
      <c r="H9" s="21" t="str">
        <f ca="1">DataTransformation!Z8</f>
        <v/>
      </c>
      <c r="I9" s="21" t="str">
        <f ca="1">DataTransformation!AA8</f>
        <v/>
      </c>
    </row>
    <row r="10" spans="1:9" x14ac:dyDescent="0.35">
      <c r="A10" s="13" t="str">
        <f ca="1">IF(DataTransformation!S9="Manufacturers Empty Weight",DataTransformation!S9&amp;" (MEW)",IF(DataTransformation!S9="Maximum Landing Weight",DataTransformation!S9&amp;" (MLW)",IF(DataTransformation!S9="Maximum Take Off Weight",DataTransformation!S9&amp;" (MTOW)",IF(DataTransformation!S9="Maximum Taxi Weight",DataTransformation!S9&amp;" (MTW)",IF(DataTransformation!S9="Maximum Zero Fuel Weight",DataTransformation!S9&amp;" (MZFW)",IF(DataTransformation!S9="Basic Empty Weight",DataTransformation!S9&amp;" (BEW)",IF(DataTransformation!S9="Maximum Landing Weight - second weight",DataTransformation!S9&amp;" (MLW)",IF(DataTransformation!S9="Maximum Take Off Weight - second weight",DataTransformation!S9&amp;" (MTOW)",IF(DataTransformation!S9="Maximum Taxi Weight - second weight",DataTransformation!S9&amp;" (MTW)",IF(DataTransformation!S9="Operational Empty Weight",DataTransformation!S9&amp;" (OEW)",DataTransformation!S9))))))))))</f>
        <v/>
      </c>
      <c r="B10" s="8" t="str">
        <f ca="1">DataTransformation!T9</f>
        <v/>
      </c>
      <c r="C10" s="8" t="str">
        <f ca="1">DataTransformation!U9</f>
        <v/>
      </c>
      <c r="D10" s="8" t="str">
        <f ca="1">DataTransformation!V9</f>
        <v/>
      </c>
      <c r="E10" s="8" t="str">
        <f ca="1">DataTransformation!W9</f>
        <v/>
      </c>
      <c r="F10" s="8" t="str">
        <f ca="1">DataTransformation!X9</f>
        <v/>
      </c>
      <c r="G10" s="8" t="str">
        <f ca="1">DataTransformation!Y9</f>
        <v/>
      </c>
      <c r="H10" s="8" t="str">
        <f ca="1">DataTransformation!Z9</f>
        <v/>
      </c>
      <c r="I10" s="8" t="str">
        <f ca="1">DataTransformation!AA9</f>
        <v/>
      </c>
    </row>
    <row r="11" spans="1:9" x14ac:dyDescent="0.35">
      <c r="A11" s="13" t="str">
        <f ca="1">IF(DataTransformation!S10="Manufacturers Empty Weight",DataTransformation!S10&amp;" (MEW)",IF(DataTransformation!S10="Maximum Landing Weight",DataTransformation!S10&amp;" (MLW)",IF(DataTransformation!S10="Maximum Take Off Weight",DataTransformation!S10&amp;" (MTOW)",IF(DataTransformation!S10="Maximum Taxi Weight",DataTransformation!S10&amp;" (MTW)",IF(DataTransformation!S10="Maximum Zero Fuel Weight",DataTransformation!S10&amp;" (MZFW)",IF(DataTransformation!S10="Basic Empty Weight",DataTransformation!S10&amp;" (BEW)",IF(DataTransformation!S10="Maximum Landing Weight - second weight",DataTransformation!S10&amp;" (MLW)",IF(DataTransformation!S10="Maximum Take Off Weight - second weight",DataTransformation!S10&amp;" (MTOW)",IF(DataTransformation!S10="Maximum Taxi Weight - second weight",DataTransformation!S10&amp;" (MTW)",IF(DataTransformation!S10="Operational Empty Weight",DataTransformation!S10&amp;" (OEW)",DataTransformation!S10))))))))))</f>
        <v/>
      </c>
      <c r="B11" s="8" t="str">
        <f ca="1">DataTransformation!T10</f>
        <v/>
      </c>
      <c r="C11" s="8" t="str">
        <f ca="1">DataTransformation!U10</f>
        <v/>
      </c>
      <c r="D11" s="8" t="str">
        <f ca="1">DataTransformation!V10</f>
        <v/>
      </c>
      <c r="E11" s="8" t="str">
        <f ca="1">DataTransformation!W10</f>
        <v/>
      </c>
      <c r="F11" s="8" t="str">
        <f ca="1">DataTransformation!X10</f>
        <v/>
      </c>
      <c r="G11" s="8" t="str">
        <f ca="1">DataTransformation!Y10</f>
        <v/>
      </c>
      <c r="H11" s="8" t="str">
        <f ca="1">DataTransformation!Z10</f>
        <v/>
      </c>
      <c r="I11" s="8" t="str">
        <f ca="1">DataTransformation!AA10</f>
        <v/>
      </c>
    </row>
    <row r="12" spans="1:9" x14ac:dyDescent="0.35">
      <c r="A12" s="13" t="str">
        <f ca="1">IF(DataTransformation!S11="Manufacturers Empty Weight",DataTransformation!S11&amp;" (MEW)",IF(DataTransformation!S11="Maximum Landing Weight",DataTransformation!S11&amp;" (MLW)",IF(DataTransformation!S11="Maximum Take Off Weight",DataTransformation!S11&amp;" (MTOW)",IF(DataTransformation!S11="Maximum Taxi Weight",DataTransformation!S11&amp;" (MTW)",IF(DataTransformation!S11="Maximum Zero Fuel Weight",DataTransformation!S11&amp;" (MZFW)",IF(DataTransformation!S11="Basic Empty Weight",DataTransformation!S11&amp;" (BEW)",IF(DataTransformation!S11="Maximum Landing Weight - second weight",DataTransformation!S11&amp;" (MLW)",IF(DataTransformation!S11="Maximum Take Off Weight - second weight",DataTransformation!S11&amp;" (MTOW)",IF(DataTransformation!S11="Maximum Taxi Weight - second weight",DataTransformation!S11&amp;" (MTW)",IF(DataTransformation!S11="Operational Empty Weight",DataTransformation!S11&amp;" (OEW)",DataTransformation!S11))))))))))</f>
        <v/>
      </c>
      <c r="B12" s="8" t="str">
        <f ca="1">DataTransformation!T11</f>
        <v/>
      </c>
      <c r="C12" s="8" t="str">
        <f ca="1">DataTransformation!U11</f>
        <v/>
      </c>
      <c r="D12" s="8" t="str">
        <f ca="1">DataTransformation!V11</f>
        <v/>
      </c>
      <c r="E12" s="8" t="str">
        <f ca="1">DataTransformation!W11</f>
        <v/>
      </c>
      <c r="F12" s="8" t="str">
        <f ca="1">DataTransformation!X11</f>
        <v/>
      </c>
      <c r="G12" s="8" t="str">
        <f ca="1">DataTransformation!Y11</f>
        <v/>
      </c>
      <c r="H12" s="8" t="str">
        <f ca="1">DataTransformation!Z11</f>
        <v/>
      </c>
      <c r="I12" s="8" t="str">
        <f ca="1">DataTransformation!AA11</f>
        <v/>
      </c>
    </row>
    <row r="13" spans="1:9" x14ac:dyDescent="0.35">
      <c r="A13" s="13" t="str">
        <f ca="1">IF(DataTransformation!S12="Manufacturers Empty Weight",DataTransformation!S12&amp;" (MEW)",IF(DataTransformation!S12="Maximum Landing Weight",DataTransformation!S12&amp;" (MLW)",IF(DataTransformation!S12="Maximum Take Off Weight",DataTransformation!S12&amp;" (MTOW)",IF(DataTransformation!S12="Maximum Taxi Weight",DataTransformation!S12&amp;" (MTW)",IF(DataTransformation!S12="Maximum Zero Fuel Weight",DataTransformation!S12&amp;" (MZFW)",IF(DataTransformation!S12="Basic Empty Weight",DataTransformation!S12&amp;" (BEW)",IF(DataTransformation!S12="Maximum Landing Weight - second weight",DataTransformation!S12&amp;" (MLW)",IF(DataTransformation!S12="Maximum Take Off Weight - second weight",DataTransformation!S12&amp;" (MTOW)",IF(DataTransformation!S12="Maximum Taxi Weight - second weight",DataTransformation!S12&amp;" (MTW)",IF(DataTransformation!S12="Operational Empty Weight",DataTransformation!S12&amp;" (OEW)",DataTransformation!S12))))))))))</f>
        <v/>
      </c>
      <c r="B13" s="8" t="str">
        <f ca="1">DataTransformation!T12</f>
        <v/>
      </c>
      <c r="C13" s="8" t="str">
        <f ca="1">DataTransformation!U12</f>
        <v/>
      </c>
      <c r="D13" s="8" t="str">
        <f ca="1">DataTransformation!V12</f>
        <v/>
      </c>
      <c r="E13" s="8" t="str">
        <f ca="1">DataTransformation!W12</f>
        <v/>
      </c>
      <c r="F13" s="8" t="str">
        <f ca="1">DataTransformation!X12</f>
        <v/>
      </c>
      <c r="G13" s="8" t="str">
        <f ca="1">DataTransformation!Y12</f>
        <v/>
      </c>
      <c r="H13" s="8" t="str">
        <f ca="1">DataTransformation!Z12</f>
        <v/>
      </c>
      <c r="I13" s="8" t="str">
        <f ca="1">DataTransformation!AA12</f>
        <v/>
      </c>
    </row>
    <row r="14" spans="1:9" x14ac:dyDescent="0.35">
      <c r="A14" s="13" t="str">
        <f ca="1">IF(DataTransformation!S13="Manufacturers Empty Weight",DataTransformation!S13&amp;" (MEW)",IF(DataTransformation!S13="Maximum Landing Weight",DataTransformation!S13&amp;" (MLW)",IF(DataTransformation!S13="Maximum Take Off Weight",DataTransformation!S13&amp;" (MTOW)",IF(DataTransformation!S13="Maximum Taxi Weight",DataTransformation!S13&amp;" (MTW)",IF(DataTransformation!S13="Maximum Zero Fuel Weight",DataTransformation!S13&amp;" (MZFW)",IF(DataTransformation!S13="Basic Empty Weight",DataTransformation!S13&amp;" (BEW)",IF(DataTransformation!S13="Maximum Landing Weight - second weight",DataTransformation!S13&amp;" (MLW)",IF(DataTransformation!S13="Maximum Take Off Weight - second weight",DataTransformation!S13&amp;" (MTOW)",IF(DataTransformation!S13="Maximum Taxi Weight - second weight",DataTransformation!S13&amp;" (MTW)",IF(DataTransformation!S13="Operational Empty Weight",DataTransformation!S13&amp;" (OEW)",DataTransformation!S13))))))))))</f>
        <v/>
      </c>
      <c r="B14" s="8" t="str">
        <f ca="1">DataTransformation!T13</f>
        <v/>
      </c>
      <c r="C14" s="8" t="str">
        <f ca="1">DataTransformation!U13</f>
        <v/>
      </c>
      <c r="D14" s="8" t="str">
        <f ca="1">DataTransformation!V13</f>
        <v/>
      </c>
      <c r="E14" s="8" t="str">
        <f ca="1">DataTransformation!W13</f>
        <v/>
      </c>
      <c r="F14" s="8" t="str">
        <f ca="1">DataTransformation!X13</f>
        <v/>
      </c>
      <c r="G14" s="8" t="str">
        <f ca="1">DataTransformation!Y13</f>
        <v/>
      </c>
      <c r="H14" s="8" t="str">
        <f ca="1">DataTransformation!Z13</f>
        <v/>
      </c>
      <c r="I14" s="8" t="str">
        <f ca="1">DataTransformation!AA13</f>
        <v/>
      </c>
    </row>
    <row r="15" spans="1:9" x14ac:dyDescent="0.35">
      <c r="A15" s="13" t="str">
        <f ca="1">IF(DataTransformation!S14="Manufacturers Empty Weight",DataTransformation!S14&amp;" (MEW)",IF(DataTransformation!S14="Maximum Landing Weight",DataTransformation!S14&amp;" (MLW)",IF(DataTransformation!S14="Maximum Take Off Weight",DataTransformation!S14&amp;" (MTOW)",IF(DataTransformation!S14="Maximum Taxi Weight",DataTransformation!S14&amp;" (MTW)",IF(DataTransformation!S14="Maximum Zero Fuel Weight",DataTransformation!S14&amp;" (MZFW)",IF(DataTransformation!S14="Basic Empty Weight",DataTransformation!S14&amp;" (BEW)",IF(DataTransformation!S14="Maximum Landing Weight - second weight",DataTransformation!S14&amp;" (MLW)",IF(DataTransformation!S14="Maximum Take Off Weight - second weight",DataTransformation!S14&amp;" (MTOW)",IF(DataTransformation!S14="Maximum Taxi Weight - second weight",DataTransformation!S14&amp;" (MTW)",IF(DataTransformation!S14="Operational Empty Weight",DataTransformation!S14&amp;" (OEW)",DataTransformation!S14))))))))))</f>
        <v/>
      </c>
      <c r="B15" s="8" t="str">
        <f ca="1">DataTransformation!T14</f>
        <v/>
      </c>
      <c r="C15" s="8" t="str">
        <f ca="1">DataTransformation!U14</f>
        <v/>
      </c>
      <c r="D15" s="8" t="str">
        <f ca="1">DataTransformation!V14</f>
        <v/>
      </c>
      <c r="E15" s="8" t="str">
        <f ca="1">DataTransformation!W14</f>
        <v/>
      </c>
      <c r="F15" s="8" t="str">
        <f ca="1">DataTransformation!X14</f>
        <v/>
      </c>
      <c r="G15" s="8" t="str">
        <f ca="1">DataTransformation!Y14</f>
        <v/>
      </c>
      <c r="H15" s="8" t="str">
        <f ca="1">DataTransformation!Z14</f>
        <v/>
      </c>
      <c r="I15" s="8" t="str">
        <f ca="1">DataTransformation!AA14</f>
        <v/>
      </c>
    </row>
    <row r="16" spans="1:9" x14ac:dyDescent="0.35">
      <c r="A16" s="13" t="str">
        <f ca="1">IF(DataTransformation!S15="Manufacturers Empty Weight",DataTransformation!S15&amp;" (MEW)",IF(DataTransformation!S15="Maximum Landing Weight",DataTransformation!S15&amp;" (MLW)",IF(DataTransformation!S15="Maximum Take Off Weight",DataTransformation!S15&amp;" (MTOW)",IF(DataTransformation!S15="Maximum Taxi Weight",DataTransformation!S15&amp;" (MTW)",IF(DataTransformation!S15="Maximum Zero Fuel Weight",DataTransformation!S15&amp;" (MZFW)",IF(DataTransformation!S15="Basic Empty Weight",DataTransformation!S15&amp;" (BEW)",IF(DataTransformation!S15="Maximum Landing Weight - second weight",DataTransformation!S15&amp;" (MLW)",IF(DataTransformation!S15="Maximum Take Off Weight - second weight",DataTransformation!S15&amp;" (MTOW)",IF(DataTransformation!S15="Maximum Taxi Weight - second weight",DataTransformation!S15&amp;" (MTW)",IF(DataTransformation!S15="Operational Empty Weight",DataTransformation!S15&amp;" (OEW)",DataTransformation!S15))))))))))</f>
        <v/>
      </c>
      <c r="B16" s="8" t="str">
        <f ca="1">DataTransformation!T15</f>
        <v/>
      </c>
      <c r="C16" s="8" t="str">
        <f ca="1">DataTransformation!U15</f>
        <v/>
      </c>
      <c r="D16" s="8" t="str">
        <f ca="1">DataTransformation!V15</f>
        <v/>
      </c>
      <c r="E16" s="8" t="str">
        <f ca="1">DataTransformation!W15</f>
        <v/>
      </c>
      <c r="F16" s="8" t="str">
        <f ca="1">DataTransformation!X15</f>
        <v/>
      </c>
      <c r="G16" s="8" t="str">
        <f ca="1">DataTransformation!Y15</f>
        <v/>
      </c>
      <c r="H16" s="8" t="str">
        <f ca="1">DataTransformation!Z15</f>
        <v/>
      </c>
      <c r="I16" s="8" t="str">
        <f ca="1">DataTransformation!AA15</f>
        <v/>
      </c>
    </row>
    <row r="17" spans="1:9" x14ac:dyDescent="0.35">
      <c r="A17" s="13" t="str">
        <f ca="1">IF(DataTransformation!S16="Manufacturers Empty Weight",DataTransformation!S16&amp;" (MEW)",IF(DataTransformation!S16="Maximum Landing Weight",DataTransformation!S16&amp;" (MLW)",IF(DataTransformation!S16="Maximum Take Off Weight",DataTransformation!S16&amp;" (MTOW)",IF(DataTransformation!S16="Maximum Taxi Weight",DataTransformation!S16&amp;" (MTW)",IF(DataTransformation!S16="Maximum Zero Fuel Weight",DataTransformation!S16&amp;" (MZFW)",IF(DataTransformation!S16="Basic Empty Weight",DataTransformation!S16&amp;" (BEW)",IF(DataTransformation!S16="Maximum Landing Weight - second weight",DataTransformation!S16&amp;" (MLW)",IF(DataTransformation!S16="Maximum Take Off Weight - second weight",DataTransformation!S16&amp;" (MTOW)",IF(DataTransformation!S16="Maximum Taxi Weight - second weight",DataTransformation!S16&amp;" (MTW)",IF(DataTransformation!S16="Operational Empty Weight",DataTransformation!S16&amp;" (OEW)",DataTransformation!S16))))))))))</f>
        <v/>
      </c>
      <c r="B17" s="8" t="str">
        <f ca="1">DataTransformation!T16</f>
        <v/>
      </c>
      <c r="C17" s="8" t="str">
        <f ca="1">DataTransformation!U16</f>
        <v/>
      </c>
      <c r="D17" s="8" t="str">
        <f ca="1">DataTransformation!V16</f>
        <v/>
      </c>
      <c r="E17" s="8" t="str">
        <f ca="1">DataTransformation!W16</f>
        <v/>
      </c>
      <c r="F17" s="8" t="str">
        <f ca="1">DataTransformation!X16</f>
        <v/>
      </c>
      <c r="G17" s="8" t="str">
        <f ca="1">DataTransformation!Y16</f>
        <v/>
      </c>
      <c r="H17" s="8" t="str">
        <f ca="1">DataTransformation!Z16</f>
        <v/>
      </c>
      <c r="I17" s="8" t="str">
        <f ca="1">DataTransformation!AA16</f>
        <v/>
      </c>
    </row>
    <row r="18" spans="1:9" x14ac:dyDescent="0.35">
      <c r="A18" s="13" t="str">
        <f ca="1">IF(DataTransformation!S17="Manufacturers Empty Weight",DataTransformation!S17&amp;" (MEW)",IF(DataTransformation!S17="Maximum Landing Weight",DataTransformation!S17&amp;" (MLW)",IF(DataTransformation!S17="Maximum Take Off Weight",DataTransformation!S17&amp;" (MTOW)",IF(DataTransformation!S17="Maximum Taxi Weight",DataTransformation!S17&amp;" (MTW)",IF(DataTransformation!S17="Maximum Zero Fuel Weight",DataTransformation!S17&amp;" (MZFW)",IF(DataTransformation!S17="Basic Empty Weight",DataTransformation!S17&amp;" (BEW)",IF(DataTransformation!S17="Maximum Landing Weight - second weight",DataTransformation!S17&amp;" (MLW)",IF(DataTransformation!S17="Maximum Take Off Weight - second weight",DataTransformation!S17&amp;" (MTOW)",IF(DataTransformation!S17="Maximum Taxi Weight - second weight",DataTransformation!S17&amp;" (MTW)",IF(DataTransformation!S17="Operational Empty Weight",DataTransformation!S17&amp;" (OEW)",DataTransformation!S17))))))))))</f>
        <v/>
      </c>
      <c r="B18" s="8" t="str">
        <f ca="1">DataTransformation!T17</f>
        <v/>
      </c>
      <c r="C18" s="8" t="str">
        <f ca="1">DataTransformation!U17</f>
        <v/>
      </c>
      <c r="D18" s="8" t="str">
        <f ca="1">DataTransformation!V17</f>
        <v/>
      </c>
      <c r="E18" s="8" t="str">
        <f ca="1">DataTransformation!W17</f>
        <v/>
      </c>
      <c r="F18" s="8" t="str">
        <f ca="1">DataTransformation!X17</f>
        <v/>
      </c>
      <c r="G18" s="8" t="str">
        <f ca="1">DataTransformation!Y17</f>
        <v/>
      </c>
      <c r="H18" s="8" t="str">
        <f ca="1">DataTransformation!Z17</f>
        <v/>
      </c>
      <c r="I18" s="8" t="str">
        <f ca="1">DataTransformation!AA17</f>
        <v/>
      </c>
    </row>
    <row r="19" spans="1:9" x14ac:dyDescent="0.35">
      <c r="A19" s="13" t="str">
        <f ca="1">IF(DataTransformation!S18="Manufacturers Empty Weight",DataTransformation!S18&amp;" (MEW)",IF(DataTransformation!S18="Maximum Landing Weight",DataTransformation!S18&amp;" (MLW)",IF(DataTransformation!S18="Maximum Take Off Weight",DataTransformation!S18&amp;" (MTOW)",IF(DataTransformation!S18="Maximum Taxi Weight",DataTransformation!S18&amp;" (MTW)",IF(DataTransformation!S18="Maximum Zero Fuel Weight",DataTransformation!S18&amp;" (MZFW)",IF(DataTransformation!S18="Basic Empty Weight",DataTransformation!S18&amp;" (BEW)",IF(DataTransformation!S18="Maximum Landing Weight - second weight",DataTransformation!S18&amp;" (MLW)",IF(DataTransformation!S18="Maximum Take Off Weight - second weight",DataTransformation!S18&amp;" (MTOW)",IF(DataTransformation!S18="Maximum Taxi Weight - second weight",DataTransformation!S18&amp;" (MTW)",IF(DataTransformation!S18="Operational Empty Weight",DataTransformation!S18&amp;" (OEW)",DataTransformation!S18))))))))))</f>
        <v/>
      </c>
      <c r="B19" s="8" t="str">
        <f ca="1">DataTransformation!T18</f>
        <v/>
      </c>
      <c r="C19" s="8" t="str">
        <f ca="1">DataTransformation!U18</f>
        <v/>
      </c>
      <c r="D19" s="8" t="str">
        <f ca="1">DataTransformation!V18</f>
        <v/>
      </c>
      <c r="E19" s="8" t="str">
        <f ca="1">DataTransformation!W18</f>
        <v/>
      </c>
      <c r="F19" s="8" t="str">
        <f ca="1">DataTransformation!X18</f>
        <v/>
      </c>
      <c r="G19" s="8" t="str">
        <f ca="1">DataTransformation!Y18</f>
        <v/>
      </c>
      <c r="H19" s="8" t="str">
        <f ca="1">DataTransformation!Z18</f>
        <v/>
      </c>
      <c r="I19" s="8" t="str">
        <f ca="1">DataTransformation!AA18</f>
        <v/>
      </c>
    </row>
    <row r="20" spans="1:9" x14ac:dyDescent="0.35">
      <c r="A20" s="13" t="str">
        <f ca="1">IF(DataTransformation!S19="Manufacturers Empty Weight",DataTransformation!S19&amp;" (MEW)",IF(DataTransformation!S19="Maximum Landing Weight",DataTransformation!S19&amp;" (MLW)",IF(DataTransformation!S19="Maximum Take Off Weight",DataTransformation!S19&amp;" (MTOW)",IF(DataTransformation!S19="Maximum Taxi Weight",DataTransformation!S19&amp;" (MTW)",IF(DataTransformation!S19="Maximum Zero Fuel Weight",DataTransformation!S19&amp;" (MZFW)",IF(DataTransformation!S19="Basic Empty Weight",DataTransformation!S19&amp;" (BEW)",IF(DataTransformation!S19="Maximum Landing Weight - second weight",DataTransformation!S19&amp;" (MLW)",IF(DataTransformation!S19="Maximum Take Off Weight - second weight",DataTransformation!S19&amp;" (MTOW)",IF(DataTransformation!S19="Maximum Taxi Weight - second weight",DataTransformation!S19&amp;" (MTW)",IF(DataTransformation!S19="Operational Empty Weight",DataTransformation!S19&amp;" (OEW)",DataTransformation!S19))))))))))</f>
        <v/>
      </c>
      <c r="B20" s="8" t="str">
        <f ca="1">DataTransformation!T19</f>
        <v/>
      </c>
      <c r="C20" s="8" t="str">
        <f ca="1">DataTransformation!U19</f>
        <v/>
      </c>
      <c r="D20" s="8" t="str">
        <f ca="1">DataTransformation!V19</f>
        <v/>
      </c>
      <c r="E20" s="8" t="str">
        <f ca="1">DataTransformation!W19</f>
        <v/>
      </c>
      <c r="F20" s="8" t="str">
        <f ca="1">DataTransformation!X19</f>
        <v/>
      </c>
      <c r="G20" s="8" t="str">
        <f ca="1">DataTransformation!Y19</f>
        <v/>
      </c>
      <c r="H20" s="8" t="str">
        <f ca="1">DataTransformation!Z19</f>
        <v/>
      </c>
      <c r="I20" s="8" t="str">
        <f ca="1">DataTransformation!AA19</f>
        <v/>
      </c>
    </row>
    <row r="21" spans="1:9" x14ac:dyDescent="0.35">
      <c r="A21" s="13" t="str">
        <f ca="1">IF(DataTransformation!S20="Manufacturers Empty Weight",DataTransformation!S20&amp;" (MEW)",IF(DataTransformation!S20="Maximum Landing Weight",DataTransformation!S20&amp;" (MLW)",IF(DataTransformation!S20="Maximum Take Off Weight",DataTransformation!S20&amp;" (MTOW)",IF(DataTransformation!S20="Maximum Taxi Weight",DataTransformation!S20&amp;" (MTW)",IF(DataTransformation!S20="Maximum Zero Fuel Weight",DataTransformation!S20&amp;" (MZFW)",IF(DataTransformation!S20="Basic Empty Weight",DataTransformation!S20&amp;" (BEW)",IF(DataTransformation!S20="Maximum Landing Weight - second weight",DataTransformation!S20&amp;" (MLW)",IF(DataTransformation!S20="Maximum Take Off Weight - second weight",DataTransformation!S20&amp;" (MTOW)",IF(DataTransformation!S20="Maximum Taxi Weight - second weight",DataTransformation!S20&amp;" (MTW)",IF(DataTransformation!S20="Operational Empty Weight",DataTransformation!S20&amp;" (OEW)",DataTransformation!S20))))))))))</f>
        <v/>
      </c>
      <c r="B21" s="8" t="str">
        <f ca="1">DataTransformation!T20</f>
        <v/>
      </c>
      <c r="C21" s="8" t="str">
        <f ca="1">DataTransformation!U20</f>
        <v/>
      </c>
      <c r="D21" s="8" t="str">
        <f ca="1">DataTransformation!V20</f>
        <v/>
      </c>
      <c r="E21" s="8" t="str">
        <f ca="1">DataTransformation!W20</f>
        <v/>
      </c>
      <c r="F21" s="8" t="str">
        <f ca="1">DataTransformation!X20</f>
        <v/>
      </c>
      <c r="G21" s="8" t="str">
        <f ca="1">DataTransformation!Y20</f>
        <v/>
      </c>
      <c r="H21" s="8" t="str">
        <f ca="1">DataTransformation!Z20</f>
        <v/>
      </c>
      <c r="I21" s="8" t="str">
        <f ca="1">DataTransformation!AA20</f>
        <v/>
      </c>
    </row>
    <row r="22" spans="1:9" x14ac:dyDescent="0.35">
      <c r="A22" s="13" t="str">
        <f ca="1">IF(DataTransformation!S21="Manufacturers Empty Weight",DataTransformation!S21&amp;" (MEW)",IF(DataTransformation!S21="Maximum Landing Weight",DataTransformation!S21&amp;" (MLW)",IF(DataTransformation!S21="Maximum Take Off Weight",DataTransformation!S21&amp;" (MTOW)",IF(DataTransformation!S21="Maximum Taxi Weight",DataTransformation!S21&amp;" (MTW)",IF(DataTransformation!S21="Maximum Zero Fuel Weight",DataTransformation!S21&amp;" (MZFW)",IF(DataTransformation!S21="Basic Empty Weight",DataTransformation!S21&amp;" (BEW)",IF(DataTransformation!S21="Maximum Landing Weight - second weight",DataTransformation!S21&amp;" (MLW)",IF(DataTransformation!S21="Maximum Take Off Weight - second weight",DataTransformation!S21&amp;" (MTOW)",IF(DataTransformation!S21="Maximum Taxi Weight - second weight",DataTransformation!S21&amp;" (MTW)",IF(DataTransformation!S21="Operational Empty Weight",DataTransformation!S21&amp;" (OEW)",DataTransformation!S21))))))))))</f>
        <v/>
      </c>
      <c r="B22" s="8" t="str">
        <f ca="1">DataTransformation!T21</f>
        <v/>
      </c>
      <c r="C22" s="8" t="str">
        <f ca="1">DataTransformation!U21</f>
        <v/>
      </c>
      <c r="D22" s="8" t="str">
        <f ca="1">DataTransformation!V21</f>
        <v/>
      </c>
      <c r="E22" s="8" t="str">
        <f ca="1">DataTransformation!W21</f>
        <v/>
      </c>
      <c r="F22" s="8" t="str">
        <f ca="1">DataTransformation!X21</f>
        <v/>
      </c>
      <c r="G22" s="8" t="str">
        <f ca="1">DataTransformation!Y21</f>
        <v/>
      </c>
      <c r="H22" s="8" t="str">
        <f ca="1">DataTransformation!Z21</f>
        <v/>
      </c>
      <c r="I22" s="8" t="str">
        <f ca="1">DataTransformation!AA21</f>
        <v/>
      </c>
    </row>
    <row r="23" spans="1:9" x14ac:dyDescent="0.35">
      <c r="A23" s="13" t="str">
        <f ca="1">IF(DataTransformation!S22="Manufacturers Empty Weight",DataTransformation!S22&amp;" (MEW)",IF(DataTransformation!S22="Maximum Landing Weight",DataTransformation!S22&amp;" (MLW)",IF(DataTransformation!S22="Maximum Take Off Weight",DataTransformation!S22&amp;" (MTOW)",IF(DataTransformation!S22="Maximum Taxi Weight",DataTransformation!S22&amp;" (MTW)",IF(DataTransformation!S22="Maximum Zero Fuel Weight",DataTransformation!S22&amp;" (MZFW)",IF(DataTransformation!S22="Basic Empty Weight",DataTransformation!S22&amp;" (BEW)",IF(DataTransformation!S22="Maximum Landing Weight - second weight",DataTransformation!S22&amp;" (MLW)",IF(DataTransformation!S22="Maximum Take Off Weight - second weight",DataTransformation!S22&amp;" (MTOW)",IF(DataTransformation!S22="Maximum Taxi Weight - second weight",DataTransformation!S22&amp;" (MTW)",IF(DataTransformation!S22="Operational Empty Weight",DataTransformation!S22&amp;" (OEW)",DataTransformation!S22))))))))))</f>
        <v/>
      </c>
      <c r="B23" s="8" t="str">
        <f ca="1">DataTransformation!T22</f>
        <v/>
      </c>
      <c r="C23" s="8" t="str">
        <f ca="1">DataTransformation!U22</f>
        <v/>
      </c>
      <c r="D23" s="8" t="str">
        <f ca="1">DataTransformation!V22</f>
        <v/>
      </c>
      <c r="E23" s="8" t="str">
        <f ca="1">DataTransformation!W22</f>
        <v/>
      </c>
      <c r="F23" s="8" t="str">
        <f ca="1">DataTransformation!X22</f>
        <v/>
      </c>
      <c r="G23" s="8" t="str">
        <f ca="1">DataTransformation!Y22</f>
        <v/>
      </c>
      <c r="H23" s="8" t="str">
        <f ca="1">DataTransformation!Z22</f>
        <v/>
      </c>
      <c r="I23" s="8" t="str">
        <f ca="1">DataTransformation!AA22</f>
        <v/>
      </c>
    </row>
    <row r="24" spans="1:9" x14ac:dyDescent="0.35">
      <c r="A24" s="13" t="str">
        <f ca="1">IF(DataTransformation!S23="Manufacturers Empty Weight",DataTransformation!S23&amp;" (MEW)",IF(DataTransformation!S23="Maximum Landing Weight",DataTransformation!S23&amp;" (MLW)",IF(DataTransformation!S23="Maximum Take Off Weight",DataTransformation!S23&amp;" (MTOW)",IF(DataTransformation!S23="Maximum Taxi Weight",DataTransformation!S23&amp;" (MTW)",IF(DataTransformation!S23="Maximum Zero Fuel Weight",DataTransformation!S23&amp;" (MZFW)",IF(DataTransformation!S23="Basic Empty Weight",DataTransformation!S23&amp;" (BEW)",IF(DataTransformation!S23="Maximum Landing Weight - second weight",DataTransformation!S23&amp;" (MLW)",IF(DataTransformation!S23="Maximum Take Off Weight - second weight",DataTransformation!S23&amp;" (MTOW)",IF(DataTransformation!S23="Maximum Taxi Weight - second weight",DataTransformation!S23&amp;" (MTW)",IF(DataTransformation!S23="Operational Empty Weight",DataTransformation!S23&amp;" (OEW)",DataTransformation!S23))))))))))</f>
        <v/>
      </c>
      <c r="B24" s="8" t="str">
        <f ca="1">DataTransformation!T23</f>
        <v/>
      </c>
      <c r="C24" s="8" t="str">
        <f ca="1">DataTransformation!U23</f>
        <v/>
      </c>
      <c r="D24" s="8" t="str">
        <f ca="1">DataTransformation!V23</f>
        <v/>
      </c>
      <c r="E24" s="8" t="str">
        <f ca="1">DataTransformation!W23</f>
        <v/>
      </c>
      <c r="F24" s="8" t="str">
        <f ca="1">DataTransformation!X23</f>
        <v/>
      </c>
      <c r="G24" s="8" t="str">
        <f ca="1">DataTransformation!Y23</f>
        <v/>
      </c>
      <c r="H24" s="8" t="str">
        <f ca="1">DataTransformation!Z23</f>
        <v/>
      </c>
      <c r="I24" s="8" t="str">
        <f ca="1">DataTransformation!AA23</f>
        <v/>
      </c>
    </row>
    <row r="25" spans="1:9" x14ac:dyDescent="0.35">
      <c r="A25" s="13" t="str">
        <f ca="1">IF(DataTransformation!S24="Manufacturers Empty Weight",DataTransformation!S24&amp;" (MEW)",IF(DataTransformation!S24="Maximum Landing Weight",DataTransformation!S24&amp;" (MLW)",IF(DataTransformation!S24="Maximum Take Off Weight",DataTransformation!S24&amp;" (MTOW)",IF(DataTransformation!S24="Maximum Taxi Weight",DataTransformation!S24&amp;" (MTW)",IF(DataTransformation!S24="Maximum Zero Fuel Weight",DataTransformation!S24&amp;" (MZFW)",IF(DataTransformation!S24="Basic Empty Weight",DataTransformation!S24&amp;" (BEW)",IF(DataTransformation!S24="Maximum Landing Weight - second weight",DataTransformation!S24&amp;" (MLW)",IF(DataTransformation!S24="Maximum Take Off Weight - second weight",DataTransformation!S24&amp;" (MTOW)",IF(DataTransformation!S24="Maximum Taxi Weight - second weight",DataTransformation!S24&amp;" (MTW)",IF(DataTransformation!S24="Operational Empty Weight",DataTransformation!S24&amp;" (OEW)",DataTransformation!S24))))))))))</f>
        <v/>
      </c>
      <c r="B25" s="8" t="str">
        <f ca="1">DataTransformation!T24</f>
        <v/>
      </c>
      <c r="C25" s="8" t="str">
        <f ca="1">DataTransformation!U24</f>
        <v/>
      </c>
      <c r="D25" s="8" t="str">
        <f ca="1">DataTransformation!V24</f>
        <v/>
      </c>
      <c r="E25" s="8" t="str">
        <f ca="1">DataTransformation!W24</f>
        <v/>
      </c>
      <c r="F25" s="8" t="str">
        <f ca="1">DataTransformation!X24</f>
        <v/>
      </c>
      <c r="G25" s="8" t="str">
        <f ca="1">DataTransformation!Y24</f>
        <v/>
      </c>
      <c r="H25" s="8" t="str">
        <f ca="1">DataTransformation!Z24</f>
        <v/>
      </c>
      <c r="I25" s="8" t="str">
        <f ca="1">DataTransformation!AA24</f>
        <v/>
      </c>
    </row>
    <row r="26" spans="1:9" x14ac:dyDescent="0.35">
      <c r="A26" s="13" t="str">
        <f ca="1">IF(DataTransformation!S25="Manufacturers Empty Weight",DataTransformation!S25&amp;" (MEW)",IF(DataTransformation!S25="Maximum Landing Weight",DataTransformation!S25&amp;" (MLW)",IF(DataTransformation!S25="Maximum Take Off Weight",DataTransformation!S25&amp;" (MTOW)",IF(DataTransformation!S25="Maximum Taxi Weight",DataTransformation!S25&amp;" (MTW)",IF(DataTransformation!S25="Maximum Zero Fuel Weight",DataTransformation!S25&amp;" (MZFW)",IF(DataTransformation!S25="Basic Empty Weight",DataTransformation!S25&amp;" (BEW)",IF(DataTransformation!S25="Maximum Landing Weight - second weight",DataTransformation!S25&amp;" (MLW)",IF(DataTransformation!S25="Maximum Take Off Weight - second weight",DataTransformation!S25&amp;" (MTOW)",IF(DataTransformation!S25="Maximum Taxi Weight - second weight",DataTransformation!S25&amp;" (MTW)",IF(DataTransformation!S25="Operational Empty Weight",DataTransformation!S25&amp;" (OEW)",DataTransformation!S25))))))))))</f>
        <v/>
      </c>
      <c r="B26" s="8" t="str">
        <f ca="1">DataTransformation!T25</f>
        <v/>
      </c>
      <c r="C26" s="8" t="str">
        <f ca="1">DataTransformation!U25</f>
        <v/>
      </c>
      <c r="D26" s="8" t="str">
        <f ca="1">DataTransformation!V25</f>
        <v/>
      </c>
      <c r="E26" s="8" t="str">
        <f ca="1">DataTransformation!W25</f>
        <v/>
      </c>
      <c r="F26" s="8" t="str">
        <f ca="1">DataTransformation!X25</f>
        <v/>
      </c>
      <c r="G26" s="8" t="str">
        <f ca="1">DataTransformation!Y25</f>
        <v/>
      </c>
      <c r="H26" s="8" t="str">
        <f ca="1">DataTransformation!Z25</f>
        <v/>
      </c>
      <c r="I26" s="8" t="str">
        <f ca="1">DataTransformation!AA25</f>
        <v/>
      </c>
    </row>
    <row r="27" spans="1:9" x14ac:dyDescent="0.35">
      <c r="A27" s="13" t="str">
        <f ca="1">IF(DataTransformation!S26="Manufacturers Empty Weight",DataTransformation!S26&amp;" (MEW)",IF(DataTransformation!S26="Maximum Landing Weight",DataTransformation!S26&amp;" (MLW)",IF(DataTransformation!S26="Maximum Take Off Weight",DataTransformation!S26&amp;" (MTOW)",IF(DataTransformation!S26="Maximum Taxi Weight",DataTransformation!S26&amp;" (MTW)",IF(DataTransformation!S26="Maximum Zero Fuel Weight",DataTransformation!S26&amp;" (MZFW)",IF(DataTransformation!S26="Basic Empty Weight",DataTransformation!S26&amp;" (BEW)",IF(DataTransformation!S26="Maximum Landing Weight - second weight",DataTransformation!S26&amp;" (MLW)",IF(DataTransformation!S26="Maximum Take Off Weight - second weight",DataTransformation!S26&amp;" (MTOW)",IF(DataTransformation!S26="Maximum Taxi Weight - second weight",DataTransformation!S26&amp;" (MTW)",IF(DataTransformation!S26="Operational Empty Weight",DataTransformation!S26&amp;" (OEW)",DataTransformation!S26))))))))))</f>
        <v/>
      </c>
      <c r="B27" s="8" t="str">
        <f ca="1">DataTransformation!T26</f>
        <v/>
      </c>
      <c r="C27" s="8" t="str">
        <f ca="1">DataTransformation!U26</f>
        <v/>
      </c>
      <c r="D27" s="8" t="str">
        <f ca="1">DataTransformation!V26</f>
        <v/>
      </c>
      <c r="E27" s="8" t="str">
        <f ca="1">DataTransformation!W26</f>
        <v/>
      </c>
      <c r="F27" s="8" t="str">
        <f ca="1">DataTransformation!X26</f>
        <v/>
      </c>
      <c r="G27" s="8" t="str">
        <f ca="1">DataTransformation!Y26</f>
        <v/>
      </c>
      <c r="H27" s="8" t="str">
        <f ca="1">DataTransformation!Z26</f>
        <v/>
      </c>
      <c r="I27" s="8" t="str">
        <f ca="1">DataTransformation!AA26</f>
        <v/>
      </c>
    </row>
    <row r="28" spans="1:9" x14ac:dyDescent="0.35">
      <c r="A28" s="13" t="str">
        <f ca="1">IF(DataTransformation!S27="Manufacturers Empty Weight",DataTransformation!S27&amp;" (MEW)",IF(DataTransformation!S27="Maximum Landing Weight",DataTransformation!S27&amp;" (MLW)",IF(DataTransformation!S27="Maximum Take Off Weight",DataTransformation!S27&amp;" (MTOW)",IF(DataTransformation!S27="Maximum Taxi Weight",DataTransformation!S27&amp;" (MTW)",IF(DataTransformation!S27="Maximum Zero Fuel Weight",DataTransformation!S27&amp;" (MZFW)",IF(DataTransformation!S27="Basic Empty Weight",DataTransformation!S27&amp;" (BEW)",IF(DataTransformation!S27="Maximum Landing Weight - second weight",DataTransformation!S27&amp;" (MLW)",IF(DataTransformation!S27="Maximum Take Off Weight - second weight",DataTransformation!S27&amp;" (MTOW)",IF(DataTransformation!S27="Maximum Taxi Weight - second weight",DataTransformation!S27&amp;" (MTW)",IF(DataTransformation!S27="Operational Empty Weight",DataTransformation!S27&amp;" (OEW)",DataTransformation!S27))))))))))</f>
        <v/>
      </c>
      <c r="B28" s="8" t="str">
        <f ca="1">DataTransformation!T27</f>
        <v/>
      </c>
      <c r="C28" s="8" t="str">
        <f ca="1">DataTransformation!U27</f>
        <v/>
      </c>
      <c r="D28" s="8" t="str">
        <f ca="1">DataTransformation!V27</f>
        <v/>
      </c>
      <c r="E28" s="8" t="str">
        <f ca="1">DataTransformation!W27</f>
        <v/>
      </c>
      <c r="F28" s="8" t="str">
        <f ca="1">DataTransformation!X27</f>
        <v/>
      </c>
      <c r="G28" s="8" t="str">
        <f ca="1">DataTransformation!Y27</f>
        <v/>
      </c>
      <c r="H28" s="8" t="str">
        <f ca="1">DataTransformation!Z27</f>
        <v/>
      </c>
      <c r="I28" s="8" t="str">
        <f ca="1">DataTransformation!AA27</f>
        <v/>
      </c>
    </row>
    <row r="29" spans="1:9" x14ac:dyDescent="0.35">
      <c r="A29" s="13" t="str">
        <f ca="1">IF(DataTransformation!S28="Manufacturers Empty Weight",DataTransformation!S28&amp;" (MEW)",IF(DataTransformation!S28="Maximum Landing Weight",DataTransformation!S28&amp;" (MLW)",IF(DataTransformation!S28="Maximum Take Off Weight",DataTransformation!S28&amp;" (MTOW)",IF(DataTransformation!S28="Maximum Taxi Weight",DataTransformation!S28&amp;" (MTW)",IF(DataTransformation!S28="Maximum Zero Fuel Weight",DataTransformation!S28&amp;" (MZFW)",IF(DataTransformation!S28="Basic Empty Weight",DataTransformation!S28&amp;" (BEW)",IF(DataTransformation!S28="Maximum Landing Weight - second weight",DataTransformation!S28&amp;" (MLW)",IF(DataTransformation!S28="Maximum Take Off Weight - second weight",DataTransformation!S28&amp;" (MTOW)",IF(DataTransformation!S28="Maximum Taxi Weight - second weight",DataTransformation!S28&amp;" (MTW)",IF(DataTransformation!S28="Operational Empty Weight",DataTransformation!S28&amp;" (OEW)",DataTransformation!S28))))))))))</f>
        <v/>
      </c>
      <c r="B29" s="8" t="str">
        <f ca="1">DataTransformation!T28</f>
        <v/>
      </c>
      <c r="C29" s="8" t="str">
        <f ca="1">DataTransformation!U28</f>
        <v/>
      </c>
      <c r="D29" s="8" t="str">
        <f ca="1">DataTransformation!V28</f>
        <v/>
      </c>
      <c r="E29" s="8" t="str">
        <f ca="1">DataTransformation!W28</f>
        <v/>
      </c>
      <c r="F29" s="8" t="str">
        <f ca="1">DataTransformation!X28</f>
        <v/>
      </c>
      <c r="G29" s="8" t="str">
        <f ca="1">DataTransformation!Y28</f>
        <v/>
      </c>
      <c r="H29" s="8" t="str">
        <f ca="1">DataTransformation!Z28</f>
        <v/>
      </c>
      <c r="I29" s="8" t="str">
        <f ca="1">DataTransformation!AA28</f>
        <v/>
      </c>
    </row>
    <row r="30" spans="1:9" x14ac:dyDescent="0.35">
      <c r="A30" s="13" t="str">
        <f ca="1">IF(DataTransformation!S29="Manufacturers Empty Weight",DataTransformation!S29&amp;" (MEW)",IF(DataTransformation!S29="Maximum Landing Weight",DataTransformation!S29&amp;" (MLW)",IF(DataTransformation!S29="Maximum Take Off Weight",DataTransformation!S29&amp;" (MTOW)",IF(DataTransformation!S29="Maximum Taxi Weight",DataTransformation!S29&amp;" (MTW)",IF(DataTransformation!S29="Maximum Zero Fuel Weight",DataTransformation!S29&amp;" (MZFW)",IF(DataTransformation!S29="Basic Empty Weight",DataTransformation!S29&amp;" (BEW)",IF(DataTransformation!S29="Maximum Landing Weight - second weight",DataTransformation!S29&amp;" (MLW)",IF(DataTransformation!S29="Maximum Take Off Weight - second weight",DataTransformation!S29&amp;" (MTOW)",IF(DataTransformation!S29="Maximum Taxi Weight - second weight",DataTransformation!S29&amp;" (MTW)",IF(DataTransformation!S29="Operational Empty Weight",DataTransformation!S29&amp;" (OEW)",DataTransformation!S29))))))))))</f>
        <v/>
      </c>
      <c r="B30" s="8" t="str">
        <f ca="1">DataTransformation!T29</f>
        <v/>
      </c>
      <c r="C30" s="8" t="str">
        <f ca="1">DataTransformation!U29</f>
        <v/>
      </c>
      <c r="D30" s="8" t="str">
        <f ca="1">DataTransformation!V29</f>
        <v/>
      </c>
      <c r="E30" s="8" t="str">
        <f ca="1">DataTransformation!W29</f>
        <v/>
      </c>
      <c r="F30" s="8" t="str">
        <f ca="1">DataTransformation!X29</f>
        <v/>
      </c>
      <c r="G30" s="8" t="str">
        <f ca="1">DataTransformation!Y29</f>
        <v/>
      </c>
      <c r="H30" s="8" t="str">
        <f ca="1">DataTransformation!Z29</f>
        <v/>
      </c>
      <c r="I30" s="8" t="str">
        <f ca="1">DataTransformation!AA29</f>
        <v/>
      </c>
    </row>
    <row r="31" spans="1:9" x14ac:dyDescent="0.35">
      <c r="A31" s="13" t="str">
        <f ca="1">IF(DataTransformation!S30="Manufacturers Empty Weight",DataTransformation!S30&amp;" (MEW)",IF(DataTransformation!S30="Maximum Landing Weight",DataTransformation!S30&amp;" (MLW)",IF(DataTransformation!S30="Maximum Take Off Weight",DataTransformation!S30&amp;" (MTOW)",IF(DataTransformation!S30="Maximum Taxi Weight",DataTransformation!S30&amp;" (MTW)",IF(DataTransformation!S30="Maximum Zero Fuel Weight",DataTransformation!S30&amp;" (MZFW)",IF(DataTransformation!S30="Basic Empty Weight",DataTransformation!S30&amp;" (BEW)",IF(DataTransformation!S30="Maximum Landing Weight - second weight",DataTransformation!S30&amp;" (MLW)",IF(DataTransformation!S30="Maximum Take Off Weight - second weight",DataTransformation!S30&amp;" (MTOW)",IF(DataTransformation!S30="Maximum Taxi Weight - second weight",DataTransformation!S30&amp;" (MTW)",IF(DataTransformation!S30="Operational Empty Weight",DataTransformation!S30&amp;" (OEW)",DataTransformation!S30))))))))))</f>
        <v/>
      </c>
      <c r="B31" s="8" t="str">
        <f ca="1">DataTransformation!T30</f>
        <v/>
      </c>
      <c r="C31" s="8" t="str">
        <f ca="1">DataTransformation!U30</f>
        <v/>
      </c>
      <c r="D31" s="8" t="str">
        <f ca="1">DataTransformation!V30</f>
        <v/>
      </c>
      <c r="E31" s="8" t="str">
        <f ca="1">DataTransformation!W30</f>
        <v/>
      </c>
      <c r="F31" s="8" t="str">
        <f ca="1">DataTransformation!X30</f>
        <v/>
      </c>
      <c r="G31" s="8" t="str">
        <f ca="1">DataTransformation!Y30</f>
        <v/>
      </c>
      <c r="H31" s="8" t="str">
        <f ca="1">DataTransformation!Z30</f>
        <v/>
      </c>
      <c r="I31" s="8" t="str">
        <f ca="1">DataTransformation!AA30</f>
        <v/>
      </c>
    </row>
    <row r="32" spans="1:9" x14ac:dyDescent="0.35">
      <c r="A32" s="13" t="str">
        <f ca="1">IF(DataTransformation!S31="Manufacturers Empty Weight",DataTransformation!S31&amp;" (MEW)",IF(DataTransformation!S31="Maximum Landing Weight",DataTransformation!S31&amp;" (MLW)",IF(DataTransformation!S31="Maximum Take Off Weight",DataTransformation!S31&amp;" (MTOW)",IF(DataTransformation!S31="Maximum Taxi Weight",DataTransformation!S31&amp;" (MTW)",IF(DataTransformation!S31="Maximum Zero Fuel Weight",DataTransformation!S31&amp;" (MZFW)",IF(DataTransformation!S31="Basic Empty Weight",DataTransformation!S31&amp;" (BEW)",IF(DataTransformation!S31="Maximum Landing Weight - second weight",DataTransformation!S31&amp;" (MLW)",IF(DataTransformation!S31="Maximum Take Off Weight - second weight",DataTransformation!S31&amp;" (MTOW)",IF(DataTransformation!S31="Maximum Taxi Weight - second weight",DataTransformation!S31&amp;" (MTW)",IF(DataTransformation!S31="Operational Empty Weight",DataTransformation!S31&amp;" (OEW)",DataTransformation!S31))))))))))</f>
        <v/>
      </c>
      <c r="B32" s="8" t="str">
        <f ca="1">DataTransformation!T31</f>
        <v/>
      </c>
      <c r="C32" s="8" t="str">
        <f ca="1">DataTransformation!U31</f>
        <v/>
      </c>
      <c r="D32" s="8" t="str">
        <f ca="1">DataTransformation!V31</f>
        <v/>
      </c>
      <c r="E32" s="8" t="str">
        <f ca="1">DataTransformation!W31</f>
        <v/>
      </c>
      <c r="F32" s="8" t="str">
        <f ca="1">DataTransformation!X31</f>
        <v/>
      </c>
      <c r="G32" s="8" t="str">
        <f ca="1">DataTransformation!Y31</f>
        <v/>
      </c>
      <c r="H32" s="8" t="str">
        <f ca="1">DataTransformation!Z31</f>
        <v/>
      </c>
      <c r="I32" s="8" t="str">
        <f ca="1">DataTransformation!AA31</f>
        <v/>
      </c>
    </row>
    <row r="33" spans="1:9" x14ac:dyDescent="0.35">
      <c r="A33" s="13" t="str">
        <f ca="1">IF(DataTransformation!S32="Manufacturers Empty Weight",DataTransformation!S32&amp;" (MEW)",IF(DataTransformation!S32="Maximum Landing Weight",DataTransformation!S32&amp;" (MLW)",IF(DataTransformation!S32="Maximum Take Off Weight",DataTransformation!S32&amp;" (MTOW)",IF(DataTransformation!S32="Maximum Taxi Weight",DataTransformation!S32&amp;" (MTW)",IF(DataTransformation!S32="Maximum Zero Fuel Weight",DataTransformation!S32&amp;" (MZFW)",IF(DataTransformation!S32="Basic Empty Weight",DataTransformation!S32&amp;" (BEW)",IF(DataTransformation!S32="Maximum Landing Weight - second weight",DataTransformation!S32&amp;" (MLW)",IF(DataTransformation!S32="Maximum Take Off Weight - second weight",DataTransformation!S32&amp;" (MTOW)",IF(DataTransformation!S32="Maximum Taxi Weight - second weight",DataTransformation!S32&amp;" (MTW)",IF(DataTransformation!S32="Operational Empty Weight",DataTransformation!S32&amp;" (OEW)",DataTransformation!S32))))))))))</f>
        <v/>
      </c>
      <c r="B33" s="8" t="str">
        <f ca="1">DataTransformation!T32</f>
        <v/>
      </c>
      <c r="C33" s="8" t="str">
        <f ca="1">DataTransformation!U32</f>
        <v/>
      </c>
      <c r="D33" s="8" t="str">
        <f ca="1">DataTransformation!V32</f>
        <v/>
      </c>
      <c r="E33" s="8" t="str">
        <f ca="1">DataTransformation!W32</f>
        <v/>
      </c>
      <c r="F33" s="8" t="str">
        <f ca="1">DataTransformation!X32</f>
        <v/>
      </c>
      <c r="G33" s="8" t="str">
        <f ca="1">DataTransformation!Y32</f>
        <v/>
      </c>
      <c r="H33" s="8" t="str">
        <f ca="1">DataTransformation!Z32</f>
        <v/>
      </c>
      <c r="I33" s="8" t="str">
        <f ca="1">DataTransformation!AA32</f>
        <v/>
      </c>
    </row>
    <row r="34" spans="1:9" x14ac:dyDescent="0.35">
      <c r="A34" s="13" t="str">
        <f ca="1">IF(DataTransformation!S33="Manufacturers Empty Weight",DataTransformation!S33&amp;" (MEW)",IF(DataTransformation!S33="Maximum Landing Weight",DataTransformation!S33&amp;" (MLW)",IF(DataTransformation!S33="Maximum Take Off Weight",DataTransformation!S33&amp;" (MTOW)",IF(DataTransformation!S33="Maximum Taxi Weight",DataTransformation!S33&amp;" (MTW)",IF(DataTransformation!S33="Maximum Zero Fuel Weight",DataTransformation!S33&amp;" (MZFW)",IF(DataTransformation!S33="Basic Empty Weight",DataTransformation!S33&amp;" (BEW)",IF(DataTransformation!S33="Maximum Landing Weight - second weight",DataTransformation!S33&amp;" (MLW)",IF(DataTransformation!S33="Maximum Take Off Weight - second weight",DataTransformation!S33&amp;" (MTOW)",IF(DataTransformation!S33="Maximum Taxi Weight - second weight",DataTransformation!S33&amp;" (MTW)",IF(DataTransformation!S33="Operational Empty Weight",DataTransformation!S33&amp;" (OEW)",DataTransformation!S33))))))))))</f>
        <v/>
      </c>
      <c r="B34" s="8" t="str">
        <f ca="1">DataTransformation!T33</f>
        <v/>
      </c>
      <c r="C34" s="8" t="str">
        <f ca="1">DataTransformation!U33</f>
        <v/>
      </c>
      <c r="D34" s="8" t="str">
        <f ca="1">DataTransformation!V33</f>
        <v/>
      </c>
      <c r="E34" s="8" t="str">
        <f ca="1">DataTransformation!W33</f>
        <v/>
      </c>
      <c r="F34" s="8" t="str">
        <f ca="1">DataTransformation!X33</f>
        <v/>
      </c>
      <c r="G34" s="8" t="str">
        <f ca="1">DataTransformation!Y33</f>
        <v/>
      </c>
      <c r="H34" s="8" t="str">
        <f ca="1">DataTransformation!Z33</f>
        <v/>
      </c>
      <c r="I34" s="8" t="str">
        <f ca="1">DataTransformation!AA33</f>
        <v/>
      </c>
    </row>
    <row r="35" spans="1:9" x14ac:dyDescent="0.35">
      <c r="A35" s="13" t="str">
        <f ca="1">IF(DataTransformation!S34="Manufacturers Empty Weight",DataTransformation!S34&amp;" (MEW)",IF(DataTransformation!S34="Maximum Landing Weight",DataTransformation!S34&amp;" (MLW)",IF(DataTransformation!S34="Maximum Take Off Weight",DataTransformation!S34&amp;" (MTOW)",IF(DataTransformation!S34="Maximum Taxi Weight",DataTransformation!S34&amp;" (MTW)",IF(DataTransformation!S34="Maximum Zero Fuel Weight",DataTransformation!S34&amp;" (MZFW)",IF(DataTransformation!S34="Basic Empty Weight",DataTransformation!S34&amp;" (BEW)",IF(DataTransformation!S34="Maximum Landing Weight - second weight",DataTransformation!S34&amp;" (MLW)",IF(DataTransformation!S34="Maximum Take Off Weight - second weight",DataTransformation!S34&amp;" (MTOW)",IF(DataTransformation!S34="Maximum Taxi Weight - second weight",DataTransformation!S34&amp;" (MTW)",IF(DataTransformation!S34="Operational Empty Weight",DataTransformation!S34&amp;" (OEW)",DataTransformation!S34))))))))))</f>
        <v/>
      </c>
      <c r="B35" s="8" t="str">
        <f ca="1">DataTransformation!T34</f>
        <v/>
      </c>
      <c r="C35" s="8" t="str">
        <f ca="1">DataTransformation!U34</f>
        <v/>
      </c>
      <c r="D35" s="8" t="str">
        <f ca="1">DataTransformation!V34</f>
        <v/>
      </c>
      <c r="E35" s="8" t="str">
        <f ca="1">DataTransformation!W34</f>
        <v/>
      </c>
      <c r="F35" s="8" t="str">
        <f ca="1">DataTransformation!X34</f>
        <v/>
      </c>
      <c r="G35" s="8" t="str">
        <f ca="1">DataTransformation!Y34</f>
        <v/>
      </c>
      <c r="H35" s="8" t="str">
        <f ca="1">DataTransformation!Z34</f>
        <v/>
      </c>
      <c r="I35" s="8" t="str">
        <f ca="1">DataTransformation!AA34</f>
        <v/>
      </c>
    </row>
    <row r="36" spans="1:9" x14ac:dyDescent="0.35">
      <c r="A36" s="13" t="str">
        <f ca="1">IF(DataTransformation!S35="Manufacturers Empty Weight",DataTransformation!S35&amp;" (MEW)",IF(DataTransformation!S35="Maximum Landing Weight",DataTransformation!S35&amp;" (MLW)",IF(DataTransformation!S35="Maximum Take Off Weight",DataTransformation!S35&amp;" (MTOW)",IF(DataTransformation!S35="Maximum Taxi Weight",DataTransformation!S35&amp;" (MTW)",IF(DataTransformation!S35="Maximum Zero Fuel Weight",DataTransformation!S35&amp;" (MZFW)",IF(DataTransformation!S35="Basic Empty Weight",DataTransformation!S35&amp;" (BEW)",IF(DataTransformation!S35="Maximum Landing Weight - second weight",DataTransformation!S35&amp;" (MLW)",IF(DataTransformation!S35="Maximum Take Off Weight - second weight",DataTransformation!S35&amp;" (MTOW)",IF(DataTransformation!S35="Maximum Taxi Weight - second weight",DataTransformation!S35&amp;" (MTW)",IF(DataTransformation!S35="Operational Empty Weight",DataTransformation!S35&amp;" (OEW)",DataTransformation!S35))))))))))</f>
        <v/>
      </c>
      <c r="B36" s="8" t="str">
        <f ca="1">DataTransformation!T35</f>
        <v/>
      </c>
      <c r="C36" s="8" t="str">
        <f ca="1">DataTransformation!U35</f>
        <v/>
      </c>
      <c r="D36" s="8" t="str">
        <f ca="1">DataTransformation!V35</f>
        <v/>
      </c>
      <c r="E36" s="8" t="str">
        <f ca="1">DataTransformation!W35</f>
        <v/>
      </c>
      <c r="F36" s="8" t="str">
        <f ca="1">DataTransformation!X35</f>
        <v/>
      </c>
      <c r="G36" s="8" t="str">
        <f ca="1">DataTransformation!Y35</f>
        <v/>
      </c>
      <c r="H36" s="8" t="str">
        <f ca="1">DataTransformation!Z35</f>
        <v/>
      </c>
      <c r="I36" s="8" t="str">
        <f ca="1">DataTransformation!AA35</f>
        <v/>
      </c>
    </row>
    <row r="37" spans="1:9" x14ac:dyDescent="0.35">
      <c r="A37" s="13" t="str">
        <f ca="1">IF(DataTransformation!S36="Manufacturers Empty Weight",DataTransformation!S36&amp;" (MEW)",IF(DataTransformation!S36="Maximum Landing Weight",DataTransformation!S36&amp;" (MLW)",IF(DataTransformation!S36="Maximum Take Off Weight",DataTransformation!S36&amp;" (MTOW)",IF(DataTransformation!S36="Maximum Taxi Weight",DataTransformation!S36&amp;" (MTW)",IF(DataTransformation!S36="Maximum Zero Fuel Weight",DataTransformation!S36&amp;" (MZFW)",IF(DataTransformation!S36="Basic Empty Weight",DataTransformation!S36&amp;" (BEW)",IF(DataTransformation!S36="Maximum Landing Weight - second weight",DataTransformation!S36&amp;" (MLW)",IF(DataTransformation!S36="Maximum Take Off Weight - second weight",DataTransformation!S36&amp;" (MTOW)",IF(DataTransformation!S36="Maximum Taxi Weight - second weight",DataTransformation!S36&amp;" (MTW)",IF(DataTransformation!S36="Operational Empty Weight",DataTransformation!S36&amp;" (OEW)",DataTransformation!S36))))))))))</f>
        <v/>
      </c>
      <c r="B37" s="8" t="str">
        <f ca="1">DataTransformation!T36</f>
        <v/>
      </c>
      <c r="C37" s="8" t="str">
        <f ca="1">DataTransformation!U36</f>
        <v/>
      </c>
      <c r="D37" s="8" t="str">
        <f ca="1">DataTransformation!V36</f>
        <v/>
      </c>
      <c r="E37" s="8" t="str">
        <f ca="1">DataTransformation!W36</f>
        <v/>
      </c>
      <c r="F37" s="8" t="str">
        <f ca="1">DataTransformation!X36</f>
        <v/>
      </c>
      <c r="G37" s="8" t="str">
        <f ca="1">DataTransformation!Y36</f>
        <v/>
      </c>
      <c r="H37" s="8" t="str">
        <f ca="1">DataTransformation!Z36</f>
        <v/>
      </c>
      <c r="I37" s="8" t="str">
        <f ca="1">DataTransformation!AA36</f>
        <v/>
      </c>
    </row>
    <row r="38" spans="1:9" x14ac:dyDescent="0.35">
      <c r="A38" s="13" t="str">
        <f ca="1">IF(DataTransformation!S37="Manufacturers Empty Weight",DataTransformation!S37&amp;" (MEW)",IF(DataTransformation!S37="Maximum Landing Weight",DataTransformation!S37&amp;" (MLW)",IF(DataTransformation!S37="Maximum Take Off Weight",DataTransformation!S37&amp;" (MTOW)",IF(DataTransformation!S37="Maximum Taxi Weight",DataTransformation!S37&amp;" (MTW)",IF(DataTransformation!S37="Maximum Zero Fuel Weight",DataTransformation!S37&amp;" (MZFW)",IF(DataTransformation!S37="Basic Empty Weight",DataTransformation!S37&amp;" (BEW)",IF(DataTransformation!S37="Maximum Landing Weight - second weight",DataTransformation!S37&amp;" (MLW)",IF(DataTransformation!S37="Maximum Take Off Weight - second weight",DataTransformation!S37&amp;" (MTOW)",IF(DataTransformation!S37="Maximum Taxi Weight - second weight",DataTransformation!S37&amp;" (MTW)",IF(DataTransformation!S37="Operational Empty Weight",DataTransformation!S37&amp;" (OEW)",DataTransformation!S37))))))))))</f>
        <v/>
      </c>
      <c r="B38" s="8" t="str">
        <f ca="1">DataTransformation!T37</f>
        <v/>
      </c>
      <c r="C38" s="8" t="str">
        <f ca="1">DataTransformation!U37</f>
        <v/>
      </c>
      <c r="D38" s="8" t="str">
        <f ca="1">DataTransformation!V37</f>
        <v/>
      </c>
      <c r="E38" s="8" t="str">
        <f ca="1">DataTransformation!W37</f>
        <v/>
      </c>
      <c r="F38" s="8" t="str">
        <f ca="1">DataTransformation!X37</f>
        <v/>
      </c>
      <c r="G38" s="8" t="str">
        <f ca="1">DataTransformation!Y37</f>
        <v/>
      </c>
      <c r="H38" s="8" t="str">
        <f ca="1">DataTransformation!Z37</f>
        <v/>
      </c>
      <c r="I38" s="8" t="str">
        <f ca="1">DataTransformation!AA37</f>
        <v/>
      </c>
    </row>
    <row r="39" spans="1:9" x14ac:dyDescent="0.35">
      <c r="A39" s="13" t="str">
        <f ca="1">IF(DataTransformation!S38="Manufacturers Empty Weight",DataTransformation!S38&amp;" (MEW)",IF(DataTransformation!S38="Maximum Landing Weight",DataTransformation!S38&amp;" (MLW)",IF(DataTransformation!S38="Maximum Take Off Weight",DataTransformation!S38&amp;" (MTOW)",IF(DataTransformation!S38="Maximum Taxi Weight",DataTransformation!S38&amp;" (MTW)",IF(DataTransformation!S38="Maximum Zero Fuel Weight",DataTransformation!S38&amp;" (MZFW)",IF(DataTransformation!S38="Basic Empty Weight",DataTransformation!S38&amp;" (BEW)",IF(DataTransformation!S38="Maximum Landing Weight - second weight",DataTransformation!S38&amp;" (MLW)",IF(DataTransformation!S38="Maximum Take Off Weight - second weight",DataTransformation!S38&amp;" (MTOW)",IF(DataTransformation!S38="Maximum Taxi Weight - second weight",DataTransformation!S38&amp;" (MTW)",IF(DataTransformation!S38="Operational Empty Weight",DataTransformation!S38&amp;" (OEW)",DataTransformation!S38))))))))))</f>
        <v/>
      </c>
      <c r="B39" s="8" t="str">
        <f ca="1">DataTransformation!T38</f>
        <v/>
      </c>
      <c r="C39" s="8" t="str">
        <f ca="1">DataTransformation!U38</f>
        <v/>
      </c>
      <c r="D39" s="8" t="str">
        <f ca="1">DataTransformation!V38</f>
        <v/>
      </c>
      <c r="E39" s="8" t="str">
        <f ca="1">DataTransformation!W38</f>
        <v/>
      </c>
      <c r="F39" s="8" t="str">
        <f ca="1">DataTransformation!X38</f>
        <v/>
      </c>
      <c r="G39" s="8" t="str">
        <f ca="1">DataTransformation!Y38</f>
        <v/>
      </c>
      <c r="H39" s="8" t="str">
        <f ca="1">DataTransformation!Z38</f>
        <v/>
      </c>
      <c r="I39" s="8" t="str">
        <f ca="1">DataTransformation!AA38</f>
        <v/>
      </c>
    </row>
    <row r="40" spans="1:9" x14ac:dyDescent="0.35">
      <c r="A40" s="13" t="str">
        <f ca="1">IF(DataTransformation!S39="Manufacturers Empty Weight",DataTransformation!S39&amp;" (MEW)",IF(DataTransformation!S39="Maximum Landing Weight",DataTransformation!S39&amp;" (MLW)",IF(DataTransformation!S39="Maximum Take Off Weight",DataTransformation!S39&amp;" (MTOW)",IF(DataTransformation!S39="Maximum Taxi Weight",DataTransformation!S39&amp;" (MTW)",IF(DataTransformation!S39="Maximum Zero Fuel Weight",DataTransformation!S39&amp;" (MZFW)",IF(DataTransformation!S39="Basic Empty Weight",DataTransformation!S39&amp;" (BEW)",IF(DataTransformation!S39="Maximum Landing Weight - second weight",DataTransformation!S39&amp;" (MLW)",IF(DataTransformation!S39="Maximum Take Off Weight - second weight",DataTransformation!S39&amp;" (MTOW)",IF(DataTransformation!S39="Maximum Taxi Weight - second weight",DataTransformation!S39&amp;" (MTW)",IF(DataTransformation!S39="Operational Empty Weight",DataTransformation!S39&amp;" (OEW)",DataTransformation!S39))))))))))</f>
        <v/>
      </c>
      <c r="B40" s="8" t="str">
        <f ca="1">DataTransformation!T39</f>
        <v/>
      </c>
      <c r="C40" s="8" t="str">
        <f ca="1">DataTransformation!U39</f>
        <v/>
      </c>
      <c r="D40" s="8" t="str">
        <f ca="1">DataTransformation!V39</f>
        <v/>
      </c>
      <c r="E40" s="8" t="str">
        <f ca="1">DataTransformation!W39</f>
        <v/>
      </c>
      <c r="F40" s="8" t="str">
        <f ca="1">DataTransformation!X39</f>
        <v/>
      </c>
      <c r="G40" s="8" t="str">
        <f ca="1">DataTransformation!Y39</f>
        <v/>
      </c>
      <c r="H40" s="8" t="str">
        <f ca="1">DataTransformation!Z39</f>
        <v/>
      </c>
      <c r="I40" s="8" t="str">
        <f ca="1">DataTransformation!AA39</f>
        <v/>
      </c>
    </row>
    <row r="41" spans="1:9" x14ac:dyDescent="0.35">
      <c r="A41" s="13" t="str">
        <f ca="1">IF(DataTransformation!S40="Manufacturers Empty Weight",DataTransformation!S40&amp;" (MEW)",IF(DataTransformation!S40="Maximum Landing Weight",DataTransformation!S40&amp;" (MLW)",IF(DataTransformation!S40="Maximum Take Off Weight",DataTransformation!S40&amp;" (MTOW)",IF(DataTransformation!S40="Maximum Taxi Weight",DataTransformation!S40&amp;" (MTW)",IF(DataTransformation!S40="Maximum Zero Fuel Weight",DataTransformation!S40&amp;" (MZFW)",IF(DataTransformation!S40="Basic Empty Weight",DataTransformation!S40&amp;" (BEW)",IF(DataTransformation!S40="Maximum Landing Weight - second weight",DataTransformation!S40&amp;" (MLW)",IF(DataTransformation!S40="Maximum Take Off Weight - second weight",DataTransformation!S40&amp;" (MTOW)",IF(DataTransformation!S40="Maximum Taxi Weight - second weight",DataTransformation!S40&amp;" (MTW)",IF(DataTransformation!S40="Operational Empty Weight",DataTransformation!S40&amp;" (OEW)",DataTransformation!S40))))))))))</f>
        <v/>
      </c>
      <c r="B41" s="8" t="str">
        <f ca="1">DataTransformation!T40</f>
        <v/>
      </c>
      <c r="C41" s="8" t="str">
        <f ca="1">DataTransformation!U40</f>
        <v/>
      </c>
      <c r="D41" s="8" t="str">
        <f ca="1">DataTransformation!V40</f>
        <v/>
      </c>
      <c r="E41" s="8" t="str">
        <f ca="1">DataTransformation!W40</f>
        <v/>
      </c>
      <c r="F41" s="8" t="str">
        <f ca="1">DataTransformation!X40</f>
        <v/>
      </c>
      <c r="G41" s="8" t="str">
        <f ca="1">DataTransformation!Y40</f>
        <v/>
      </c>
      <c r="H41" s="8" t="str">
        <f ca="1">DataTransformation!Z40</f>
        <v/>
      </c>
      <c r="I41" s="8" t="str">
        <f ca="1">DataTransformation!AA40</f>
        <v/>
      </c>
    </row>
    <row r="42" spans="1:9" x14ac:dyDescent="0.35">
      <c r="A42" s="13" t="str">
        <f ca="1">IF(DataTransformation!S41="Manufacturers Empty Weight",DataTransformation!S41&amp;" (MEW)",IF(DataTransformation!S41="Maximum Landing Weight",DataTransformation!S41&amp;" (MLW)",IF(DataTransformation!S41="Maximum Take Off Weight",DataTransformation!S41&amp;" (MTOW)",IF(DataTransformation!S41="Maximum Taxi Weight",DataTransformation!S41&amp;" (MTW)",IF(DataTransformation!S41="Maximum Zero Fuel Weight",DataTransformation!S41&amp;" (MZFW)",IF(DataTransformation!S41="Basic Empty Weight",DataTransformation!S41&amp;" (BEW)",IF(DataTransformation!S41="Maximum Landing Weight - second weight",DataTransformation!S41&amp;" (MLW)",IF(DataTransformation!S41="Maximum Take Off Weight - second weight",DataTransformation!S41&amp;" (MTOW)",IF(DataTransformation!S41="Maximum Taxi Weight - second weight",DataTransformation!S41&amp;" (MTW)",IF(DataTransformation!S41="Operational Empty Weight",DataTransformation!S41&amp;" (OEW)",DataTransformation!S41))))))))))</f>
        <v/>
      </c>
      <c r="B42" s="8" t="str">
        <f ca="1">DataTransformation!T41</f>
        <v/>
      </c>
      <c r="C42" s="8" t="str">
        <f ca="1">DataTransformation!U41</f>
        <v/>
      </c>
      <c r="D42" s="8" t="str">
        <f ca="1">DataTransformation!V41</f>
        <v/>
      </c>
      <c r="E42" s="8" t="str">
        <f ca="1">DataTransformation!W41</f>
        <v/>
      </c>
      <c r="F42" s="8" t="str">
        <f ca="1">DataTransformation!X41</f>
        <v/>
      </c>
      <c r="G42" s="8" t="str">
        <f ca="1">DataTransformation!Y41</f>
        <v/>
      </c>
      <c r="H42" s="8" t="str">
        <f ca="1">DataTransformation!Z41</f>
        <v/>
      </c>
      <c r="I42" s="8" t="str">
        <f ca="1">DataTransformation!AA41</f>
        <v/>
      </c>
    </row>
    <row r="43" spans="1:9" x14ac:dyDescent="0.35">
      <c r="A43" s="13" t="str">
        <f ca="1">IF(DataTransformation!S42="Manufacturers Empty Weight",DataTransformation!S42&amp;" (MEW)",IF(DataTransformation!S42="Maximum Landing Weight",DataTransformation!S42&amp;" (MLW)",IF(DataTransformation!S42="Maximum Take Off Weight",DataTransformation!S42&amp;" (MTOW)",IF(DataTransformation!S42="Maximum Taxi Weight",DataTransformation!S42&amp;" (MTW)",IF(DataTransformation!S42="Maximum Zero Fuel Weight",DataTransformation!S42&amp;" (MZFW)",IF(DataTransformation!S42="Basic Empty Weight",DataTransformation!S42&amp;" (BEW)",IF(DataTransformation!S42="Maximum Landing Weight - second weight",DataTransformation!S42&amp;" (MLW)",IF(DataTransformation!S42="Maximum Take Off Weight - second weight",DataTransformation!S42&amp;" (MTOW)",IF(DataTransformation!S42="Maximum Taxi Weight - second weight",DataTransformation!S42&amp;" (MTW)",IF(DataTransformation!S42="Operational Empty Weight",DataTransformation!S42&amp;" (OEW)",DataTransformation!S42))))))))))</f>
        <v/>
      </c>
      <c r="B43" s="8" t="str">
        <f ca="1">DataTransformation!T42</f>
        <v/>
      </c>
      <c r="C43" s="8" t="str">
        <f ca="1">DataTransformation!U42</f>
        <v/>
      </c>
      <c r="D43" s="8" t="str">
        <f ca="1">DataTransformation!V42</f>
        <v/>
      </c>
      <c r="E43" s="8" t="str">
        <f ca="1">DataTransformation!W42</f>
        <v/>
      </c>
      <c r="F43" s="8" t="str">
        <f ca="1">DataTransformation!X42</f>
        <v/>
      </c>
      <c r="G43" s="8" t="str">
        <f ca="1">DataTransformation!Y42</f>
        <v/>
      </c>
      <c r="H43" s="8" t="str">
        <f ca="1">DataTransformation!Z42</f>
        <v/>
      </c>
      <c r="I43" s="8" t="str">
        <f ca="1">DataTransformation!AA42</f>
        <v/>
      </c>
    </row>
    <row r="44" spans="1:9" x14ac:dyDescent="0.35">
      <c r="A44" s="13" t="str">
        <f ca="1">IF(DataTransformation!S43="Manufacturers Empty Weight",DataTransformation!S43&amp;" (MEW)",IF(DataTransformation!S43="Maximum Landing Weight",DataTransformation!S43&amp;" (MLW)",IF(DataTransformation!S43="Maximum Take Off Weight",DataTransformation!S43&amp;" (MTOW)",IF(DataTransformation!S43="Maximum Taxi Weight",DataTransformation!S43&amp;" (MTW)",IF(DataTransformation!S43="Maximum Zero Fuel Weight",DataTransformation!S43&amp;" (MZFW)",IF(DataTransformation!S43="Basic Empty Weight",DataTransformation!S43&amp;" (BEW)",IF(DataTransformation!S43="Maximum Landing Weight - second weight",DataTransformation!S43&amp;" (MLW)",IF(DataTransformation!S43="Maximum Take Off Weight - second weight",DataTransformation!S43&amp;" (MTOW)",IF(DataTransformation!S43="Maximum Taxi Weight - second weight",DataTransformation!S43&amp;" (MTW)",IF(DataTransformation!S43="Operational Empty Weight",DataTransformation!S43&amp;" (OEW)",DataTransformation!S43))))))))))</f>
        <v/>
      </c>
      <c r="B44" s="8" t="str">
        <f ca="1">DataTransformation!T43</f>
        <v/>
      </c>
      <c r="C44" s="8" t="str">
        <f ca="1">DataTransformation!U43</f>
        <v/>
      </c>
      <c r="D44" s="8" t="str">
        <f ca="1">DataTransformation!V43</f>
        <v/>
      </c>
      <c r="E44" s="8" t="str">
        <f ca="1">DataTransformation!W43</f>
        <v/>
      </c>
      <c r="F44" s="8" t="str">
        <f ca="1">DataTransformation!X43</f>
        <v/>
      </c>
      <c r="G44" s="8" t="str">
        <f ca="1">DataTransformation!Y43</f>
        <v/>
      </c>
      <c r="H44" s="8" t="str">
        <f ca="1">DataTransformation!Z43</f>
        <v/>
      </c>
      <c r="I44" s="8" t="str">
        <f ca="1">DataTransformation!AA43</f>
        <v/>
      </c>
    </row>
    <row r="45" spans="1:9" x14ac:dyDescent="0.35">
      <c r="A45" s="13" t="str">
        <f ca="1">IF(DataTransformation!S44="Manufacturers Empty Weight",DataTransformation!S44&amp;" (MEW)",IF(DataTransformation!S44="Maximum Landing Weight",DataTransformation!S44&amp;" (MLW)",IF(DataTransformation!S44="Maximum Take Off Weight",DataTransformation!S44&amp;" (MTOW)",IF(DataTransformation!S44="Maximum Taxi Weight",DataTransformation!S44&amp;" (MTW)",IF(DataTransformation!S44="Maximum Zero Fuel Weight",DataTransformation!S44&amp;" (MZFW)",IF(DataTransformation!S44="Basic Empty Weight",DataTransformation!S44&amp;" (BEW)",IF(DataTransformation!S44="Maximum Landing Weight - second weight",DataTransformation!S44&amp;" (MLW)",IF(DataTransformation!S44="Maximum Take Off Weight - second weight",DataTransformation!S44&amp;" (MTOW)",IF(DataTransformation!S44="Maximum Taxi Weight - second weight",DataTransformation!S44&amp;" (MTW)",IF(DataTransformation!S44="Operational Empty Weight",DataTransformation!S44&amp;" (OEW)",DataTransformation!S44))))))))))</f>
        <v/>
      </c>
      <c r="B45" s="8" t="str">
        <f ca="1">DataTransformation!T44</f>
        <v/>
      </c>
      <c r="C45" s="8" t="str">
        <f ca="1">DataTransformation!U44</f>
        <v/>
      </c>
      <c r="D45" s="8" t="str">
        <f ca="1">DataTransformation!V44</f>
        <v/>
      </c>
      <c r="E45" s="8" t="str">
        <f ca="1">DataTransformation!W44</f>
        <v/>
      </c>
      <c r="F45" s="8" t="str">
        <f ca="1">DataTransformation!X44</f>
        <v/>
      </c>
      <c r="G45" s="8" t="str">
        <f ca="1">DataTransformation!Y44</f>
        <v/>
      </c>
      <c r="H45" s="8" t="str">
        <f ca="1">DataTransformation!Z44</f>
        <v/>
      </c>
      <c r="I45" s="8" t="str">
        <f ca="1">DataTransformation!AA44</f>
        <v/>
      </c>
    </row>
    <row r="46" spans="1:9" x14ac:dyDescent="0.35">
      <c r="A46" s="13" t="str">
        <f ca="1">IF(DataTransformation!S45="Manufacturers Empty Weight",DataTransformation!S45&amp;" (MEW)",IF(DataTransformation!S45="Maximum Landing Weight",DataTransformation!S45&amp;" (MLW)",IF(DataTransformation!S45="Maximum Take Off Weight",DataTransformation!S45&amp;" (MTOW)",IF(DataTransformation!S45="Maximum Taxi Weight",DataTransformation!S45&amp;" (MTW)",IF(DataTransformation!S45="Maximum Zero Fuel Weight",DataTransformation!S45&amp;" (MZFW)",IF(DataTransformation!S45="Basic Empty Weight",DataTransformation!S45&amp;" (BEW)",IF(DataTransformation!S45="Maximum Landing Weight - second weight",DataTransformation!S45&amp;" (MLW)",IF(DataTransformation!S45="Maximum Take Off Weight - second weight",DataTransformation!S45&amp;" (MTOW)",IF(DataTransformation!S45="Maximum Taxi Weight - second weight",DataTransformation!S45&amp;" (MTW)",IF(DataTransformation!S45="Operational Empty Weight",DataTransformation!S45&amp;" (OEW)",DataTransformation!S45))))))))))</f>
        <v/>
      </c>
      <c r="B46" s="8" t="str">
        <f ca="1">DataTransformation!T45</f>
        <v/>
      </c>
      <c r="C46" s="8" t="str">
        <f ca="1">DataTransformation!U45</f>
        <v/>
      </c>
      <c r="D46" s="8" t="str">
        <f ca="1">DataTransformation!V45</f>
        <v/>
      </c>
      <c r="E46" s="8" t="str">
        <f ca="1">DataTransformation!W45</f>
        <v/>
      </c>
      <c r="F46" s="8" t="str">
        <f ca="1">DataTransformation!X45</f>
        <v/>
      </c>
      <c r="G46" s="8" t="str">
        <f ca="1">DataTransformation!Y45</f>
        <v/>
      </c>
      <c r="H46" s="8" t="str">
        <f ca="1">DataTransformation!Z45</f>
        <v/>
      </c>
      <c r="I46" s="8" t="str">
        <f ca="1">DataTransformation!AA45</f>
        <v/>
      </c>
    </row>
    <row r="47" spans="1:9" x14ac:dyDescent="0.35">
      <c r="A47" s="13" t="str">
        <f ca="1">IF(DataTransformation!S46="Manufacturers Empty Weight",DataTransformation!S46&amp;" (MEW)",IF(DataTransformation!S46="Maximum Landing Weight",DataTransformation!S46&amp;" (MLW)",IF(DataTransformation!S46="Maximum Take Off Weight",DataTransformation!S46&amp;" (MTOW)",IF(DataTransformation!S46="Maximum Taxi Weight",DataTransformation!S46&amp;" (MTW)",IF(DataTransformation!S46="Maximum Zero Fuel Weight",DataTransformation!S46&amp;" (MZFW)",IF(DataTransformation!S46="Basic Empty Weight",DataTransformation!S46&amp;" (BEW)",IF(DataTransformation!S46="Maximum Landing Weight - second weight",DataTransformation!S46&amp;" (MLW)",IF(DataTransformation!S46="Maximum Take Off Weight - second weight",DataTransformation!S46&amp;" (MTOW)",IF(DataTransformation!S46="Maximum Taxi Weight - second weight",DataTransformation!S46&amp;" (MTW)",IF(DataTransformation!S46="Operational Empty Weight",DataTransformation!S46&amp;" (OEW)",DataTransformation!S46))))))))))</f>
        <v/>
      </c>
      <c r="B47" s="8" t="str">
        <f ca="1">DataTransformation!T46</f>
        <v/>
      </c>
      <c r="C47" s="8" t="str">
        <f ca="1">DataTransformation!U46</f>
        <v/>
      </c>
      <c r="D47" s="8" t="str">
        <f ca="1">DataTransformation!V46</f>
        <v/>
      </c>
      <c r="E47" s="8" t="str">
        <f ca="1">DataTransformation!W46</f>
        <v/>
      </c>
      <c r="F47" s="8" t="str">
        <f ca="1">DataTransformation!X46</f>
        <v/>
      </c>
      <c r="G47" s="8" t="str">
        <f ca="1">DataTransformation!Y46</f>
        <v/>
      </c>
      <c r="H47" s="8" t="str">
        <f ca="1">DataTransformation!Z46</f>
        <v/>
      </c>
      <c r="I47" s="8" t="str">
        <f ca="1">DataTransformation!AA46</f>
        <v/>
      </c>
    </row>
    <row r="48" spans="1:9" x14ac:dyDescent="0.35">
      <c r="A48" s="13" t="str">
        <f ca="1">IF(DataTransformation!S47="Manufacturers Empty Weight",DataTransformation!S47&amp;" (MEW)",IF(DataTransformation!S47="Maximum Landing Weight",DataTransformation!S47&amp;" (MLW)",IF(DataTransformation!S47="Maximum Take Off Weight",DataTransformation!S47&amp;" (MTOW)",IF(DataTransformation!S47="Maximum Taxi Weight",DataTransformation!S47&amp;" (MTW)",IF(DataTransformation!S47="Maximum Zero Fuel Weight",DataTransformation!S47&amp;" (MZFW)",IF(DataTransformation!S47="Basic Empty Weight",DataTransformation!S47&amp;" (BEW)",IF(DataTransformation!S47="Maximum Landing Weight - second weight",DataTransformation!S47&amp;" (MLW)",IF(DataTransformation!S47="Maximum Take Off Weight - second weight",DataTransformation!S47&amp;" (MTOW)",IF(DataTransformation!S47="Maximum Taxi Weight - second weight",DataTransformation!S47&amp;" (MTW)",IF(DataTransformation!S47="Operational Empty Weight",DataTransformation!S47&amp;" (OEW)",DataTransformation!S47))))))))))</f>
        <v/>
      </c>
      <c r="B48" s="8" t="str">
        <f ca="1">DataTransformation!T47</f>
        <v/>
      </c>
      <c r="C48" s="8" t="str">
        <f ca="1">DataTransformation!U47</f>
        <v/>
      </c>
      <c r="D48" s="8" t="str">
        <f ca="1">DataTransformation!V47</f>
        <v/>
      </c>
      <c r="E48" s="8" t="str">
        <f ca="1">DataTransformation!W47</f>
        <v/>
      </c>
      <c r="F48" s="8" t="str">
        <f ca="1">DataTransformation!X47</f>
        <v/>
      </c>
      <c r="G48" s="8" t="str">
        <f ca="1">DataTransformation!Y47</f>
        <v/>
      </c>
      <c r="H48" s="8" t="str">
        <f ca="1">DataTransformation!Z47</f>
        <v/>
      </c>
      <c r="I48" s="8" t="str">
        <f ca="1">DataTransformation!AA47</f>
        <v/>
      </c>
    </row>
    <row r="49" spans="1:9" x14ac:dyDescent="0.35">
      <c r="A49" s="13" t="str">
        <f ca="1">IF(DataTransformation!S48="Manufacturers Empty Weight",DataTransformation!S48&amp;" (MEW)",IF(DataTransformation!S48="Maximum Landing Weight",DataTransformation!S48&amp;" (MLW)",IF(DataTransformation!S48="Maximum Take Off Weight",DataTransformation!S48&amp;" (MTOW)",IF(DataTransformation!S48="Maximum Taxi Weight",DataTransformation!S48&amp;" (MTW)",IF(DataTransformation!S48="Maximum Zero Fuel Weight",DataTransformation!S48&amp;" (MZFW)",IF(DataTransformation!S48="Basic Empty Weight",DataTransformation!S48&amp;" (BEW)",IF(DataTransformation!S48="Maximum Landing Weight - second weight",DataTransformation!S48&amp;" (MLW)",IF(DataTransformation!S48="Maximum Take Off Weight - second weight",DataTransformation!S48&amp;" (MTOW)",IF(DataTransformation!S48="Maximum Taxi Weight - second weight",DataTransformation!S48&amp;" (MTW)",IF(DataTransformation!S48="Operational Empty Weight",DataTransformation!S48&amp;" (OEW)",DataTransformation!S48))))))))))</f>
        <v/>
      </c>
      <c r="B49" s="8" t="str">
        <f ca="1">DataTransformation!T48</f>
        <v/>
      </c>
      <c r="C49" s="8" t="str">
        <f ca="1">DataTransformation!U48</f>
        <v/>
      </c>
      <c r="D49" s="8" t="str">
        <f ca="1">DataTransformation!V48</f>
        <v/>
      </c>
      <c r="E49" s="8" t="str">
        <f ca="1">DataTransformation!W48</f>
        <v/>
      </c>
      <c r="F49" s="8" t="str">
        <f ca="1">DataTransformation!X48</f>
        <v/>
      </c>
      <c r="G49" s="8" t="str">
        <f ca="1">DataTransformation!Y48</f>
        <v/>
      </c>
      <c r="H49" s="8" t="str">
        <f ca="1">DataTransformation!Z48</f>
        <v/>
      </c>
      <c r="I49" s="8" t="str">
        <f ca="1">DataTransformation!AA48</f>
        <v/>
      </c>
    </row>
    <row r="50" spans="1:9" x14ac:dyDescent="0.35">
      <c r="A50" s="13" t="str">
        <f ca="1">IF(DataTransformation!S49="Manufacturers Empty Weight",DataTransformation!S49&amp;" (MEW)",IF(DataTransformation!S49="Maximum Landing Weight",DataTransformation!S49&amp;" (MLW)",IF(DataTransformation!S49="Maximum Take Off Weight",DataTransformation!S49&amp;" (MTOW)",IF(DataTransformation!S49="Maximum Taxi Weight",DataTransformation!S49&amp;" (MTW)",IF(DataTransformation!S49="Maximum Zero Fuel Weight",DataTransformation!S49&amp;" (MZFW)",IF(DataTransformation!S49="Basic Empty Weight",DataTransformation!S49&amp;" (BEW)",IF(DataTransformation!S49="Maximum Landing Weight - second weight",DataTransformation!S49&amp;" (MLW)",IF(DataTransformation!S49="Maximum Take Off Weight - second weight",DataTransformation!S49&amp;" (MTOW)",IF(DataTransformation!S49="Maximum Taxi Weight - second weight",DataTransformation!S49&amp;" (MTW)",IF(DataTransformation!S49="Operational Empty Weight",DataTransformation!S49&amp;" (OEW)",DataTransformation!S49))))))))))</f>
        <v/>
      </c>
      <c r="B50" s="8" t="str">
        <f ca="1">DataTransformation!T49</f>
        <v/>
      </c>
      <c r="C50" s="8" t="str">
        <f ca="1">DataTransformation!U49</f>
        <v/>
      </c>
      <c r="D50" s="8" t="str">
        <f ca="1">DataTransformation!V49</f>
        <v/>
      </c>
      <c r="E50" s="8" t="str">
        <f ca="1">DataTransformation!W49</f>
        <v/>
      </c>
      <c r="F50" s="8" t="str">
        <f ca="1">DataTransformation!X49</f>
        <v/>
      </c>
      <c r="G50" s="8" t="str">
        <f ca="1">DataTransformation!Y49</f>
        <v/>
      </c>
      <c r="H50" s="8" t="str">
        <f ca="1">DataTransformation!Z49</f>
        <v/>
      </c>
      <c r="I50" s="8" t="str">
        <f ca="1">DataTransformation!AA49</f>
        <v/>
      </c>
    </row>
  </sheetData>
  <mergeCells count="4">
    <mergeCell ref="H3:I3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B523-99F9-B44A-88F3-6D19BF136B67}">
  <dimension ref="A1:B9"/>
  <sheetViews>
    <sheetView workbookViewId="0">
      <selection sqref="A1:B9"/>
    </sheetView>
  </sheetViews>
  <sheetFormatPr defaultColWidth="10.90625" defaultRowHeight="14.5" x14ac:dyDescent="0.35"/>
  <cols>
    <col min="1" max="1" width="40.1796875" bestFit="1" customWidth="1"/>
    <col min="2" max="2" width="4.81640625" bestFit="1" customWidth="1"/>
  </cols>
  <sheetData>
    <row r="1" spans="1:2" x14ac:dyDescent="0.35">
      <c r="A1" s="22" t="s">
        <v>11</v>
      </c>
      <c r="B1" s="22" t="s">
        <v>12</v>
      </c>
    </row>
    <row r="2" spans="1:2" x14ac:dyDescent="0.35">
      <c r="A2" t="s">
        <v>13</v>
      </c>
      <c r="B2">
        <v>1</v>
      </c>
    </row>
    <row r="3" spans="1:2" x14ac:dyDescent="0.35">
      <c r="A3" t="s">
        <v>14</v>
      </c>
      <c r="B3">
        <v>2</v>
      </c>
    </row>
    <row r="4" spans="1:2" x14ac:dyDescent="0.35">
      <c r="A4" t="s">
        <v>15</v>
      </c>
      <c r="B4">
        <v>3</v>
      </c>
    </row>
    <row r="5" spans="1:2" x14ac:dyDescent="0.35">
      <c r="A5" t="s">
        <v>16</v>
      </c>
      <c r="B5">
        <v>4</v>
      </c>
    </row>
    <row r="6" spans="1:2" x14ac:dyDescent="0.35">
      <c r="A6" t="s">
        <v>17</v>
      </c>
      <c r="B6">
        <v>5</v>
      </c>
    </row>
    <row r="7" spans="1:2" x14ac:dyDescent="0.35">
      <c r="A7" t="s">
        <v>18</v>
      </c>
      <c r="B7">
        <v>6</v>
      </c>
    </row>
    <row r="8" spans="1:2" x14ac:dyDescent="0.35">
      <c r="A8" t="s">
        <v>19</v>
      </c>
      <c r="B8">
        <v>7</v>
      </c>
    </row>
    <row r="9" spans="1:2" x14ac:dyDescent="0.35">
      <c r="A9" t="s">
        <v>20</v>
      </c>
      <c r="B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87B0-F4B8-414B-AFF8-3CA7B1132987}">
  <dimension ref="A1:I50"/>
  <sheetViews>
    <sheetView tabSelected="1" topLeftCell="A6" workbookViewId="0">
      <selection activeCell="A11" sqref="A5:I50"/>
    </sheetView>
  </sheetViews>
  <sheetFormatPr defaultColWidth="8.81640625" defaultRowHeight="14.5" x14ac:dyDescent="0.35"/>
  <cols>
    <col min="1" max="1" width="31.453125" bestFit="1" customWidth="1"/>
    <col min="2" max="2" width="6.453125" bestFit="1" customWidth="1"/>
    <col min="3" max="3" width="7.453125" bestFit="1" customWidth="1"/>
    <col min="4" max="4" width="6.453125" bestFit="1" customWidth="1"/>
    <col min="5" max="5" width="7.453125" bestFit="1" customWidth="1"/>
    <col min="6" max="6" width="6.453125" bestFit="1" customWidth="1"/>
    <col min="7" max="7" width="7.453125" bestFit="1" customWidth="1"/>
  </cols>
  <sheetData>
    <row r="1" spans="1:9" x14ac:dyDescent="0.35">
      <c r="A1" s="17" t="s">
        <v>8</v>
      </c>
      <c r="B1" s="18"/>
      <c r="C1" s="18"/>
      <c r="D1" s="18"/>
      <c r="E1" s="18"/>
      <c r="F1" s="18"/>
      <c r="G1" s="18"/>
      <c r="H1" s="18"/>
      <c r="I1" s="18"/>
    </row>
    <row r="3" spans="1:9" x14ac:dyDescent="0.35">
      <c r="A3" s="19" t="s">
        <v>8</v>
      </c>
      <c r="B3" s="25" t="str">
        <f ca="1">IF(DataTransformation!T2 = 0,"",DataTransformation!T2)</f>
        <v/>
      </c>
      <c r="C3" s="25"/>
      <c r="D3" s="25" t="str">
        <f ca="1">IF(DataTransformation!V2 = 0,"",DataTransformation!V2)</f>
        <v/>
      </c>
      <c r="E3" s="25"/>
      <c r="F3" s="25" t="str">
        <f ca="1">IF(DataTransformation!X2 = 0,"",DataTransformation!X2)</f>
        <v/>
      </c>
      <c r="G3" s="25"/>
      <c r="H3" s="25" t="str">
        <f ca="1">IF(DataTransformation!Z2 =0,"",DataTransformation!Z2)</f>
        <v/>
      </c>
      <c r="I3" s="25"/>
    </row>
    <row r="4" spans="1:9" x14ac:dyDescent="0.35">
      <c r="A4" s="14"/>
      <c r="B4" s="14" t="str">
        <f ca="1">DataTransformation!T3</f>
        <v/>
      </c>
      <c r="C4" s="14" t="str">
        <f ca="1">DataTransformation!U3</f>
        <v/>
      </c>
      <c r="D4" s="14" t="str">
        <f ca="1">DataTransformation!V3</f>
        <v/>
      </c>
      <c r="E4" s="14" t="str">
        <f ca="1">DataTransformation!W3</f>
        <v/>
      </c>
      <c r="F4" s="14" t="str">
        <f ca="1">DataTransformation!X3</f>
        <v/>
      </c>
      <c r="G4" s="14" t="str">
        <f ca="1">DataTransformation!Y3</f>
        <v/>
      </c>
      <c r="H4" s="14" t="str">
        <f ca="1">DataTransformation!Z3</f>
        <v/>
      </c>
      <c r="I4" s="14" t="str">
        <f ca="1">DataTransformation!AA3</f>
        <v/>
      </c>
    </row>
    <row r="5" spans="1:9" x14ac:dyDescent="0.35">
      <c r="A5" s="13" t="str">
        <f t="array" aca="1" ref="A5" ca="1">IF('Final Data'!A5="","",INDEX('Final Data'!$A$5:$I$50,MATCH(SMALL(IF(ISNUMBER(MATCH('Final Data'!$A$5:$A$50,'Order By Sequence'!$A$2:$A$9,0)),MATCH('Final Data'!$A$5:$A$50,'Order By Sequence'!$A$2:$A$9,0)),ROW(A1:I1)),IF(ISNUMBER(MATCH('Final Data'!$A$5:$A$50,'Order By Sequence'!$A$2:$A$9,0)),MATCH('Final Data'!$A$5:$A$50,'Order By Sequence'!$A$2:$A$9,0),0),0),COLUMN(A1:I1)))</f>
        <v/>
      </c>
      <c r="B5" s="13" t="str">
        <f t="array" aca="1" ref="B5" ca="1">IF('Final Data'!B5="","",INDEX('Final Data'!$A$5:$I$50,MATCH(SMALL(IF(ISNUMBER(MATCH('Final Data'!$A$5:$A$50,'Order By Sequence'!$A$2:$A$9,0)),MATCH('Final Data'!$A$5:$A$50,'Order By Sequence'!$A$2:$A$9,0)),ROW(B1:J1)),IF(ISNUMBER(MATCH('Final Data'!$A$5:$A$50,'Order By Sequence'!$A$2:$A$9,0)),MATCH('Final Data'!$A$5:$A$50,'Order By Sequence'!$A$2:$A$9,0),0),0),COLUMN(B1:J1)))</f>
        <v/>
      </c>
      <c r="C5" s="13" t="str">
        <f t="array" aca="1" ref="C5" ca="1">IF('Final Data'!C5="","",INDEX('Final Data'!$A$5:$I$50,MATCH(SMALL(IF(ISNUMBER(MATCH('Final Data'!$A$5:$A$50,'Order By Sequence'!$A$2:$A$9,0)),MATCH('Final Data'!$A$5:$A$50,'Order By Sequence'!$A$2:$A$9,0)),ROW(C1:K1)),IF(ISNUMBER(MATCH('Final Data'!$A$5:$A$50,'Order By Sequence'!$A$2:$A$9,0)),MATCH('Final Data'!$A$5:$A$50,'Order By Sequence'!$A$2:$A$9,0),0),0),COLUMN(C1:K1)))</f>
        <v/>
      </c>
      <c r="D5" s="13" t="str">
        <f t="array" aca="1" ref="D5" ca="1">IF('Final Data'!D5="","",INDEX('Final Data'!$A$5:$I$50,MATCH(SMALL(IF(ISNUMBER(MATCH('Final Data'!$A$5:$A$50,'Order By Sequence'!$A$2:$A$9,0)),MATCH('Final Data'!$A$5:$A$50,'Order By Sequence'!$A$2:$A$9,0)),ROW(D1:L1)),IF(ISNUMBER(MATCH('Final Data'!$A$5:$A$50,'Order By Sequence'!$A$2:$A$9,0)),MATCH('Final Data'!$A$5:$A$50,'Order By Sequence'!$A$2:$A$9,0),0),0),COLUMN(D1:L1)))</f>
        <v/>
      </c>
      <c r="E5" s="13" t="str">
        <f t="array" aca="1" ref="E5" ca="1">IF('Final Data'!E5="","",INDEX('Final Data'!$A$5:$I$50,MATCH(SMALL(IF(ISNUMBER(MATCH('Final Data'!$A$5:$A$50,'Order By Sequence'!$A$2:$A$9,0)),MATCH('Final Data'!$A$5:$A$50,'Order By Sequence'!$A$2:$A$9,0)),ROW(E1:M1)),IF(ISNUMBER(MATCH('Final Data'!$A$5:$A$50,'Order By Sequence'!$A$2:$A$9,0)),MATCH('Final Data'!$A$5:$A$50,'Order By Sequence'!$A$2:$A$9,0),0),0),COLUMN(E1:M1)))</f>
        <v/>
      </c>
      <c r="F5" s="13" t="str">
        <f t="array" aca="1" ref="F5" ca="1">IF('Final Data'!F5="","",INDEX('Final Data'!$A$5:$I$50,MATCH(SMALL(IF(ISNUMBER(MATCH('Final Data'!$A$5:$A$50,'Order By Sequence'!$A$2:$A$9,0)),MATCH('Final Data'!$A$5:$A$50,'Order By Sequence'!$A$2:$A$9,0)),ROW(F1:N1)),IF(ISNUMBER(MATCH('Final Data'!$A$5:$A$50,'Order By Sequence'!$A$2:$A$9,0)),MATCH('Final Data'!$A$5:$A$50,'Order By Sequence'!$A$2:$A$9,0),0),0),COLUMN(F1:N1)))</f>
        <v/>
      </c>
      <c r="G5" s="13" t="str">
        <f t="array" aca="1" ref="G5" ca="1">IF('Final Data'!G5="","",INDEX('Final Data'!$A$5:$I$50,MATCH(SMALL(IF(ISNUMBER(MATCH('Final Data'!$A$5:$A$50,'Order By Sequence'!$A$2:$A$9,0)),MATCH('Final Data'!$A$5:$A$50,'Order By Sequence'!$A$2:$A$9,0)),ROW(G1:O1)),IF(ISNUMBER(MATCH('Final Data'!$A$5:$A$50,'Order By Sequence'!$A$2:$A$9,0)),MATCH('Final Data'!$A$5:$A$50,'Order By Sequence'!$A$2:$A$9,0),0),0),COLUMN(G1:O1)))</f>
        <v/>
      </c>
      <c r="H5" s="13" t="str">
        <f t="array" aca="1" ref="H5" ca="1">IF('Final Data'!H5="","",INDEX('Final Data'!$A$5:$I$50,MATCH(SMALL(IF(ISNUMBER(MATCH('Final Data'!$A$5:$A$50,'Order By Sequence'!$A$2:$A$9,0)),MATCH('Final Data'!$A$5:$A$50,'Order By Sequence'!$A$2:$A$9,0)),ROW(H1:P1)),IF(ISNUMBER(MATCH('Final Data'!$A$5:$A$50,'Order By Sequence'!$A$2:$A$9,0)),MATCH('Final Data'!$A$5:$A$50,'Order By Sequence'!$A$2:$A$9,0),0),0),COLUMN(H1:P1)))</f>
        <v/>
      </c>
      <c r="I5" s="13" t="str">
        <f t="array" aca="1" ref="I5" ca="1">IF('Final Data'!I5="","",INDEX('Final Data'!$A$5:$I$50,MATCH(SMALL(IF(ISNUMBER(MATCH('Final Data'!$A$5:$A$50,'Order By Sequence'!$A$2:$A$9,0)),MATCH('Final Data'!$A$5:$A$50,'Order By Sequence'!$A$2:$A$9,0)),ROW(I1:Q1)),IF(ISNUMBER(MATCH('Final Data'!$A$5:$A$50,'Order By Sequence'!$A$2:$A$9,0)),MATCH('Final Data'!$A$5:$A$50,'Order By Sequence'!$A$2:$A$9,0),0),0),COLUMN(I1:Q1)))</f>
        <v/>
      </c>
    </row>
    <row r="6" spans="1:9" x14ac:dyDescent="0.35">
      <c r="A6" s="13" t="str">
        <f t="array" aca="1" ref="A6" ca="1">IF('Final Data'!A6="","",INDEX('Final Data'!$A$5:$I$50,MATCH(SMALL(IF(ISNUMBER(MATCH('Final Data'!$A$5:$A$50,'Order By Sequence'!$A$2:$A$9,0)),MATCH('Final Data'!$A$5:$A$50,'Order By Sequence'!$A$2:$A$9,0)),ROW(A2:I2)),IF(ISNUMBER(MATCH('Final Data'!$A$5:$A$50,'Order By Sequence'!$A$2:$A$9,0)),MATCH('Final Data'!$A$5:$A$50,'Order By Sequence'!$A$2:$A$9,0),0),0),COLUMN(A2:I2)))</f>
        <v/>
      </c>
      <c r="B6" s="13" t="str">
        <f t="array" aca="1" ref="B6" ca="1">IF('Final Data'!B6="","",INDEX('Final Data'!$A$5:$I$50,MATCH(SMALL(IF(ISNUMBER(MATCH('Final Data'!$A$5:$A$50,'Order By Sequence'!$A$2:$A$9,0)),MATCH('Final Data'!$A$5:$A$50,'Order By Sequence'!$A$2:$A$9,0)),ROW(B2:J2)),IF(ISNUMBER(MATCH('Final Data'!$A$5:$A$50,'Order By Sequence'!$A$2:$A$9,0)),MATCH('Final Data'!$A$5:$A$50,'Order By Sequence'!$A$2:$A$9,0),0),0),COLUMN(B2:J2)))</f>
        <v/>
      </c>
      <c r="C6" s="13" t="str">
        <f t="array" aca="1" ref="C6" ca="1">IF('Final Data'!C6="","",INDEX('Final Data'!$A$5:$I$50,MATCH(SMALL(IF(ISNUMBER(MATCH('Final Data'!$A$5:$A$50,'Order By Sequence'!$A$2:$A$9,0)),MATCH('Final Data'!$A$5:$A$50,'Order By Sequence'!$A$2:$A$9,0)),ROW(C2:K2)),IF(ISNUMBER(MATCH('Final Data'!$A$5:$A$50,'Order By Sequence'!$A$2:$A$9,0)),MATCH('Final Data'!$A$5:$A$50,'Order By Sequence'!$A$2:$A$9,0),0),0),COLUMN(C2:K2)))</f>
        <v/>
      </c>
      <c r="D6" s="13" t="str">
        <f t="array" aca="1" ref="D6" ca="1">IF('Final Data'!D6="","",INDEX('Final Data'!$A$5:$I$50,MATCH(SMALL(IF(ISNUMBER(MATCH('Final Data'!$A$5:$A$50,'Order By Sequence'!$A$2:$A$9,0)),MATCH('Final Data'!$A$5:$A$50,'Order By Sequence'!$A$2:$A$9,0)),ROW(D2:L2)),IF(ISNUMBER(MATCH('Final Data'!$A$5:$A$50,'Order By Sequence'!$A$2:$A$9,0)),MATCH('Final Data'!$A$5:$A$50,'Order By Sequence'!$A$2:$A$9,0),0),0),COLUMN(D2:L2)))</f>
        <v/>
      </c>
      <c r="E6" s="13" t="str">
        <f t="array" aca="1" ref="E6" ca="1">IF('Final Data'!E6="","",INDEX('Final Data'!$A$5:$I$50,MATCH(SMALL(IF(ISNUMBER(MATCH('Final Data'!$A$5:$A$50,'Order By Sequence'!$A$2:$A$9,0)),MATCH('Final Data'!$A$5:$A$50,'Order By Sequence'!$A$2:$A$9,0)),ROW(E2:M2)),IF(ISNUMBER(MATCH('Final Data'!$A$5:$A$50,'Order By Sequence'!$A$2:$A$9,0)),MATCH('Final Data'!$A$5:$A$50,'Order By Sequence'!$A$2:$A$9,0),0),0),COLUMN(E2:M2)))</f>
        <v/>
      </c>
      <c r="F6" s="13" t="str">
        <f t="array" aca="1" ref="F6" ca="1">IF('Final Data'!F6="","",INDEX('Final Data'!$A$5:$I$50,MATCH(SMALL(IF(ISNUMBER(MATCH('Final Data'!$A$5:$A$50,'Order By Sequence'!$A$2:$A$9,0)),MATCH('Final Data'!$A$5:$A$50,'Order By Sequence'!$A$2:$A$9,0)),ROW(F2:N2)),IF(ISNUMBER(MATCH('Final Data'!$A$5:$A$50,'Order By Sequence'!$A$2:$A$9,0)),MATCH('Final Data'!$A$5:$A$50,'Order By Sequence'!$A$2:$A$9,0),0),0),COLUMN(F2:N2)))</f>
        <v/>
      </c>
      <c r="G6" s="13" t="str">
        <f t="array" aca="1" ref="G6" ca="1">IF('Final Data'!G6="","",INDEX('Final Data'!$A$5:$I$50,MATCH(SMALL(IF(ISNUMBER(MATCH('Final Data'!$A$5:$A$50,'Order By Sequence'!$A$2:$A$9,0)),MATCH('Final Data'!$A$5:$A$50,'Order By Sequence'!$A$2:$A$9,0)),ROW(G2:O2)),IF(ISNUMBER(MATCH('Final Data'!$A$5:$A$50,'Order By Sequence'!$A$2:$A$9,0)),MATCH('Final Data'!$A$5:$A$50,'Order By Sequence'!$A$2:$A$9,0),0),0),COLUMN(G2:O2)))</f>
        <v/>
      </c>
      <c r="H6" s="13" t="str">
        <f t="array" aca="1" ref="H6" ca="1">IF('Final Data'!H6="","",INDEX('Final Data'!$A$5:$I$50,MATCH(SMALL(IF(ISNUMBER(MATCH('Final Data'!$A$5:$A$50,'Order By Sequence'!$A$2:$A$9,0)),MATCH('Final Data'!$A$5:$A$50,'Order By Sequence'!$A$2:$A$9,0)),ROW(H2:P2)),IF(ISNUMBER(MATCH('Final Data'!$A$5:$A$50,'Order By Sequence'!$A$2:$A$9,0)),MATCH('Final Data'!$A$5:$A$50,'Order By Sequence'!$A$2:$A$9,0),0),0),COLUMN(H2:P2)))</f>
        <v/>
      </c>
      <c r="I6" s="13" t="str">
        <f t="array" aca="1" ref="I6" ca="1">IF('Final Data'!I6="","",INDEX('Final Data'!$A$5:$I$50,MATCH(SMALL(IF(ISNUMBER(MATCH('Final Data'!$A$5:$A$50,'Order By Sequence'!$A$2:$A$9,0)),MATCH('Final Data'!$A$5:$A$50,'Order By Sequence'!$A$2:$A$9,0)),ROW(I2:Q2)),IF(ISNUMBER(MATCH('Final Data'!$A$5:$A$50,'Order By Sequence'!$A$2:$A$9,0)),MATCH('Final Data'!$A$5:$A$50,'Order By Sequence'!$A$2:$A$9,0),0),0),COLUMN(I2:Q2)))</f>
        <v/>
      </c>
    </row>
    <row r="7" spans="1:9" x14ac:dyDescent="0.35">
      <c r="A7" s="13" t="str">
        <f t="array" aca="1" ref="A7" ca="1">IF('Final Data'!A7="","",INDEX('Final Data'!$A$5:$I$50,MATCH(SMALL(IF(ISNUMBER(MATCH('Final Data'!$A$5:$A$50,'Order By Sequence'!$A$2:$A$9,0)),MATCH('Final Data'!$A$5:$A$50,'Order By Sequence'!$A$2:$A$9,0)),ROW(A3:I3)),IF(ISNUMBER(MATCH('Final Data'!$A$5:$A$50,'Order By Sequence'!$A$2:$A$9,0)),MATCH('Final Data'!$A$5:$A$50,'Order By Sequence'!$A$2:$A$9,0),0),0),COLUMN(A3:I3)))</f>
        <v/>
      </c>
      <c r="B7" s="13" t="str">
        <f t="array" aca="1" ref="B7" ca="1">IF('Final Data'!B7="","",INDEX('Final Data'!$A$5:$I$50,MATCH(SMALL(IF(ISNUMBER(MATCH('Final Data'!$A$5:$A$50,'Order By Sequence'!$A$2:$A$9,0)),MATCH('Final Data'!$A$5:$A$50,'Order By Sequence'!$A$2:$A$9,0)),ROW(B3:J3)),IF(ISNUMBER(MATCH('Final Data'!$A$5:$A$50,'Order By Sequence'!$A$2:$A$9,0)),MATCH('Final Data'!$A$5:$A$50,'Order By Sequence'!$A$2:$A$9,0),0),0),COLUMN(B3:J3)))</f>
        <v/>
      </c>
      <c r="C7" s="13" t="str">
        <f t="array" aca="1" ref="C7" ca="1">IF('Final Data'!C7="","",INDEX('Final Data'!$A$5:$I$50,MATCH(SMALL(IF(ISNUMBER(MATCH('Final Data'!$A$5:$A$50,'Order By Sequence'!$A$2:$A$9,0)),MATCH('Final Data'!$A$5:$A$50,'Order By Sequence'!$A$2:$A$9,0)),ROW(C3:K3)),IF(ISNUMBER(MATCH('Final Data'!$A$5:$A$50,'Order By Sequence'!$A$2:$A$9,0)),MATCH('Final Data'!$A$5:$A$50,'Order By Sequence'!$A$2:$A$9,0),0),0),COLUMN(C3:K3)))</f>
        <v/>
      </c>
      <c r="D7" s="13" t="str">
        <f t="array" aca="1" ref="D7" ca="1">IF('Final Data'!D7="","",INDEX('Final Data'!$A$5:$I$50,MATCH(SMALL(IF(ISNUMBER(MATCH('Final Data'!$A$5:$A$50,'Order By Sequence'!$A$2:$A$9,0)),MATCH('Final Data'!$A$5:$A$50,'Order By Sequence'!$A$2:$A$9,0)),ROW(D3:L3)),IF(ISNUMBER(MATCH('Final Data'!$A$5:$A$50,'Order By Sequence'!$A$2:$A$9,0)),MATCH('Final Data'!$A$5:$A$50,'Order By Sequence'!$A$2:$A$9,0),0),0),COLUMN(D3:L3)))</f>
        <v/>
      </c>
      <c r="E7" s="13" t="str">
        <f t="array" aca="1" ref="E7" ca="1">IF('Final Data'!E7="","",INDEX('Final Data'!$A$5:$I$50,MATCH(SMALL(IF(ISNUMBER(MATCH('Final Data'!$A$5:$A$50,'Order By Sequence'!$A$2:$A$9,0)),MATCH('Final Data'!$A$5:$A$50,'Order By Sequence'!$A$2:$A$9,0)),ROW(E3:M3)),IF(ISNUMBER(MATCH('Final Data'!$A$5:$A$50,'Order By Sequence'!$A$2:$A$9,0)),MATCH('Final Data'!$A$5:$A$50,'Order By Sequence'!$A$2:$A$9,0),0),0),COLUMN(E3:M3)))</f>
        <v/>
      </c>
      <c r="F7" s="13" t="str">
        <f t="array" aca="1" ref="F7" ca="1">IF('Final Data'!F7="","",INDEX('Final Data'!$A$5:$I$50,MATCH(SMALL(IF(ISNUMBER(MATCH('Final Data'!$A$5:$A$50,'Order By Sequence'!$A$2:$A$9,0)),MATCH('Final Data'!$A$5:$A$50,'Order By Sequence'!$A$2:$A$9,0)),ROW(F3:N3)),IF(ISNUMBER(MATCH('Final Data'!$A$5:$A$50,'Order By Sequence'!$A$2:$A$9,0)),MATCH('Final Data'!$A$5:$A$50,'Order By Sequence'!$A$2:$A$9,0),0),0),COLUMN(F3:N3)))</f>
        <v/>
      </c>
      <c r="G7" s="13" t="str">
        <f t="array" aca="1" ref="G7" ca="1">IF('Final Data'!G7="","",INDEX('Final Data'!$A$5:$I$50,MATCH(SMALL(IF(ISNUMBER(MATCH('Final Data'!$A$5:$A$50,'Order By Sequence'!$A$2:$A$9,0)),MATCH('Final Data'!$A$5:$A$50,'Order By Sequence'!$A$2:$A$9,0)),ROW(G3:O3)),IF(ISNUMBER(MATCH('Final Data'!$A$5:$A$50,'Order By Sequence'!$A$2:$A$9,0)),MATCH('Final Data'!$A$5:$A$50,'Order By Sequence'!$A$2:$A$9,0),0),0),COLUMN(G3:O3)))</f>
        <v/>
      </c>
      <c r="H7" s="13" t="str">
        <f t="array" aca="1" ref="H7" ca="1">IF('Final Data'!H7="","",INDEX('Final Data'!$A$5:$I$50,MATCH(SMALL(IF(ISNUMBER(MATCH('Final Data'!$A$5:$A$50,'Order By Sequence'!$A$2:$A$9,0)),MATCH('Final Data'!$A$5:$A$50,'Order By Sequence'!$A$2:$A$9,0)),ROW(H3:P3)),IF(ISNUMBER(MATCH('Final Data'!$A$5:$A$50,'Order By Sequence'!$A$2:$A$9,0)),MATCH('Final Data'!$A$5:$A$50,'Order By Sequence'!$A$2:$A$9,0),0),0),COLUMN(H3:P3)))</f>
        <v/>
      </c>
      <c r="I7" s="13" t="str">
        <f t="array" aca="1" ref="I7" ca="1">IF('Final Data'!I7="","",INDEX('Final Data'!$A$5:$I$50,MATCH(SMALL(IF(ISNUMBER(MATCH('Final Data'!$A$5:$A$50,'Order By Sequence'!$A$2:$A$9,0)),MATCH('Final Data'!$A$5:$A$50,'Order By Sequence'!$A$2:$A$9,0)),ROW(I3:Q3)),IF(ISNUMBER(MATCH('Final Data'!$A$5:$A$50,'Order By Sequence'!$A$2:$A$9,0)),MATCH('Final Data'!$A$5:$A$50,'Order By Sequence'!$A$2:$A$9,0),0),0),COLUMN(I3:Q3)))</f>
        <v/>
      </c>
    </row>
    <row r="8" spans="1:9" x14ac:dyDescent="0.35">
      <c r="A8" s="13" t="str">
        <f t="array" aca="1" ref="A8" ca="1">IF('Final Data'!A8="","",INDEX('Final Data'!$A$5:$I$50,MATCH(SMALL(IF(ISNUMBER(MATCH('Final Data'!$A$5:$A$50,'Order By Sequence'!$A$2:$A$9,0)),MATCH('Final Data'!$A$5:$A$50,'Order By Sequence'!$A$2:$A$9,0)),ROW(A4:I4)),IF(ISNUMBER(MATCH('Final Data'!$A$5:$A$50,'Order By Sequence'!$A$2:$A$9,0)),MATCH('Final Data'!$A$5:$A$50,'Order By Sequence'!$A$2:$A$9,0),0),0),COLUMN(A4:I4)))</f>
        <v/>
      </c>
      <c r="B8" s="13" t="str">
        <f t="array" aca="1" ref="B8" ca="1">IF('Final Data'!B8="","",INDEX('Final Data'!$A$5:$I$50,MATCH(SMALL(IF(ISNUMBER(MATCH('Final Data'!$A$5:$A$50,'Order By Sequence'!$A$2:$A$9,0)),MATCH('Final Data'!$A$5:$A$50,'Order By Sequence'!$A$2:$A$9,0)),ROW(B4:J4)),IF(ISNUMBER(MATCH('Final Data'!$A$5:$A$50,'Order By Sequence'!$A$2:$A$9,0)),MATCH('Final Data'!$A$5:$A$50,'Order By Sequence'!$A$2:$A$9,0),0),0),COLUMN(B4:J4)))</f>
        <v/>
      </c>
      <c r="C8" s="13" t="str">
        <f t="array" aca="1" ref="C8" ca="1">IF('Final Data'!C8="","",INDEX('Final Data'!$A$5:$I$50,MATCH(SMALL(IF(ISNUMBER(MATCH('Final Data'!$A$5:$A$50,'Order By Sequence'!$A$2:$A$9,0)),MATCH('Final Data'!$A$5:$A$50,'Order By Sequence'!$A$2:$A$9,0)),ROW(C4:K4)),IF(ISNUMBER(MATCH('Final Data'!$A$5:$A$50,'Order By Sequence'!$A$2:$A$9,0)),MATCH('Final Data'!$A$5:$A$50,'Order By Sequence'!$A$2:$A$9,0),0),0),COLUMN(C4:K4)))</f>
        <v/>
      </c>
      <c r="D8" s="13" t="str">
        <f t="array" aca="1" ref="D8" ca="1">IF('Final Data'!D8="","",INDEX('Final Data'!$A$5:$I$50,MATCH(SMALL(IF(ISNUMBER(MATCH('Final Data'!$A$5:$A$50,'Order By Sequence'!$A$2:$A$9,0)),MATCH('Final Data'!$A$5:$A$50,'Order By Sequence'!$A$2:$A$9,0)),ROW(D4:L4)),IF(ISNUMBER(MATCH('Final Data'!$A$5:$A$50,'Order By Sequence'!$A$2:$A$9,0)),MATCH('Final Data'!$A$5:$A$50,'Order By Sequence'!$A$2:$A$9,0),0),0),COLUMN(D4:L4)))</f>
        <v/>
      </c>
      <c r="E8" s="13" t="str">
        <f t="array" aca="1" ref="E8" ca="1">IF('Final Data'!E8="","",INDEX('Final Data'!$A$5:$I$50,MATCH(SMALL(IF(ISNUMBER(MATCH('Final Data'!$A$5:$A$50,'Order By Sequence'!$A$2:$A$9,0)),MATCH('Final Data'!$A$5:$A$50,'Order By Sequence'!$A$2:$A$9,0)),ROW(E4:M4)),IF(ISNUMBER(MATCH('Final Data'!$A$5:$A$50,'Order By Sequence'!$A$2:$A$9,0)),MATCH('Final Data'!$A$5:$A$50,'Order By Sequence'!$A$2:$A$9,0),0),0),COLUMN(E4:M4)))</f>
        <v/>
      </c>
      <c r="F8" s="13" t="str">
        <f t="array" aca="1" ref="F8" ca="1">IF('Final Data'!F8="","",INDEX('Final Data'!$A$5:$I$50,MATCH(SMALL(IF(ISNUMBER(MATCH('Final Data'!$A$5:$A$50,'Order By Sequence'!$A$2:$A$9,0)),MATCH('Final Data'!$A$5:$A$50,'Order By Sequence'!$A$2:$A$9,0)),ROW(F4:N4)),IF(ISNUMBER(MATCH('Final Data'!$A$5:$A$50,'Order By Sequence'!$A$2:$A$9,0)),MATCH('Final Data'!$A$5:$A$50,'Order By Sequence'!$A$2:$A$9,0),0),0),COLUMN(F4:N4)))</f>
        <v/>
      </c>
      <c r="G8" s="13" t="str">
        <f t="array" aca="1" ref="G8" ca="1">IF('Final Data'!G8="","",INDEX('Final Data'!$A$5:$I$50,MATCH(SMALL(IF(ISNUMBER(MATCH('Final Data'!$A$5:$A$50,'Order By Sequence'!$A$2:$A$9,0)),MATCH('Final Data'!$A$5:$A$50,'Order By Sequence'!$A$2:$A$9,0)),ROW(G4:O4)),IF(ISNUMBER(MATCH('Final Data'!$A$5:$A$50,'Order By Sequence'!$A$2:$A$9,0)),MATCH('Final Data'!$A$5:$A$50,'Order By Sequence'!$A$2:$A$9,0),0),0),COLUMN(G4:O4)))</f>
        <v/>
      </c>
      <c r="H8" s="13" t="str">
        <f t="array" aca="1" ref="H8" ca="1">IF('Final Data'!H8="","",INDEX('Final Data'!$A$5:$I$50,MATCH(SMALL(IF(ISNUMBER(MATCH('Final Data'!$A$5:$A$50,'Order By Sequence'!$A$2:$A$9,0)),MATCH('Final Data'!$A$5:$A$50,'Order By Sequence'!$A$2:$A$9,0)),ROW(H4:P4)),IF(ISNUMBER(MATCH('Final Data'!$A$5:$A$50,'Order By Sequence'!$A$2:$A$9,0)),MATCH('Final Data'!$A$5:$A$50,'Order By Sequence'!$A$2:$A$9,0),0),0),COLUMN(H4:P4)))</f>
        <v/>
      </c>
      <c r="I8" s="13" t="str">
        <f t="array" aca="1" ref="I8" ca="1">IF('Final Data'!I8="","",INDEX('Final Data'!$A$5:$I$50,MATCH(SMALL(IF(ISNUMBER(MATCH('Final Data'!$A$5:$A$50,'Order By Sequence'!$A$2:$A$9,0)),MATCH('Final Data'!$A$5:$A$50,'Order By Sequence'!$A$2:$A$9,0)),ROW(I4:Q4)),IF(ISNUMBER(MATCH('Final Data'!$A$5:$A$50,'Order By Sequence'!$A$2:$A$9,0)),MATCH('Final Data'!$A$5:$A$50,'Order By Sequence'!$A$2:$A$9,0),0),0),COLUMN(I4:Q4)))</f>
        <v/>
      </c>
    </row>
    <row r="9" spans="1:9" x14ac:dyDescent="0.35">
      <c r="A9" s="13" t="str">
        <f t="array" aca="1" ref="A9" ca="1">IF('Final Data'!A9="","",INDEX('Final Data'!$A$5:$I$50,MATCH(SMALL(IF(ISNUMBER(MATCH('Final Data'!$A$5:$A$50,'Order By Sequence'!$A$2:$A$9,0)),MATCH('Final Data'!$A$5:$A$50,'Order By Sequence'!$A$2:$A$9,0)),ROW(A5:I5)),IF(ISNUMBER(MATCH('Final Data'!$A$5:$A$50,'Order By Sequence'!$A$2:$A$9,0)),MATCH('Final Data'!$A$5:$A$50,'Order By Sequence'!$A$2:$A$9,0),0),0),COLUMN(A5:I5)))</f>
        <v/>
      </c>
      <c r="B9" s="13" t="str">
        <f t="array" aca="1" ref="B9" ca="1">IF('Final Data'!B9="","",INDEX('Final Data'!$A$5:$I$50,MATCH(SMALL(IF(ISNUMBER(MATCH('Final Data'!$A$5:$A$50,'Order By Sequence'!$A$2:$A$9,0)),MATCH('Final Data'!$A$5:$A$50,'Order By Sequence'!$A$2:$A$9,0)),ROW(B5:J5)),IF(ISNUMBER(MATCH('Final Data'!$A$5:$A$50,'Order By Sequence'!$A$2:$A$9,0)),MATCH('Final Data'!$A$5:$A$50,'Order By Sequence'!$A$2:$A$9,0),0),0),COLUMN(B5:J5)))</f>
        <v/>
      </c>
      <c r="C9" s="13" t="str">
        <f t="array" aca="1" ref="C9" ca="1">IF('Final Data'!C9="","",INDEX('Final Data'!$A$5:$I$50,MATCH(SMALL(IF(ISNUMBER(MATCH('Final Data'!$A$5:$A$50,'Order By Sequence'!$A$2:$A$9,0)),MATCH('Final Data'!$A$5:$A$50,'Order By Sequence'!$A$2:$A$9,0)),ROW(C5:K5)),IF(ISNUMBER(MATCH('Final Data'!$A$5:$A$50,'Order By Sequence'!$A$2:$A$9,0)),MATCH('Final Data'!$A$5:$A$50,'Order By Sequence'!$A$2:$A$9,0),0),0),COLUMN(C5:K5)))</f>
        <v/>
      </c>
      <c r="D9" s="13" t="str">
        <f t="array" aca="1" ref="D9" ca="1">IF('Final Data'!D9="","",INDEX('Final Data'!$A$5:$I$50,MATCH(SMALL(IF(ISNUMBER(MATCH('Final Data'!$A$5:$A$50,'Order By Sequence'!$A$2:$A$9,0)),MATCH('Final Data'!$A$5:$A$50,'Order By Sequence'!$A$2:$A$9,0)),ROW(D5:L5)),IF(ISNUMBER(MATCH('Final Data'!$A$5:$A$50,'Order By Sequence'!$A$2:$A$9,0)),MATCH('Final Data'!$A$5:$A$50,'Order By Sequence'!$A$2:$A$9,0),0),0),COLUMN(D5:L5)))</f>
        <v/>
      </c>
      <c r="E9" s="13" t="str">
        <f t="array" aca="1" ref="E9" ca="1">IF('Final Data'!E9="","",INDEX('Final Data'!$A$5:$I$50,MATCH(SMALL(IF(ISNUMBER(MATCH('Final Data'!$A$5:$A$50,'Order By Sequence'!$A$2:$A$9,0)),MATCH('Final Data'!$A$5:$A$50,'Order By Sequence'!$A$2:$A$9,0)),ROW(E5:M5)),IF(ISNUMBER(MATCH('Final Data'!$A$5:$A$50,'Order By Sequence'!$A$2:$A$9,0)),MATCH('Final Data'!$A$5:$A$50,'Order By Sequence'!$A$2:$A$9,0),0),0),COLUMN(E5:M5)))</f>
        <v/>
      </c>
      <c r="F9" s="13" t="str">
        <f t="array" aca="1" ref="F9" ca="1">IF('Final Data'!F9="","",INDEX('Final Data'!$A$5:$I$50,MATCH(SMALL(IF(ISNUMBER(MATCH('Final Data'!$A$5:$A$50,'Order By Sequence'!$A$2:$A$9,0)),MATCH('Final Data'!$A$5:$A$50,'Order By Sequence'!$A$2:$A$9,0)),ROW(F5:N5)),IF(ISNUMBER(MATCH('Final Data'!$A$5:$A$50,'Order By Sequence'!$A$2:$A$9,0)),MATCH('Final Data'!$A$5:$A$50,'Order By Sequence'!$A$2:$A$9,0),0),0),COLUMN(F5:N5)))</f>
        <v/>
      </c>
      <c r="G9" s="13" t="str">
        <f t="array" aca="1" ref="G9" ca="1">IF('Final Data'!G9="","",INDEX('Final Data'!$A$5:$I$50,MATCH(SMALL(IF(ISNUMBER(MATCH('Final Data'!$A$5:$A$50,'Order By Sequence'!$A$2:$A$9,0)),MATCH('Final Data'!$A$5:$A$50,'Order By Sequence'!$A$2:$A$9,0)),ROW(G5:O5)),IF(ISNUMBER(MATCH('Final Data'!$A$5:$A$50,'Order By Sequence'!$A$2:$A$9,0)),MATCH('Final Data'!$A$5:$A$50,'Order By Sequence'!$A$2:$A$9,0),0),0),COLUMN(G5:O5)))</f>
        <v/>
      </c>
      <c r="H9" s="13" t="str">
        <f t="array" aca="1" ref="H9" ca="1">IF('Final Data'!H9="","",INDEX('Final Data'!$A$5:$I$50,MATCH(SMALL(IF(ISNUMBER(MATCH('Final Data'!$A$5:$A$50,'Order By Sequence'!$A$2:$A$9,0)),MATCH('Final Data'!$A$5:$A$50,'Order By Sequence'!$A$2:$A$9,0)),ROW(H5:P5)),IF(ISNUMBER(MATCH('Final Data'!$A$5:$A$50,'Order By Sequence'!$A$2:$A$9,0)),MATCH('Final Data'!$A$5:$A$50,'Order By Sequence'!$A$2:$A$9,0),0),0),COLUMN(H5:P5)))</f>
        <v/>
      </c>
      <c r="I9" s="13" t="str">
        <f t="array" aca="1" ref="I9" ca="1">IF('Final Data'!I9="","",INDEX('Final Data'!$A$5:$I$50,MATCH(SMALL(IF(ISNUMBER(MATCH('Final Data'!$A$5:$A$50,'Order By Sequence'!$A$2:$A$9,0)),MATCH('Final Data'!$A$5:$A$50,'Order By Sequence'!$A$2:$A$9,0)),ROW(I5:Q5)),IF(ISNUMBER(MATCH('Final Data'!$A$5:$A$50,'Order By Sequence'!$A$2:$A$9,0)),MATCH('Final Data'!$A$5:$A$50,'Order By Sequence'!$A$2:$A$9,0),0),0),COLUMN(I5:Q5)))</f>
        <v/>
      </c>
    </row>
    <row r="10" spans="1:9" x14ac:dyDescent="0.35">
      <c r="A10" s="13" t="str">
        <f t="array" aca="1" ref="A10" ca="1">IF('Final Data'!A10="","",INDEX('Final Data'!$A$5:$I$50,MATCH(SMALL(IF(ISNUMBER(MATCH('Final Data'!$A$5:$A$50,'Order By Sequence'!$A$2:$A$9,0)),MATCH('Final Data'!$A$5:$A$50,'Order By Sequence'!$A$2:$A$9,0)),ROW(A6:I6)),IF(ISNUMBER(MATCH('Final Data'!$A$5:$A$50,'Order By Sequence'!$A$2:$A$9,0)),MATCH('Final Data'!$A$5:$A$50,'Order By Sequence'!$A$2:$A$9,0),0),0),COLUMN(A6:I6)))</f>
        <v/>
      </c>
      <c r="B10" s="13" t="str">
        <f t="array" aca="1" ref="B10" ca="1">IF('Final Data'!B10="","",INDEX('Final Data'!$A$5:$I$50,MATCH(SMALL(IF(ISNUMBER(MATCH('Final Data'!$A$5:$A$50,'Order By Sequence'!$A$2:$A$9,0)),MATCH('Final Data'!$A$5:$A$50,'Order By Sequence'!$A$2:$A$9,0)),ROW(B6:J6)),IF(ISNUMBER(MATCH('Final Data'!$A$5:$A$50,'Order By Sequence'!$A$2:$A$9,0)),MATCH('Final Data'!$A$5:$A$50,'Order By Sequence'!$A$2:$A$9,0),0),0),COLUMN(B6:J6)))</f>
        <v/>
      </c>
      <c r="C10" s="13" t="str">
        <f t="array" aca="1" ref="C10" ca="1">IF('Final Data'!C10="","",INDEX('Final Data'!$A$5:$I$50,MATCH(SMALL(IF(ISNUMBER(MATCH('Final Data'!$A$5:$A$50,'Order By Sequence'!$A$2:$A$9,0)),MATCH('Final Data'!$A$5:$A$50,'Order By Sequence'!$A$2:$A$9,0)),ROW(C6:K6)),IF(ISNUMBER(MATCH('Final Data'!$A$5:$A$50,'Order By Sequence'!$A$2:$A$9,0)),MATCH('Final Data'!$A$5:$A$50,'Order By Sequence'!$A$2:$A$9,0),0),0),COLUMN(C6:K6)))</f>
        <v/>
      </c>
      <c r="D10" s="13" t="str">
        <f t="array" aca="1" ref="D10" ca="1">IF('Final Data'!D10="","",INDEX('Final Data'!$A$5:$I$50,MATCH(SMALL(IF(ISNUMBER(MATCH('Final Data'!$A$5:$A$50,'Order By Sequence'!$A$2:$A$9,0)),MATCH('Final Data'!$A$5:$A$50,'Order By Sequence'!$A$2:$A$9,0)),ROW(D6:L6)),IF(ISNUMBER(MATCH('Final Data'!$A$5:$A$50,'Order By Sequence'!$A$2:$A$9,0)),MATCH('Final Data'!$A$5:$A$50,'Order By Sequence'!$A$2:$A$9,0),0),0),COLUMN(D6:L6)))</f>
        <v/>
      </c>
      <c r="E10" s="13" t="str">
        <f t="array" aca="1" ref="E10" ca="1">IF('Final Data'!E10="","",INDEX('Final Data'!$A$5:$I$50,MATCH(SMALL(IF(ISNUMBER(MATCH('Final Data'!$A$5:$A$50,'Order By Sequence'!$A$2:$A$9,0)),MATCH('Final Data'!$A$5:$A$50,'Order By Sequence'!$A$2:$A$9,0)),ROW(E6:M6)),IF(ISNUMBER(MATCH('Final Data'!$A$5:$A$50,'Order By Sequence'!$A$2:$A$9,0)),MATCH('Final Data'!$A$5:$A$50,'Order By Sequence'!$A$2:$A$9,0),0),0),COLUMN(E6:M6)))</f>
        <v/>
      </c>
      <c r="F10" s="13" t="str">
        <f t="array" aca="1" ref="F10" ca="1">IF('Final Data'!F10="","",INDEX('Final Data'!$A$5:$I$50,MATCH(SMALL(IF(ISNUMBER(MATCH('Final Data'!$A$5:$A$50,'Order By Sequence'!$A$2:$A$9,0)),MATCH('Final Data'!$A$5:$A$50,'Order By Sequence'!$A$2:$A$9,0)),ROW(F6:N6)),IF(ISNUMBER(MATCH('Final Data'!$A$5:$A$50,'Order By Sequence'!$A$2:$A$9,0)),MATCH('Final Data'!$A$5:$A$50,'Order By Sequence'!$A$2:$A$9,0),0),0),COLUMN(F6:N6)))</f>
        <v/>
      </c>
      <c r="G10" s="13" t="str">
        <f t="array" aca="1" ref="G10" ca="1">IF('Final Data'!G10="","",INDEX('Final Data'!$A$5:$I$50,MATCH(SMALL(IF(ISNUMBER(MATCH('Final Data'!$A$5:$A$50,'Order By Sequence'!$A$2:$A$9,0)),MATCH('Final Data'!$A$5:$A$50,'Order By Sequence'!$A$2:$A$9,0)),ROW(G6:O6)),IF(ISNUMBER(MATCH('Final Data'!$A$5:$A$50,'Order By Sequence'!$A$2:$A$9,0)),MATCH('Final Data'!$A$5:$A$50,'Order By Sequence'!$A$2:$A$9,0),0),0),COLUMN(G6:O6)))</f>
        <v/>
      </c>
      <c r="H10" s="13" t="str">
        <f t="array" aca="1" ref="H10" ca="1">IF('Final Data'!H10="","",INDEX('Final Data'!$A$5:$I$50,MATCH(SMALL(IF(ISNUMBER(MATCH('Final Data'!$A$5:$A$50,'Order By Sequence'!$A$2:$A$9,0)),MATCH('Final Data'!$A$5:$A$50,'Order By Sequence'!$A$2:$A$9,0)),ROW(H6:P6)),IF(ISNUMBER(MATCH('Final Data'!$A$5:$A$50,'Order By Sequence'!$A$2:$A$9,0)),MATCH('Final Data'!$A$5:$A$50,'Order By Sequence'!$A$2:$A$9,0),0),0),COLUMN(H6:P6)))</f>
        <v/>
      </c>
      <c r="I10" s="13" t="str">
        <f t="array" aca="1" ref="I10" ca="1">IF('Final Data'!I10="","",INDEX('Final Data'!$A$5:$I$50,MATCH(SMALL(IF(ISNUMBER(MATCH('Final Data'!$A$5:$A$50,'Order By Sequence'!$A$2:$A$9,0)),MATCH('Final Data'!$A$5:$A$50,'Order By Sequence'!$A$2:$A$9,0)),ROW(I6:Q6)),IF(ISNUMBER(MATCH('Final Data'!$A$5:$A$50,'Order By Sequence'!$A$2:$A$9,0)),MATCH('Final Data'!$A$5:$A$50,'Order By Sequence'!$A$2:$A$9,0),0),0),COLUMN(I6:Q6)))</f>
        <v/>
      </c>
    </row>
    <row r="11" spans="1:9" x14ac:dyDescent="0.35">
      <c r="A11" s="13" t="str">
        <f t="array" aca="1" ref="A11" ca="1">IF('Final Data'!A11="","",INDEX('Final Data'!$A$5:$I$50,MATCH(SMALL(IF(ISNUMBER(MATCH('Final Data'!$A$5:$A$50,'Order By Sequence'!$A$2:$A$9,0)),MATCH('Final Data'!$A$5:$A$50,'Order By Sequence'!$A$2:$A$9,0)),ROW(A7:I7)),IF(ISNUMBER(MATCH('Final Data'!$A$5:$A$50,'Order By Sequence'!$A$2:$A$9,0)),MATCH('Final Data'!$A$5:$A$50,'Order By Sequence'!$A$2:$A$9,0),0),0),COLUMN(A7:I7)))</f>
        <v/>
      </c>
      <c r="B11" s="13" t="str">
        <f t="array" aca="1" ref="B11" ca="1">IF('Final Data'!B11="","",INDEX('Final Data'!$A$5:$I$50,MATCH(SMALL(IF(ISNUMBER(MATCH('Final Data'!$A$5:$A$50,'Order By Sequence'!$A$2:$A$9,0)),MATCH('Final Data'!$A$5:$A$50,'Order By Sequence'!$A$2:$A$9,0)),ROW(B7:J7)),IF(ISNUMBER(MATCH('Final Data'!$A$5:$A$50,'Order By Sequence'!$A$2:$A$9,0)),MATCH('Final Data'!$A$5:$A$50,'Order By Sequence'!$A$2:$A$9,0),0),0),COLUMN(B7:J7)))</f>
        <v/>
      </c>
      <c r="C11" s="13" t="str">
        <f t="array" aca="1" ref="C11" ca="1">IF('Final Data'!C11="","",INDEX('Final Data'!$A$5:$I$50,MATCH(SMALL(IF(ISNUMBER(MATCH('Final Data'!$A$5:$A$50,'Order By Sequence'!$A$2:$A$9,0)),MATCH('Final Data'!$A$5:$A$50,'Order By Sequence'!$A$2:$A$9,0)),ROW(C7:K7)),IF(ISNUMBER(MATCH('Final Data'!$A$5:$A$50,'Order By Sequence'!$A$2:$A$9,0)),MATCH('Final Data'!$A$5:$A$50,'Order By Sequence'!$A$2:$A$9,0),0),0),COLUMN(C7:K7)))</f>
        <v/>
      </c>
      <c r="D11" s="13" t="str">
        <f t="array" aca="1" ref="D11" ca="1">IF('Final Data'!D11="","",INDEX('Final Data'!$A$5:$I$50,MATCH(SMALL(IF(ISNUMBER(MATCH('Final Data'!$A$5:$A$50,'Order By Sequence'!$A$2:$A$9,0)),MATCH('Final Data'!$A$5:$A$50,'Order By Sequence'!$A$2:$A$9,0)),ROW(D7:L7)),IF(ISNUMBER(MATCH('Final Data'!$A$5:$A$50,'Order By Sequence'!$A$2:$A$9,0)),MATCH('Final Data'!$A$5:$A$50,'Order By Sequence'!$A$2:$A$9,0),0),0),COLUMN(D7:L7)))</f>
        <v/>
      </c>
      <c r="E11" s="13" t="str">
        <f t="array" aca="1" ref="E11" ca="1">IF('Final Data'!E11="","",INDEX('Final Data'!$A$5:$I$50,MATCH(SMALL(IF(ISNUMBER(MATCH('Final Data'!$A$5:$A$50,'Order By Sequence'!$A$2:$A$9,0)),MATCH('Final Data'!$A$5:$A$50,'Order By Sequence'!$A$2:$A$9,0)),ROW(E7:M7)),IF(ISNUMBER(MATCH('Final Data'!$A$5:$A$50,'Order By Sequence'!$A$2:$A$9,0)),MATCH('Final Data'!$A$5:$A$50,'Order By Sequence'!$A$2:$A$9,0),0),0),COLUMN(E7:M7)))</f>
        <v/>
      </c>
      <c r="F11" s="13" t="str">
        <f t="array" aca="1" ref="F11" ca="1">IF('Final Data'!F11="","",INDEX('Final Data'!$A$5:$I$50,MATCH(SMALL(IF(ISNUMBER(MATCH('Final Data'!$A$5:$A$50,'Order By Sequence'!$A$2:$A$9,0)),MATCH('Final Data'!$A$5:$A$50,'Order By Sequence'!$A$2:$A$9,0)),ROW(F7:N7)),IF(ISNUMBER(MATCH('Final Data'!$A$5:$A$50,'Order By Sequence'!$A$2:$A$9,0)),MATCH('Final Data'!$A$5:$A$50,'Order By Sequence'!$A$2:$A$9,0),0),0),COLUMN(F7:N7)))</f>
        <v/>
      </c>
      <c r="G11" s="13" t="str">
        <f t="array" aca="1" ref="G11" ca="1">IF('Final Data'!G11="","",INDEX('Final Data'!$A$5:$I$50,MATCH(SMALL(IF(ISNUMBER(MATCH('Final Data'!$A$5:$A$50,'Order By Sequence'!$A$2:$A$9,0)),MATCH('Final Data'!$A$5:$A$50,'Order By Sequence'!$A$2:$A$9,0)),ROW(G7:O7)),IF(ISNUMBER(MATCH('Final Data'!$A$5:$A$50,'Order By Sequence'!$A$2:$A$9,0)),MATCH('Final Data'!$A$5:$A$50,'Order By Sequence'!$A$2:$A$9,0),0),0),COLUMN(G7:O7)))</f>
        <v/>
      </c>
      <c r="H11" s="13" t="str">
        <f t="array" aca="1" ref="H11" ca="1">IF('Final Data'!H11="","",INDEX('Final Data'!$A$5:$I$50,MATCH(SMALL(IF(ISNUMBER(MATCH('Final Data'!$A$5:$A$50,'Order By Sequence'!$A$2:$A$9,0)),MATCH('Final Data'!$A$5:$A$50,'Order By Sequence'!$A$2:$A$9,0)),ROW(H7:P7)),IF(ISNUMBER(MATCH('Final Data'!$A$5:$A$50,'Order By Sequence'!$A$2:$A$9,0)),MATCH('Final Data'!$A$5:$A$50,'Order By Sequence'!$A$2:$A$9,0),0),0),COLUMN(H7:P7)))</f>
        <v/>
      </c>
      <c r="I11" s="13" t="str">
        <f t="array" aca="1" ref="I11" ca="1">IF('Final Data'!I11="","",INDEX('Final Data'!$A$5:$I$50,MATCH(SMALL(IF(ISNUMBER(MATCH('Final Data'!$A$5:$A$50,'Order By Sequence'!$A$2:$A$9,0)),MATCH('Final Data'!$A$5:$A$50,'Order By Sequence'!$A$2:$A$9,0)),ROW(I7:Q7)),IF(ISNUMBER(MATCH('Final Data'!$A$5:$A$50,'Order By Sequence'!$A$2:$A$9,0)),MATCH('Final Data'!$A$5:$A$50,'Order By Sequence'!$A$2:$A$9,0),0),0),COLUMN(I7:Q7)))</f>
        <v/>
      </c>
    </row>
    <row r="12" spans="1:9" x14ac:dyDescent="0.35">
      <c r="A12" s="13" t="str">
        <f t="array" aca="1" ref="A12" ca="1">IF('Final Data'!A12="","",INDEX('Final Data'!$A$5:$I$50,MATCH(SMALL(IF(ISNUMBER(MATCH('Final Data'!$A$5:$A$50,'Order By Sequence'!$A$2:$A$9,0)),MATCH('Final Data'!$A$5:$A$50,'Order By Sequence'!$A$2:$A$9,0)),ROW(A8:I8)),IF(ISNUMBER(MATCH('Final Data'!$A$5:$A$50,'Order By Sequence'!$A$2:$A$9,0)),MATCH('Final Data'!$A$5:$A$50,'Order By Sequence'!$A$2:$A$9,0),0),0),COLUMN(A8:I8)))</f>
        <v/>
      </c>
      <c r="B12" s="13" t="str">
        <f t="array" aca="1" ref="B12" ca="1">IF('Final Data'!B12="","",INDEX('Final Data'!$A$5:$I$50,MATCH(SMALL(IF(ISNUMBER(MATCH('Final Data'!$A$5:$A$50,'Order By Sequence'!$A$2:$A$9,0)),MATCH('Final Data'!$A$5:$A$50,'Order By Sequence'!$A$2:$A$9,0)),ROW(B8:J8)),IF(ISNUMBER(MATCH('Final Data'!$A$5:$A$50,'Order By Sequence'!$A$2:$A$9,0)),MATCH('Final Data'!$A$5:$A$50,'Order By Sequence'!$A$2:$A$9,0),0),0),COLUMN(B8:J8)))</f>
        <v/>
      </c>
      <c r="C12" s="13" t="str">
        <f t="array" aca="1" ref="C12" ca="1">IF('Final Data'!C12="","",INDEX('Final Data'!$A$5:$I$50,MATCH(SMALL(IF(ISNUMBER(MATCH('Final Data'!$A$5:$A$50,'Order By Sequence'!$A$2:$A$9,0)),MATCH('Final Data'!$A$5:$A$50,'Order By Sequence'!$A$2:$A$9,0)),ROW(C8:K8)),IF(ISNUMBER(MATCH('Final Data'!$A$5:$A$50,'Order By Sequence'!$A$2:$A$9,0)),MATCH('Final Data'!$A$5:$A$50,'Order By Sequence'!$A$2:$A$9,0),0),0),COLUMN(C8:K8)))</f>
        <v/>
      </c>
      <c r="D12" s="13" t="str">
        <f t="array" aca="1" ref="D12" ca="1">IF('Final Data'!D12="","",INDEX('Final Data'!$A$5:$I$50,MATCH(SMALL(IF(ISNUMBER(MATCH('Final Data'!$A$5:$A$50,'Order By Sequence'!$A$2:$A$9,0)),MATCH('Final Data'!$A$5:$A$50,'Order By Sequence'!$A$2:$A$9,0)),ROW(D8:L8)),IF(ISNUMBER(MATCH('Final Data'!$A$5:$A$50,'Order By Sequence'!$A$2:$A$9,0)),MATCH('Final Data'!$A$5:$A$50,'Order By Sequence'!$A$2:$A$9,0),0),0),COLUMN(D8:L8)))</f>
        <v/>
      </c>
      <c r="E12" s="13" t="str">
        <f t="array" aca="1" ref="E12" ca="1">IF('Final Data'!E12="","",INDEX('Final Data'!$A$5:$I$50,MATCH(SMALL(IF(ISNUMBER(MATCH('Final Data'!$A$5:$A$50,'Order By Sequence'!$A$2:$A$9,0)),MATCH('Final Data'!$A$5:$A$50,'Order By Sequence'!$A$2:$A$9,0)),ROW(E8:M8)),IF(ISNUMBER(MATCH('Final Data'!$A$5:$A$50,'Order By Sequence'!$A$2:$A$9,0)),MATCH('Final Data'!$A$5:$A$50,'Order By Sequence'!$A$2:$A$9,0),0),0),COLUMN(E8:M8)))</f>
        <v/>
      </c>
      <c r="F12" s="13" t="str">
        <f t="array" aca="1" ref="F12" ca="1">IF('Final Data'!F12="","",INDEX('Final Data'!$A$5:$I$50,MATCH(SMALL(IF(ISNUMBER(MATCH('Final Data'!$A$5:$A$50,'Order By Sequence'!$A$2:$A$9,0)),MATCH('Final Data'!$A$5:$A$50,'Order By Sequence'!$A$2:$A$9,0)),ROW(F8:N8)),IF(ISNUMBER(MATCH('Final Data'!$A$5:$A$50,'Order By Sequence'!$A$2:$A$9,0)),MATCH('Final Data'!$A$5:$A$50,'Order By Sequence'!$A$2:$A$9,0),0),0),COLUMN(F8:N8)))</f>
        <v/>
      </c>
      <c r="G12" s="13" t="str">
        <f t="array" aca="1" ref="G12" ca="1">IF('Final Data'!G12="","",INDEX('Final Data'!$A$5:$I$50,MATCH(SMALL(IF(ISNUMBER(MATCH('Final Data'!$A$5:$A$50,'Order By Sequence'!$A$2:$A$9,0)),MATCH('Final Data'!$A$5:$A$50,'Order By Sequence'!$A$2:$A$9,0)),ROW(G8:O8)),IF(ISNUMBER(MATCH('Final Data'!$A$5:$A$50,'Order By Sequence'!$A$2:$A$9,0)),MATCH('Final Data'!$A$5:$A$50,'Order By Sequence'!$A$2:$A$9,0),0),0),COLUMN(G8:O8)))</f>
        <v/>
      </c>
      <c r="H12" s="13" t="str">
        <f t="array" aca="1" ref="H12" ca="1">IF('Final Data'!H12="","",INDEX('Final Data'!$A$5:$I$50,MATCH(SMALL(IF(ISNUMBER(MATCH('Final Data'!$A$5:$A$50,'Order By Sequence'!$A$2:$A$9,0)),MATCH('Final Data'!$A$5:$A$50,'Order By Sequence'!$A$2:$A$9,0)),ROW(H8:P8)),IF(ISNUMBER(MATCH('Final Data'!$A$5:$A$50,'Order By Sequence'!$A$2:$A$9,0)),MATCH('Final Data'!$A$5:$A$50,'Order By Sequence'!$A$2:$A$9,0),0),0),COLUMN(H8:P8)))</f>
        <v/>
      </c>
      <c r="I12" s="13" t="str">
        <f t="array" aca="1" ref="I12" ca="1">IF('Final Data'!I12="","",INDEX('Final Data'!$A$5:$I$50,MATCH(SMALL(IF(ISNUMBER(MATCH('Final Data'!$A$5:$A$50,'Order By Sequence'!$A$2:$A$9,0)),MATCH('Final Data'!$A$5:$A$50,'Order By Sequence'!$A$2:$A$9,0)),ROW(I8:Q8)),IF(ISNUMBER(MATCH('Final Data'!$A$5:$A$50,'Order By Sequence'!$A$2:$A$9,0)),MATCH('Final Data'!$A$5:$A$50,'Order By Sequence'!$A$2:$A$9,0),0),0),COLUMN(I8:Q8)))</f>
        <v/>
      </c>
    </row>
    <row r="13" spans="1:9" x14ac:dyDescent="0.35">
      <c r="A13" s="13" t="str">
        <f t="array" aca="1" ref="A13" ca="1">IF('Final Data'!A13="","",INDEX('Final Data'!$A$5:$I$50,MATCH(SMALL(IF(ISNUMBER(MATCH('Final Data'!$A$5:$A$50,'Order By Sequence'!$A$2:$A$9,0)),MATCH('Final Data'!$A$5:$A$50,'Order By Sequence'!$A$2:$A$9,0)),ROW(A9:I9)),IF(ISNUMBER(MATCH('Final Data'!$A$5:$A$50,'Order By Sequence'!$A$2:$A$9,0)),MATCH('Final Data'!$A$5:$A$50,'Order By Sequence'!$A$2:$A$9,0),0),0),COLUMN(A9:I9)))</f>
        <v/>
      </c>
      <c r="B13" s="13" t="str">
        <f t="array" aca="1" ref="B13" ca="1">IF('Final Data'!B13="","",INDEX('Final Data'!$A$5:$I$50,MATCH(SMALL(IF(ISNUMBER(MATCH('Final Data'!$A$5:$A$50,'Order By Sequence'!$A$2:$A$9,0)),MATCH('Final Data'!$A$5:$A$50,'Order By Sequence'!$A$2:$A$9,0)),ROW(B9:J9)),IF(ISNUMBER(MATCH('Final Data'!$A$5:$A$50,'Order By Sequence'!$A$2:$A$9,0)),MATCH('Final Data'!$A$5:$A$50,'Order By Sequence'!$A$2:$A$9,0),0),0),COLUMN(B9:J9)))</f>
        <v/>
      </c>
      <c r="C13" s="13" t="str">
        <f t="array" aca="1" ref="C13" ca="1">IF('Final Data'!C13="","",INDEX('Final Data'!$A$5:$I$50,MATCH(SMALL(IF(ISNUMBER(MATCH('Final Data'!$A$5:$A$50,'Order By Sequence'!$A$2:$A$9,0)),MATCH('Final Data'!$A$5:$A$50,'Order By Sequence'!$A$2:$A$9,0)),ROW(C9:K9)),IF(ISNUMBER(MATCH('Final Data'!$A$5:$A$50,'Order By Sequence'!$A$2:$A$9,0)),MATCH('Final Data'!$A$5:$A$50,'Order By Sequence'!$A$2:$A$9,0),0),0),COLUMN(C9:K9)))</f>
        <v/>
      </c>
      <c r="D13" s="13" t="str">
        <f t="array" aca="1" ref="D13" ca="1">IF('Final Data'!D13="","",INDEX('Final Data'!$A$5:$I$50,MATCH(SMALL(IF(ISNUMBER(MATCH('Final Data'!$A$5:$A$50,'Order By Sequence'!$A$2:$A$9,0)),MATCH('Final Data'!$A$5:$A$50,'Order By Sequence'!$A$2:$A$9,0)),ROW(D9:L9)),IF(ISNUMBER(MATCH('Final Data'!$A$5:$A$50,'Order By Sequence'!$A$2:$A$9,0)),MATCH('Final Data'!$A$5:$A$50,'Order By Sequence'!$A$2:$A$9,0),0),0),COLUMN(D9:L9)))</f>
        <v/>
      </c>
      <c r="E13" s="13" t="str">
        <f t="array" aca="1" ref="E13" ca="1">IF('Final Data'!E13="","",INDEX('Final Data'!$A$5:$I$50,MATCH(SMALL(IF(ISNUMBER(MATCH('Final Data'!$A$5:$A$50,'Order By Sequence'!$A$2:$A$9,0)),MATCH('Final Data'!$A$5:$A$50,'Order By Sequence'!$A$2:$A$9,0)),ROW(E9:M9)),IF(ISNUMBER(MATCH('Final Data'!$A$5:$A$50,'Order By Sequence'!$A$2:$A$9,0)),MATCH('Final Data'!$A$5:$A$50,'Order By Sequence'!$A$2:$A$9,0),0),0),COLUMN(E9:M9)))</f>
        <v/>
      </c>
      <c r="F13" s="13" t="str">
        <f t="array" aca="1" ref="F13" ca="1">IF('Final Data'!F13="","",INDEX('Final Data'!$A$5:$I$50,MATCH(SMALL(IF(ISNUMBER(MATCH('Final Data'!$A$5:$A$50,'Order By Sequence'!$A$2:$A$9,0)),MATCH('Final Data'!$A$5:$A$50,'Order By Sequence'!$A$2:$A$9,0)),ROW(F9:N9)),IF(ISNUMBER(MATCH('Final Data'!$A$5:$A$50,'Order By Sequence'!$A$2:$A$9,0)),MATCH('Final Data'!$A$5:$A$50,'Order By Sequence'!$A$2:$A$9,0),0),0),COLUMN(F9:N9)))</f>
        <v/>
      </c>
      <c r="G13" s="13" t="str">
        <f t="array" aca="1" ref="G13" ca="1">IF('Final Data'!G13="","",INDEX('Final Data'!$A$5:$I$50,MATCH(SMALL(IF(ISNUMBER(MATCH('Final Data'!$A$5:$A$50,'Order By Sequence'!$A$2:$A$9,0)),MATCH('Final Data'!$A$5:$A$50,'Order By Sequence'!$A$2:$A$9,0)),ROW(G9:O9)),IF(ISNUMBER(MATCH('Final Data'!$A$5:$A$50,'Order By Sequence'!$A$2:$A$9,0)),MATCH('Final Data'!$A$5:$A$50,'Order By Sequence'!$A$2:$A$9,0),0),0),COLUMN(G9:O9)))</f>
        <v/>
      </c>
      <c r="H13" s="13" t="str">
        <f t="array" aca="1" ref="H13" ca="1">IF('Final Data'!H13="","",INDEX('Final Data'!$A$5:$I$50,MATCH(SMALL(IF(ISNUMBER(MATCH('Final Data'!$A$5:$A$50,'Order By Sequence'!$A$2:$A$9,0)),MATCH('Final Data'!$A$5:$A$50,'Order By Sequence'!$A$2:$A$9,0)),ROW(H9:P9)),IF(ISNUMBER(MATCH('Final Data'!$A$5:$A$50,'Order By Sequence'!$A$2:$A$9,0)),MATCH('Final Data'!$A$5:$A$50,'Order By Sequence'!$A$2:$A$9,0),0),0),COLUMN(H9:P9)))</f>
        <v/>
      </c>
      <c r="I13" s="13" t="str">
        <f t="array" aca="1" ref="I13" ca="1">IF('Final Data'!I13="","",INDEX('Final Data'!$A$5:$I$50,MATCH(SMALL(IF(ISNUMBER(MATCH('Final Data'!$A$5:$A$50,'Order By Sequence'!$A$2:$A$9,0)),MATCH('Final Data'!$A$5:$A$50,'Order By Sequence'!$A$2:$A$9,0)),ROW(I9:Q9)),IF(ISNUMBER(MATCH('Final Data'!$A$5:$A$50,'Order By Sequence'!$A$2:$A$9,0)),MATCH('Final Data'!$A$5:$A$50,'Order By Sequence'!$A$2:$A$9,0),0),0),COLUMN(I9:Q9)))</f>
        <v/>
      </c>
    </row>
    <row r="14" spans="1:9" x14ac:dyDescent="0.35">
      <c r="A14" s="13" t="str">
        <f t="array" aca="1" ref="A14" ca="1">IF('Final Data'!A14="","",INDEX('Final Data'!$A$5:$I$50,MATCH(SMALL(IF(ISNUMBER(MATCH('Final Data'!$A$5:$A$50,'Order By Sequence'!$A$2:$A$9,0)),MATCH('Final Data'!$A$5:$A$50,'Order By Sequence'!$A$2:$A$9,0)),ROW(A10:I10)),IF(ISNUMBER(MATCH('Final Data'!$A$5:$A$50,'Order By Sequence'!$A$2:$A$9,0)),MATCH('Final Data'!$A$5:$A$50,'Order By Sequence'!$A$2:$A$9,0),0),0),COLUMN(A10:I10)))</f>
        <v/>
      </c>
      <c r="B14" s="13" t="str">
        <f t="array" aca="1" ref="B14" ca="1">IF('Final Data'!B14="","",INDEX('Final Data'!$A$5:$I$50,MATCH(SMALL(IF(ISNUMBER(MATCH('Final Data'!$A$5:$A$50,'Order By Sequence'!$A$2:$A$9,0)),MATCH('Final Data'!$A$5:$A$50,'Order By Sequence'!$A$2:$A$9,0)),ROW(B10:J10)),IF(ISNUMBER(MATCH('Final Data'!$A$5:$A$50,'Order By Sequence'!$A$2:$A$9,0)),MATCH('Final Data'!$A$5:$A$50,'Order By Sequence'!$A$2:$A$9,0),0),0),COLUMN(B10:J10)))</f>
        <v/>
      </c>
      <c r="C14" s="13" t="str">
        <f t="array" aca="1" ref="C14" ca="1">IF('Final Data'!C14="","",INDEX('Final Data'!$A$5:$I$50,MATCH(SMALL(IF(ISNUMBER(MATCH('Final Data'!$A$5:$A$50,'Order By Sequence'!$A$2:$A$9,0)),MATCH('Final Data'!$A$5:$A$50,'Order By Sequence'!$A$2:$A$9,0)),ROW(C10:K10)),IF(ISNUMBER(MATCH('Final Data'!$A$5:$A$50,'Order By Sequence'!$A$2:$A$9,0)),MATCH('Final Data'!$A$5:$A$50,'Order By Sequence'!$A$2:$A$9,0),0),0),COLUMN(C10:K10)))</f>
        <v/>
      </c>
      <c r="D14" s="13" t="str">
        <f t="array" aca="1" ref="D14" ca="1">IF('Final Data'!D14="","",INDEX('Final Data'!$A$5:$I$50,MATCH(SMALL(IF(ISNUMBER(MATCH('Final Data'!$A$5:$A$50,'Order By Sequence'!$A$2:$A$9,0)),MATCH('Final Data'!$A$5:$A$50,'Order By Sequence'!$A$2:$A$9,0)),ROW(D10:L10)),IF(ISNUMBER(MATCH('Final Data'!$A$5:$A$50,'Order By Sequence'!$A$2:$A$9,0)),MATCH('Final Data'!$A$5:$A$50,'Order By Sequence'!$A$2:$A$9,0),0),0),COLUMN(D10:L10)))</f>
        <v/>
      </c>
      <c r="E14" s="13" t="str">
        <f t="array" aca="1" ref="E14" ca="1">IF('Final Data'!E14="","",INDEX('Final Data'!$A$5:$I$50,MATCH(SMALL(IF(ISNUMBER(MATCH('Final Data'!$A$5:$A$50,'Order By Sequence'!$A$2:$A$9,0)),MATCH('Final Data'!$A$5:$A$50,'Order By Sequence'!$A$2:$A$9,0)),ROW(E10:M10)),IF(ISNUMBER(MATCH('Final Data'!$A$5:$A$50,'Order By Sequence'!$A$2:$A$9,0)),MATCH('Final Data'!$A$5:$A$50,'Order By Sequence'!$A$2:$A$9,0),0),0),COLUMN(E10:M10)))</f>
        <v/>
      </c>
      <c r="F14" s="13" t="str">
        <f t="array" aca="1" ref="F14" ca="1">IF('Final Data'!F14="","",INDEX('Final Data'!$A$5:$I$50,MATCH(SMALL(IF(ISNUMBER(MATCH('Final Data'!$A$5:$A$50,'Order By Sequence'!$A$2:$A$9,0)),MATCH('Final Data'!$A$5:$A$50,'Order By Sequence'!$A$2:$A$9,0)),ROW(F10:N10)),IF(ISNUMBER(MATCH('Final Data'!$A$5:$A$50,'Order By Sequence'!$A$2:$A$9,0)),MATCH('Final Data'!$A$5:$A$50,'Order By Sequence'!$A$2:$A$9,0),0),0),COLUMN(F10:N10)))</f>
        <v/>
      </c>
      <c r="G14" s="13" t="str">
        <f t="array" aca="1" ref="G14" ca="1">IF('Final Data'!G14="","",INDEX('Final Data'!$A$5:$I$50,MATCH(SMALL(IF(ISNUMBER(MATCH('Final Data'!$A$5:$A$50,'Order By Sequence'!$A$2:$A$9,0)),MATCH('Final Data'!$A$5:$A$50,'Order By Sequence'!$A$2:$A$9,0)),ROW(G10:O10)),IF(ISNUMBER(MATCH('Final Data'!$A$5:$A$50,'Order By Sequence'!$A$2:$A$9,0)),MATCH('Final Data'!$A$5:$A$50,'Order By Sequence'!$A$2:$A$9,0),0),0),COLUMN(G10:O10)))</f>
        <v/>
      </c>
      <c r="H14" s="13" t="str">
        <f t="array" aca="1" ref="H14" ca="1">IF('Final Data'!H14="","",INDEX('Final Data'!$A$5:$I$50,MATCH(SMALL(IF(ISNUMBER(MATCH('Final Data'!$A$5:$A$50,'Order By Sequence'!$A$2:$A$9,0)),MATCH('Final Data'!$A$5:$A$50,'Order By Sequence'!$A$2:$A$9,0)),ROW(H10:P10)),IF(ISNUMBER(MATCH('Final Data'!$A$5:$A$50,'Order By Sequence'!$A$2:$A$9,0)),MATCH('Final Data'!$A$5:$A$50,'Order By Sequence'!$A$2:$A$9,0),0),0),COLUMN(H10:P10)))</f>
        <v/>
      </c>
      <c r="I14" s="13" t="str">
        <f t="array" aca="1" ref="I14" ca="1">IF('Final Data'!I14="","",INDEX('Final Data'!$A$5:$I$50,MATCH(SMALL(IF(ISNUMBER(MATCH('Final Data'!$A$5:$A$50,'Order By Sequence'!$A$2:$A$9,0)),MATCH('Final Data'!$A$5:$A$50,'Order By Sequence'!$A$2:$A$9,0)),ROW(I10:Q10)),IF(ISNUMBER(MATCH('Final Data'!$A$5:$A$50,'Order By Sequence'!$A$2:$A$9,0)),MATCH('Final Data'!$A$5:$A$50,'Order By Sequence'!$A$2:$A$9,0),0),0),COLUMN(I10:Q10)))</f>
        <v/>
      </c>
    </row>
    <row r="15" spans="1:9" x14ac:dyDescent="0.35">
      <c r="A15" s="13" t="str">
        <f t="array" aca="1" ref="A15" ca="1">IF('Final Data'!A15="","",INDEX('Final Data'!$A$5:$I$50,MATCH(SMALL(IF(ISNUMBER(MATCH('Final Data'!$A$5:$A$50,'Order By Sequence'!$A$2:$A$9,0)),MATCH('Final Data'!$A$5:$A$50,'Order By Sequence'!$A$2:$A$9,0)),ROW(A11:I11)),IF(ISNUMBER(MATCH('Final Data'!$A$5:$A$50,'Order By Sequence'!$A$2:$A$9,0)),MATCH('Final Data'!$A$5:$A$50,'Order By Sequence'!$A$2:$A$9,0),0),0),COLUMN(A11:I11)))</f>
        <v/>
      </c>
      <c r="B15" s="13" t="str">
        <f t="array" aca="1" ref="B15" ca="1">IF('Final Data'!B15="","",INDEX('Final Data'!$A$5:$I$50,MATCH(SMALL(IF(ISNUMBER(MATCH('Final Data'!$A$5:$A$50,'Order By Sequence'!$A$2:$A$9,0)),MATCH('Final Data'!$A$5:$A$50,'Order By Sequence'!$A$2:$A$9,0)),ROW(B11:J11)),IF(ISNUMBER(MATCH('Final Data'!$A$5:$A$50,'Order By Sequence'!$A$2:$A$9,0)),MATCH('Final Data'!$A$5:$A$50,'Order By Sequence'!$A$2:$A$9,0),0),0),COLUMN(B11:J11)))</f>
        <v/>
      </c>
      <c r="C15" s="13" t="str">
        <f t="array" aca="1" ref="C15" ca="1">IF('Final Data'!C15="","",INDEX('Final Data'!$A$5:$I$50,MATCH(SMALL(IF(ISNUMBER(MATCH('Final Data'!$A$5:$A$50,'Order By Sequence'!$A$2:$A$9,0)),MATCH('Final Data'!$A$5:$A$50,'Order By Sequence'!$A$2:$A$9,0)),ROW(C11:K11)),IF(ISNUMBER(MATCH('Final Data'!$A$5:$A$50,'Order By Sequence'!$A$2:$A$9,0)),MATCH('Final Data'!$A$5:$A$50,'Order By Sequence'!$A$2:$A$9,0),0),0),COLUMN(C11:K11)))</f>
        <v/>
      </c>
      <c r="D15" s="13" t="str">
        <f t="array" aca="1" ref="D15" ca="1">IF('Final Data'!D15="","",INDEX('Final Data'!$A$5:$I$50,MATCH(SMALL(IF(ISNUMBER(MATCH('Final Data'!$A$5:$A$50,'Order By Sequence'!$A$2:$A$9,0)),MATCH('Final Data'!$A$5:$A$50,'Order By Sequence'!$A$2:$A$9,0)),ROW(D11:L11)),IF(ISNUMBER(MATCH('Final Data'!$A$5:$A$50,'Order By Sequence'!$A$2:$A$9,0)),MATCH('Final Data'!$A$5:$A$50,'Order By Sequence'!$A$2:$A$9,0),0),0),COLUMN(D11:L11)))</f>
        <v/>
      </c>
      <c r="E15" s="13" t="str">
        <f t="array" aca="1" ref="E15" ca="1">IF('Final Data'!E15="","",INDEX('Final Data'!$A$5:$I$50,MATCH(SMALL(IF(ISNUMBER(MATCH('Final Data'!$A$5:$A$50,'Order By Sequence'!$A$2:$A$9,0)),MATCH('Final Data'!$A$5:$A$50,'Order By Sequence'!$A$2:$A$9,0)),ROW(E11:M11)),IF(ISNUMBER(MATCH('Final Data'!$A$5:$A$50,'Order By Sequence'!$A$2:$A$9,0)),MATCH('Final Data'!$A$5:$A$50,'Order By Sequence'!$A$2:$A$9,0),0),0),COLUMN(E11:M11)))</f>
        <v/>
      </c>
      <c r="F15" s="13" t="str">
        <f t="array" aca="1" ref="F15" ca="1">IF('Final Data'!F15="","",INDEX('Final Data'!$A$5:$I$50,MATCH(SMALL(IF(ISNUMBER(MATCH('Final Data'!$A$5:$A$50,'Order By Sequence'!$A$2:$A$9,0)),MATCH('Final Data'!$A$5:$A$50,'Order By Sequence'!$A$2:$A$9,0)),ROW(F11:N11)),IF(ISNUMBER(MATCH('Final Data'!$A$5:$A$50,'Order By Sequence'!$A$2:$A$9,0)),MATCH('Final Data'!$A$5:$A$50,'Order By Sequence'!$A$2:$A$9,0),0),0),COLUMN(F11:N11)))</f>
        <v/>
      </c>
      <c r="G15" s="13" t="str">
        <f t="array" aca="1" ref="G15" ca="1">IF('Final Data'!G15="","",INDEX('Final Data'!$A$5:$I$50,MATCH(SMALL(IF(ISNUMBER(MATCH('Final Data'!$A$5:$A$50,'Order By Sequence'!$A$2:$A$9,0)),MATCH('Final Data'!$A$5:$A$50,'Order By Sequence'!$A$2:$A$9,0)),ROW(G11:O11)),IF(ISNUMBER(MATCH('Final Data'!$A$5:$A$50,'Order By Sequence'!$A$2:$A$9,0)),MATCH('Final Data'!$A$5:$A$50,'Order By Sequence'!$A$2:$A$9,0),0),0),COLUMN(G11:O11)))</f>
        <v/>
      </c>
      <c r="H15" s="13" t="str">
        <f t="array" aca="1" ref="H15" ca="1">IF('Final Data'!H15="","",INDEX('Final Data'!$A$5:$I$50,MATCH(SMALL(IF(ISNUMBER(MATCH('Final Data'!$A$5:$A$50,'Order By Sequence'!$A$2:$A$9,0)),MATCH('Final Data'!$A$5:$A$50,'Order By Sequence'!$A$2:$A$9,0)),ROW(H11:P11)),IF(ISNUMBER(MATCH('Final Data'!$A$5:$A$50,'Order By Sequence'!$A$2:$A$9,0)),MATCH('Final Data'!$A$5:$A$50,'Order By Sequence'!$A$2:$A$9,0),0),0),COLUMN(H11:P11)))</f>
        <v/>
      </c>
      <c r="I15" s="13" t="str">
        <f t="array" aca="1" ref="I15" ca="1">IF('Final Data'!I15="","",INDEX('Final Data'!$A$5:$I$50,MATCH(SMALL(IF(ISNUMBER(MATCH('Final Data'!$A$5:$A$50,'Order By Sequence'!$A$2:$A$9,0)),MATCH('Final Data'!$A$5:$A$50,'Order By Sequence'!$A$2:$A$9,0)),ROW(I11:Q11)),IF(ISNUMBER(MATCH('Final Data'!$A$5:$A$50,'Order By Sequence'!$A$2:$A$9,0)),MATCH('Final Data'!$A$5:$A$50,'Order By Sequence'!$A$2:$A$9,0),0),0),COLUMN(I11:Q11)))</f>
        <v/>
      </c>
    </row>
    <row r="16" spans="1:9" x14ac:dyDescent="0.35">
      <c r="A16" s="13" t="str">
        <f t="array" aca="1" ref="A16" ca="1">IF('Final Data'!A16="","",INDEX('Final Data'!$A$5:$I$50,MATCH(SMALL(IF(ISNUMBER(MATCH('Final Data'!$A$5:$A$50,'Order By Sequence'!$A$2:$A$9,0)),MATCH('Final Data'!$A$5:$A$50,'Order By Sequence'!$A$2:$A$9,0)),ROW(A12:I12)),IF(ISNUMBER(MATCH('Final Data'!$A$5:$A$50,'Order By Sequence'!$A$2:$A$9,0)),MATCH('Final Data'!$A$5:$A$50,'Order By Sequence'!$A$2:$A$9,0),0),0),COLUMN(A12:I12)))</f>
        <v/>
      </c>
      <c r="B16" s="13" t="str">
        <f t="array" aca="1" ref="B16" ca="1">IF('Final Data'!B16="","",INDEX('Final Data'!$A$5:$I$50,MATCH(SMALL(IF(ISNUMBER(MATCH('Final Data'!$A$5:$A$50,'Order By Sequence'!$A$2:$A$9,0)),MATCH('Final Data'!$A$5:$A$50,'Order By Sequence'!$A$2:$A$9,0)),ROW(B12:J12)),IF(ISNUMBER(MATCH('Final Data'!$A$5:$A$50,'Order By Sequence'!$A$2:$A$9,0)),MATCH('Final Data'!$A$5:$A$50,'Order By Sequence'!$A$2:$A$9,0),0),0),COLUMN(B12:J12)))</f>
        <v/>
      </c>
      <c r="C16" s="13" t="str">
        <f t="array" aca="1" ref="C16" ca="1">IF('Final Data'!C16="","",INDEX('Final Data'!$A$5:$I$50,MATCH(SMALL(IF(ISNUMBER(MATCH('Final Data'!$A$5:$A$50,'Order By Sequence'!$A$2:$A$9,0)),MATCH('Final Data'!$A$5:$A$50,'Order By Sequence'!$A$2:$A$9,0)),ROW(C12:K12)),IF(ISNUMBER(MATCH('Final Data'!$A$5:$A$50,'Order By Sequence'!$A$2:$A$9,0)),MATCH('Final Data'!$A$5:$A$50,'Order By Sequence'!$A$2:$A$9,0),0),0),COLUMN(C12:K12)))</f>
        <v/>
      </c>
      <c r="D16" s="13" t="str">
        <f t="array" aca="1" ref="D16" ca="1">IF('Final Data'!D16="","",INDEX('Final Data'!$A$5:$I$50,MATCH(SMALL(IF(ISNUMBER(MATCH('Final Data'!$A$5:$A$50,'Order By Sequence'!$A$2:$A$9,0)),MATCH('Final Data'!$A$5:$A$50,'Order By Sequence'!$A$2:$A$9,0)),ROW(D12:L12)),IF(ISNUMBER(MATCH('Final Data'!$A$5:$A$50,'Order By Sequence'!$A$2:$A$9,0)),MATCH('Final Data'!$A$5:$A$50,'Order By Sequence'!$A$2:$A$9,0),0),0),COLUMN(D12:L12)))</f>
        <v/>
      </c>
      <c r="E16" s="13" t="str">
        <f t="array" aca="1" ref="E16" ca="1">IF('Final Data'!E16="","",INDEX('Final Data'!$A$5:$I$50,MATCH(SMALL(IF(ISNUMBER(MATCH('Final Data'!$A$5:$A$50,'Order By Sequence'!$A$2:$A$9,0)),MATCH('Final Data'!$A$5:$A$50,'Order By Sequence'!$A$2:$A$9,0)),ROW(E12:M12)),IF(ISNUMBER(MATCH('Final Data'!$A$5:$A$50,'Order By Sequence'!$A$2:$A$9,0)),MATCH('Final Data'!$A$5:$A$50,'Order By Sequence'!$A$2:$A$9,0),0),0),COLUMN(E12:M12)))</f>
        <v/>
      </c>
      <c r="F16" s="13" t="str">
        <f t="array" aca="1" ref="F16" ca="1">IF('Final Data'!F16="","",INDEX('Final Data'!$A$5:$I$50,MATCH(SMALL(IF(ISNUMBER(MATCH('Final Data'!$A$5:$A$50,'Order By Sequence'!$A$2:$A$9,0)),MATCH('Final Data'!$A$5:$A$50,'Order By Sequence'!$A$2:$A$9,0)),ROW(F12:N12)),IF(ISNUMBER(MATCH('Final Data'!$A$5:$A$50,'Order By Sequence'!$A$2:$A$9,0)),MATCH('Final Data'!$A$5:$A$50,'Order By Sequence'!$A$2:$A$9,0),0),0),COLUMN(F12:N12)))</f>
        <v/>
      </c>
      <c r="G16" s="13" t="str">
        <f t="array" aca="1" ref="G16" ca="1">IF('Final Data'!G16="","",INDEX('Final Data'!$A$5:$I$50,MATCH(SMALL(IF(ISNUMBER(MATCH('Final Data'!$A$5:$A$50,'Order By Sequence'!$A$2:$A$9,0)),MATCH('Final Data'!$A$5:$A$50,'Order By Sequence'!$A$2:$A$9,0)),ROW(G12:O12)),IF(ISNUMBER(MATCH('Final Data'!$A$5:$A$50,'Order By Sequence'!$A$2:$A$9,0)),MATCH('Final Data'!$A$5:$A$50,'Order By Sequence'!$A$2:$A$9,0),0),0),COLUMN(G12:O12)))</f>
        <v/>
      </c>
      <c r="H16" s="13" t="str">
        <f t="array" aca="1" ref="H16" ca="1">IF('Final Data'!H16="","",INDEX('Final Data'!$A$5:$I$50,MATCH(SMALL(IF(ISNUMBER(MATCH('Final Data'!$A$5:$A$50,'Order By Sequence'!$A$2:$A$9,0)),MATCH('Final Data'!$A$5:$A$50,'Order By Sequence'!$A$2:$A$9,0)),ROW(H12:P12)),IF(ISNUMBER(MATCH('Final Data'!$A$5:$A$50,'Order By Sequence'!$A$2:$A$9,0)),MATCH('Final Data'!$A$5:$A$50,'Order By Sequence'!$A$2:$A$9,0),0),0),COLUMN(H12:P12)))</f>
        <v/>
      </c>
      <c r="I16" s="13" t="str">
        <f t="array" aca="1" ref="I16" ca="1">IF('Final Data'!I16="","",INDEX('Final Data'!$A$5:$I$50,MATCH(SMALL(IF(ISNUMBER(MATCH('Final Data'!$A$5:$A$50,'Order By Sequence'!$A$2:$A$9,0)),MATCH('Final Data'!$A$5:$A$50,'Order By Sequence'!$A$2:$A$9,0)),ROW(I12:Q12)),IF(ISNUMBER(MATCH('Final Data'!$A$5:$A$50,'Order By Sequence'!$A$2:$A$9,0)),MATCH('Final Data'!$A$5:$A$50,'Order By Sequence'!$A$2:$A$9,0),0),0),COLUMN(I12:Q12)))</f>
        <v/>
      </c>
    </row>
    <row r="17" spans="1:9" x14ac:dyDescent="0.35">
      <c r="A17" s="13" t="str">
        <f t="array" aca="1" ref="A17" ca="1">IF('Final Data'!A17="","",INDEX('Final Data'!$A$5:$I$50,MATCH(SMALL(IF(ISNUMBER(MATCH('Final Data'!$A$5:$A$50,'Order By Sequence'!$A$2:$A$9,0)),MATCH('Final Data'!$A$5:$A$50,'Order By Sequence'!$A$2:$A$9,0)),ROW(A13:I13)),IF(ISNUMBER(MATCH('Final Data'!$A$5:$A$50,'Order By Sequence'!$A$2:$A$9,0)),MATCH('Final Data'!$A$5:$A$50,'Order By Sequence'!$A$2:$A$9,0),0),0),COLUMN(A13:I13)))</f>
        <v/>
      </c>
      <c r="B17" s="13" t="str">
        <f t="array" aca="1" ref="B17" ca="1">IF('Final Data'!B17="","",INDEX('Final Data'!$A$5:$I$50,MATCH(SMALL(IF(ISNUMBER(MATCH('Final Data'!$A$5:$A$50,'Order By Sequence'!$A$2:$A$9,0)),MATCH('Final Data'!$A$5:$A$50,'Order By Sequence'!$A$2:$A$9,0)),ROW(B13:J13)),IF(ISNUMBER(MATCH('Final Data'!$A$5:$A$50,'Order By Sequence'!$A$2:$A$9,0)),MATCH('Final Data'!$A$5:$A$50,'Order By Sequence'!$A$2:$A$9,0),0),0),COLUMN(B13:J13)))</f>
        <v/>
      </c>
      <c r="C17" s="13" t="str">
        <f t="array" aca="1" ref="C17" ca="1">IF('Final Data'!C17="","",INDEX('Final Data'!$A$5:$I$50,MATCH(SMALL(IF(ISNUMBER(MATCH('Final Data'!$A$5:$A$50,'Order By Sequence'!$A$2:$A$9,0)),MATCH('Final Data'!$A$5:$A$50,'Order By Sequence'!$A$2:$A$9,0)),ROW(C13:K13)),IF(ISNUMBER(MATCH('Final Data'!$A$5:$A$50,'Order By Sequence'!$A$2:$A$9,0)),MATCH('Final Data'!$A$5:$A$50,'Order By Sequence'!$A$2:$A$9,0),0),0),COLUMN(C13:K13)))</f>
        <v/>
      </c>
      <c r="D17" s="13" t="str">
        <f t="array" aca="1" ref="D17" ca="1">IF('Final Data'!D17="","",INDEX('Final Data'!$A$5:$I$50,MATCH(SMALL(IF(ISNUMBER(MATCH('Final Data'!$A$5:$A$50,'Order By Sequence'!$A$2:$A$9,0)),MATCH('Final Data'!$A$5:$A$50,'Order By Sequence'!$A$2:$A$9,0)),ROW(D13:L13)),IF(ISNUMBER(MATCH('Final Data'!$A$5:$A$50,'Order By Sequence'!$A$2:$A$9,0)),MATCH('Final Data'!$A$5:$A$50,'Order By Sequence'!$A$2:$A$9,0),0),0),COLUMN(D13:L13)))</f>
        <v/>
      </c>
      <c r="E17" s="13" t="str">
        <f t="array" aca="1" ref="E17" ca="1">IF('Final Data'!E17="","",INDEX('Final Data'!$A$5:$I$50,MATCH(SMALL(IF(ISNUMBER(MATCH('Final Data'!$A$5:$A$50,'Order By Sequence'!$A$2:$A$9,0)),MATCH('Final Data'!$A$5:$A$50,'Order By Sequence'!$A$2:$A$9,0)),ROW(E13:M13)),IF(ISNUMBER(MATCH('Final Data'!$A$5:$A$50,'Order By Sequence'!$A$2:$A$9,0)),MATCH('Final Data'!$A$5:$A$50,'Order By Sequence'!$A$2:$A$9,0),0),0),COLUMN(E13:M13)))</f>
        <v/>
      </c>
      <c r="F17" s="13" t="str">
        <f t="array" aca="1" ref="F17" ca="1">IF('Final Data'!F17="","",INDEX('Final Data'!$A$5:$I$50,MATCH(SMALL(IF(ISNUMBER(MATCH('Final Data'!$A$5:$A$50,'Order By Sequence'!$A$2:$A$9,0)),MATCH('Final Data'!$A$5:$A$50,'Order By Sequence'!$A$2:$A$9,0)),ROW(F13:N13)),IF(ISNUMBER(MATCH('Final Data'!$A$5:$A$50,'Order By Sequence'!$A$2:$A$9,0)),MATCH('Final Data'!$A$5:$A$50,'Order By Sequence'!$A$2:$A$9,0),0),0),COLUMN(F13:N13)))</f>
        <v/>
      </c>
      <c r="G17" s="13" t="str">
        <f t="array" aca="1" ref="G17" ca="1">IF('Final Data'!G17="","",INDEX('Final Data'!$A$5:$I$50,MATCH(SMALL(IF(ISNUMBER(MATCH('Final Data'!$A$5:$A$50,'Order By Sequence'!$A$2:$A$9,0)),MATCH('Final Data'!$A$5:$A$50,'Order By Sequence'!$A$2:$A$9,0)),ROW(G13:O13)),IF(ISNUMBER(MATCH('Final Data'!$A$5:$A$50,'Order By Sequence'!$A$2:$A$9,0)),MATCH('Final Data'!$A$5:$A$50,'Order By Sequence'!$A$2:$A$9,0),0),0),COLUMN(G13:O13)))</f>
        <v/>
      </c>
      <c r="H17" s="13" t="str">
        <f t="array" aca="1" ref="H17" ca="1">IF('Final Data'!H17="","",INDEX('Final Data'!$A$5:$I$50,MATCH(SMALL(IF(ISNUMBER(MATCH('Final Data'!$A$5:$A$50,'Order By Sequence'!$A$2:$A$9,0)),MATCH('Final Data'!$A$5:$A$50,'Order By Sequence'!$A$2:$A$9,0)),ROW(H13:P13)),IF(ISNUMBER(MATCH('Final Data'!$A$5:$A$50,'Order By Sequence'!$A$2:$A$9,0)),MATCH('Final Data'!$A$5:$A$50,'Order By Sequence'!$A$2:$A$9,0),0),0),COLUMN(H13:P13)))</f>
        <v/>
      </c>
      <c r="I17" s="13" t="str">
        <f t="array" aca="1" ref="I17" ca="1">IF('Final Data'!I17="","",INDEX('Final Data'!$A$5:$I$50,MATCH(SMALL(IF(ISNUMBER(MATCH('Final Data'!$A$5:$A$50,'Order By Sequence'!$A$2:$A$9,0)),MATCH('Final Data'!$A$5:$A$50,'Order By Sequence'!$A$2:$A$9,0)),ROW(I13:Q13)),IF(ISNUMBER(MATCH('Final Data'!$A$5:$A$50,'Order By Sequence'!$A$2:$A$9,0)),MATCH('Final Data'!$A$5:$A$50,'Order By Sequence'!$A$2:$A$9,0),0),0),COLUMN(I13:Q13)))</f>
        <v/>
      </c>
    </row>
    <row r="18" spans="1:9" x14ac:dyDescent="0.35">
      <c r="A18" s="13" t="str">
        <f t="array" aca="1" ref="A18" ca="1">IF('Final Data'!A18="","",INDEX('Final Data'!$A$5:$I$50,MATCH(SMALL(IF(ISNUMBER(MATCH('Final Data'!$A$5:$A$50,'Order By Sequence'!$A$2:$A$9,0)),MATCH('Final Data'!$A$5:$A$50,'Order By Sequence'!$A$2:$A$9,0)),ROW(A14:I14)),IF(ISNUMBER(MATCH('Final Data'!$A$5:$A$50,'Order By Sequence'!$A$2:$A$9,0)),MATCH('Final Data'!$A$5:$A$50,'Order By Sequence'!$A$2:$A$9,0),0),0),COLUMN(A14:I14)))</f>
        <v/>
      </c>
      <c r="B18" s="13" t="str">
        <f t="array" aca="1" ref="B18" ca="1">IF('Final Data'!B18="","",INDEX('Final Data'!$A$5:$I$50,MATCH(SMALL(IF(ISNUMBER(MATCH('Final Data'!$A$5:$A$50,'Order By Sequence'!$A$2:$A$9,0)),MATCH('Final Data'!$A$5:$A$50,'Order By Sequence'!$A$2:$A$9,0)),ROW(B14:J14)),IF(ISNUMBER(MATCH('Final Data'!$A$5:$A$50,'Order By Sequence'!$A$2:$A$9,0)),MATCH('Final Data'!$A$5:$A$50,'Order By Sequence'!$A$2:$A$9,0),0),0),COLUMN(B14:J14)))</f>
        <v/>
      </c>
      <c r="C18" s="13" t="str">
        <f t="array" aca="1" ref="C18" ca="1">IF('Final Data'!C18="","",INDEX('Final Data'!$A$5:$I$50,MATCH(SMALL(IF(ISNUMBER(MATCH('Final Data'!$A$5:$A$50,'Order By Sequence'!$A$2:$A$9,0)),MATCH('Final Data'!$A$5:$A$50,'Order By Sequence'!$A$2:$A$9,0)),ROW(C14:K14)),IF(ISNUMBER(MATCH('Final Data'!$A$5:$A$50,'Order By Sequence'!$A$2:$A$9,0)),MATCH('Final Data'!$A$5:$A$50,'Order By Sequence'!$A$2:$A$9,0),0),0),COLUMN(C14:K14)))</f>
        <v/>
      </c>
      <c r="D18" s="13" t="str">
        <f t="array" aca="1" ref="D18" ca="1">IF('Final Data'!D18="","",INDEX('Final Data'!$A$5:$I$50,MATCH(SMALL(IF(ISNUMBER(MATCH('Final Data'!$A$5:$A$50,'Order By Sequence'!$A$2:$A$9,0)),MATCH('Final Data'!$A$5:$A$50,'Order By Sequence'!$A$2:$A$9,0)),ROW(D14:L14)),IF(ISNUMBER(MATCH('Final Data'!$A$5:$A$50,'Order By Sequence'!$A$2:$A$9,0)),MATCH('Final Data'!$A$5:$A$50,'Order By Sequence'!$A$2:$A$9,0),0),0),COLUMN(D14:L14)))</f>
        <v/>
      </c>
      <c r="E18" s="13" t="str">
        <f t="array" aca="1" ref="E18" ca="1">IF('Final Data'!E18="","",INDEX('Final Data'!$A$5:$I$50,MATCH(SMALL(IF(ISNUMBER(MATCH('Final Data'!$A$5:$A$50,'Order By Sequence'!$A$2:$A$9,0)),MATCH('Final Data'!$A$5:$A$50,'Order By Sequence'!$A$2:$A$9,0)),ROW(E14:M14)),IF(ISNUMBER(MATCH('Final Data'!$A$5:$A$50,'Order By Sequence'!$A$2:$A$9,0)),MATCH('Final Data'!$A$5:$A$50,'Order By Sequence'!$A$2:$A$9,0),0),0),COLUMN(E14:M14)))</f>
        <v/>
      </c>
      <c r="F18" s="13" t="str">
        <f t="array" aca="1" ref="F18" ca="1">IF('Final Data'!F18="","",INDEX('Final Data'!$A$5:$I$50,MATCH(SMALL(IF(ISNUMBER(MATCH('Final Data'!$A$5:$A$50,'Order By Sequence'!$A$2:$A$9,0)),MATCH('Final Data'!$A$5:$A$50,'Order By Sequence'!$A$2:$A$9,0)),ROW(F14:N14)),IF(ISNUMBER(MATCH('Final Data'!$A$5:$A$50,'Order By Sequence'!$A$2:$A$9,0)),MATCH('Final Data'!$A$5:$A$50,'Order By Sequence'!$A$2:$A$9,0),0),0),COLUMN(F14:N14)))</f>
        <v/>
      </c>
      <c r="G18" s="13" t="str">
        <f t="array" aca="1" ref="G18" ca="1">IF('Final Data'!G18="","",INDEX('Final Data'!$A$5:$I$50,MATCH(SMALL(IF(ISNUMBER(MATCH('Final Data'!$A$5:$A$50,'Order By Sequence'!$A$2:$A$9,0)),MATCH('Final Data'!$A$5:$A$50,'Order By Sequence'!$A$2:$A$9,0)),ROW(G14:O14)),IF(ISNUMBER(MATCH('Final Data'!$A$5:$A$50,'Order By Sequence'!$A$2:$A$9,0)),MATCH('Final Data'!$A$5:$A$50,'Order By Sequence'!$A$2:$A$9,0),0),0),COLUMN(G14:O14)))</f>
        <v/>
      </c>
      <c r="H18" s="13" t="str">
        <f t="array" aca="1" ref="H18" ca="1">IF('Final Data'!H18="","",INDEX('Final Data'!$A$5:$I$50,MATCH(SMALL(IF(ISNUMBER(MATCH('Final Data'!$A$5:$A$50,'Order By Sequence'!$A$2:$A$9,0)),MATCH('Final Data'!$A$5:$A$50,'Order By Sequence'!$A$2:$A$9,0)),ROW(H14:P14)),IF(ISNUMBER(MATCH('Final Data'!$A$5:$A$50,'Order By Sequence'!$A$2:$A$9,0)),MATCH('Final Data'!$A$5:$A$50,'Order By Sequence'!$A$2:$A$9,0),0),0),COLUMN(H14:P14)))</f>
        <v/>
      </c>
      <c r="I18" s="13" t="str">
        <f t="array" aca="1" ref="I18" ca="1">IF('Final Data'!I18="","",INDEX('Final Data'!$A$5:$I$50,MATCH(SMALL(IF(ISNUMBER(MATCH('Final Data'!$A$5:$A$50,'Order By Sequence'!$A$2:$A$9,0)),MATCH('Final Data'!$A$5:$A$50,'Order By Sequence'!$A$2:$A$9,0)),ROW(I14:Q14)),IF(ISNUMBER(MATCH('Final Data'!$A$5:$A$50,'Order By Sequence'!$A$2:$A$9,0)),MATCH('Final Data'!$A$5:$A$50,'Order By Sequence'!$A$2:$A$9,0),0),0),COLUMN(I14:Q14)))</f>
        <v/>
      </c>
    </row>
    <row r="19" spans="1:9" x14ac:dyDescent="0.35">
      <c r="A19" s="13" t="str">
        <f t="array" aca="1" ref="A19" ca="1">IF('Final Data'!A19="","",INDEX('Final Data'!$A$5:$I$50,MATCH(SMALL(IF(ISNUMBER(MATCH('Final Data'!$A$5:$A$50,'Order By Sequence'!$A$2:$A$9,0)),MATCH('Final Data'!$A$5:$A$50,'Order By Sequence'!$A$2:$A$9,0)),ROW(A15:I15)),IF(ISNUMBER(MATCH('Final Data'!$A$5:$A$50,'Order By Sequence'!$A$2:$A$9,0)),MATCH('Final Data'!$A$5:$A$50,'Order By Sequence'!$A$2:$A$9,0),0),0),COLUMN(A15:I15)))</f>
        <v/>
      </c>
      <c r="B19" s="13" t="str">
        <f t="array" aca="1" ref="B19" ca="1">IF('Final Data'!B19="","",INDEX('Final Data'!$A$5:$I$50,MATCH(SMALL(IF(ISNUMBER(MATCH('Final Data'!$A$5:$A$50,'Order By Sequence'!$A$2:$A$9,0)),MATCH('Final Data'!$A$5:$A$50,'Order By Sequence'!$A$2:$A$9,0)),ROW(B15:J15)),IF(ISNUMBER(MATCH('Final Data'!$A$5:$A$50,'Order By Sequence'!$A$2:$A$9,0)),MATCH('Final Data'!$A$5:$A$50,'Order By Sequence'!$A$2:$A$9,0),0),0),COLUMN(B15:J15)))</f>
        <v/>
      </c>
      <c r="C19" s="13" t="str">
        <f t="array" aca="1" ref="C19" ca="1">IF('Final Data'!C19="","",INDEX('Final Data'!$A$5:$I$50,MATCH(SMALL(IF(ISNUMBER(MATCH('Final Data'!$A$5:$A$50,'Order By Sequence'!$A$2:$A$9,0)),MATCH('Final Data'!$A$5:$A$50,'Order By Sequence'!$A$2:$A$9,0)),ROW(C15:K15)),IF(ISNUMBER(MATCH('Final Data'!$A$5:$A$50,'Order By Sequence'!$A$2:$A$9,0)),MATCH('Final Data'!$A$5:$A$50,'Order By Sequence'!$A$2:$A$9,0),0),0),COLUMN(C15:K15)))</f>
        <v/>
      </c>
      <c r="D19" s="13" t="str">
        <f t="array" aca="1" ref="D19" ca="1">IF('Final Data'!D19="","",INDEX('Final Data'!$A$5:$I$50,MATCH(SMALL(IF(ISNUMBER(MATCH('Final Data'!$A$5:$A$50,'Order By Sequence'!$A$2:$A$9,0)),MATCH('Final Data'!$A$5:$A$50,'Order By Sequence'!$A$2:$A$9,0)),ROW(D15:L15)),IF(ISNUMBER(MATCH('Final Data'!$A$5:$A$50,'Order By Sequence'!$A$2:$A$9,0)),MATCH('Final Data'!$A$5:$A$50,'Order By Sequence'!$A$2:$A$9,0),0),0),COLUMN(D15:L15)))</f>
        <v/>
      </c>
      <c r="E19" s="13" t="str">
        <f t="array" aca="1" ref="E19" ca="1">IF('Final Data'!E19="","",INDEX('Final Data'!$A$5:$I$50,MATCH(SMALL(IF(ISNUMBER(MATCH('Final Data'!$A$5:$A$50,'Order By Sequence'!$A$2:$A$9,0)),MATCH('Final Data'!$A$5:$A$50,'Order By Sequence'!$A$2:$A$9,0)),ROW(E15:M15)),IF(ISNUMBER(MATCH('Final Data'!$A$5:$A$50,'Order By Sequence'!$A$2:$A$9,0)),MATCH('Final Data'!$A$5:$A$50,'Order By Sequence'!$A$2:$A$9,0),0),0),COLUMN(E15:M15)))</f>
        <v/>
      </c>
      <c r="F19" s="13" t="str">
        <f t="array" aca="1" ref="F19" ca="1">IF('Final Data'!F19="","",INDEX('Final Data'!$A$5:$I$50,MATCH(SMALL(IF(ISNUMBER(MATCH('Final Data'!$A$5:$A$50,'Order By Sequence'!$A$2:$A$9,0)),MATCH('Final Data'!$A$5:$A$50,'Order By Sequence'!$A$2:$A$9,0)),ROW(F15:N15)),IF(ISNUMBER(MATCH('Final Data'!$A$5:$A$50,'Order By Sequence'!$A$2:$A$9,0)),MATCH('Final Data'!$A$5:$A$50,'Order By Sequence'!$A$2:$A$9,0),0),0),COLUMN(F15:N15)))</f>
        <v/>
      </c>
      <c r="G19" s="13" t="str">
        <f t="array" aca="1" ref="G19" ca="1">IF('Final Data'!G19="","",INDEX('Final Data'!$A$5:$I$50,MATCH(SMALL(IF(ISNUMBER(MATCH('Final Data'!$A$5:$A$50,'Order By Sequence'!$A$2:$A$9,0)),MATCH('Final Data'!$A$5:$A$50,'Order By Sequence'!$A$2:$A$9,0)),ROW(G15:O15)),IF(ISNUMBER(MATCH('Final Data'!$A$5:$A$50,'Order By Sequence'!$A$2:$A$9,0)),MATCH('Final Data'!$A$5:$A$50,'Order By Sequence'!$A$2:$A$9,0),0),0),COLUMN(G15:O15)))</f>
        <v/>
      </c>
      <c r="H19" s="13" t="str">
        <f t="array" aca="1" ref="H19" ca="1">IF('Final Data'!H19="","",INDEX('Final Data'!$A$5:$I$50,MATCH(SMALL(IF(ISNUMBER(MATCH('Final Data'!$A$5:$A$50,'Order By Sequence'!$A$2:$A$9,0)),MATCH('Final Data'!$A$5:$A$50,'Order By Sequence'!$A$2:$A$9,0)),ROW(H15:P15)),IF(ISNUMBER(MATCH('Final Data'!$A$5:$A$50,'Order By Sequence'!$A$2:$A$9,0)),MATCH('Final Data'!$A$5:$A$50,'Order By Sequence'!$A$2:$A$9,0),0),0),COLUMN(H15:P15)))</f>
        <v/>
      </c>
      <c r="I19" s="13" t="str">
        <f t="array" aca="1" ref="I19" ca="1">IF('Final Data'!I19="","",INDEX('Final Data'!$A$5:$I$50,MATCH(SMALL(IF(ISNUMBER(MATCH('Final Data'!$A$5:$A$50,'Order By Sequence'!$A$2:$A$9,0)),MATCH('Final Data'!$A$5:$A$50,'Order By Sequence'!$A$2:$A$9,0)),ROW(I15:Q15)),IF(ISNUMBER(MATCH('Final Data'!$A$5:$A$50,'Order By Sequence'!$A$2:$A$9,0)),MATCH('Final Data'!$A$5:$A$50,'Order By Sequence'!$A$2:$A$9,0),0),0),COLUMN(I15:Q15)))</f>
        <v/>
      </c>
    </row>
    <row r="20" spans="1:9" x14ac:dyDescent="0.35">
      <c r="A20" s="13" t="str">
        <f t="array" aca="1" ref="A20" ca="1">IF('Final Data'!A20="","",INDEX('Final Data'!$A$5:$I$50,MATCH(SMALL(IF(ISNUMBER(MATCH('Final Data'!$A$5:$A$50,'Order By Sequence'!$A$2:$A$9,0)),MATCH('Final Data'!$A$5:$A$50,'Order By Sequence'!$A$2:$A$9,0)),ROW(A16:I16)),IF(ISNUMBER(MATCH('Final Data'!$A$5:$A$50,'Order By Sequence'!$A$2:$A$9,0)),MATCH('Final Data'!$A$5:$A$50,'Order By Sequence'!$A$2:$A$9,0),0),0),COLUMN(A16:I16)))</f>
        <v/>
      </c>
      <c r="B20" s="13" t="str">
        <f t="array" aca="1" ref="B20" ca="1">IF('Final Data'!B20="","",INDEX('Final Data'!$A$5:$I$50,MATCH(SMALL(IF(ISNUMBER(MATCH('Final Data'!$A$5:$A$50,'Order By Sequence'!$A$2:$A$9,0)),MATCH('Final Data'!$A$5:$A$50,'Order By Sequence'!$A$2:$A$9,0)),ROW(B16:J16)),IF(ISNUMBER(MATCH('Final Data'!$A$5:$A$50,'Order By Sequence'!$A$2:$A$9,0)),MATCH('Final Data'!$A$5:$A$50,'Order By Sequence'!$A$2:$A$9,0),0),0),COLUMN(B16:J16)))</f>
        <v/>
      </c>
      <c r="C20" s="13" t="str">
        <f t="array" aca="1" ref="C20" ca="1">IF('Final Data'!C20="","",INDEX('Final Data'!$A$5:$I$50,MATCH(SMALL(IF(ISNUMBER(MATCH('Final Data'!$A$5:$A$50,'Order By Sequence'!$A$2:$A$9,0)),MATCH('Final Data'!$A$5:$A$50,'Order By Sequence'!$A$2:$A$9,0)),ROW(C16:K16)),IF(ISNUMBER(MATCH('Final Data'!$A$5:$A$50,'Order By Sequence'!$A$2:$A$9,0)),MATCH('Final Data'!$A$5:$A$50,'Order By Sequence'!$A$2:$A$9,0),0),0),COLUMN(C16:K16)))</f>
        <v/>
      </c>
      <c r="D20" s="13" t="str">
        <f t="array" aca="1" ref="D20" ca="1">IF('Final Data'!D20="","",INDEX('Final Data'!$A$5:$I$50,MATCH(SMALL(IF(ISNUMBER(MATCH('Final Data'!$A$5:$A$50,'Order By Sequence'!$A$2:$A$9,0)),MATCH('Final Data'!$A$5:$A$50,'Order By Sequence'!$A$2:$A$9,0)),ROW(D16:L16)),IF(ISNUMBER(MATCH('Final Data'!$A$5:$A$50,'Order By Sequence'!$A$2:$A$9,0)),MATCH('Final Data'!$A$5:$A$50,'Order By Sequence'!$A$2:$A$9,0),0),0),COLUMN(D16:L16)))</f>
        <v/>
      </c>
      <c r="E20" s="13" t="str">
        <f t="array" aca="1" ref="E20" ca="1">IF('Final Data'!E20="","",INDEX('Final Data'!$A$5:$I$50,MATCH(SMALL(IF(ISNUMBER(MATCH('Final Data'!$A$5:$A$50,'Order By Sequence'!$A$2:$A$9,0)),MATCH('Final Data'!$A$5:$A$50,'Order By Sequence'!$A$2:$A$9,0)),ROW(E16:M16)),IF(ISNUMBER(MATCH('Final Data'!$A$5:$A$50,'Order By Sequence'!$A$2:$A$9,0)),MATCH('Final Data'!$A$5:$A$50,'Order By Sequence'!$A$2:$A$9,0),0),0),COLUMN(E16:M16)))</f>
        <v/>
      </c>
      <c r="F20" s="13" t="str">
        <f t="array" aca="1" ref="F20" ca="1">IF('Final Data'!F20="","",INDEX('Final Data'!$A$5:$I$50,MATCH(SMALL(IF(ISNUMBER(MATCH('Final Data'!$A$5:$A$50,'Order By Sequence'!$A$2:$A$9,0)),MATCH('Final Data'!$A$5:$A$50,'Order By Sequence'!$A$2:$A$9,0)),ROW(F16:N16)),IF(ISNUMBER(MATCH('Final Data'!$A$5:$A$50,'Order By Sequence'!$A$2:$A$9,0)),MATCH('Final Data'!$A$5:$A$50,'Order By Sequence'!$A$2:$A$9,0),0),0),COLUMN(F16:N16)))</f>
        <v/>
      </c>
      <c r="G20" s="13" t="str">
        <f t="array" aca="1" ref="G20" ca="1">IF('Final Data'!G20="","",INDEX('Final Data'!$A$5:$I$50,MATCH(SMALL(IF(ISNUMBER(MATCH('Final Data'!$A$5:$A$50,'Order By Sequence'!$A$2:$A$9,0)),MATCH('Final Data'!$A$5:$A$50,'Order By Sequence'!$A$2:$A$9,0)),ROW(G16:O16)),IF(ISNUMBER(MATCH('Final Data'!$A$5:$A$50,'Order By Sequence'!$A$2:$A$9,0)),MATCH('Final Data'!$A$5:$A$50,'Order By Sequence'!$A$2:$A$9,0),0),0),COLUMN(G16:O16)))</f>
        <v/>
      </c>
      <c r="H20" s="13" t="str">
        <f t="array" aca="1" ref="H20" ca="1">IF('Final Data'!H20="","",INDEX('Final Data'!$A$5:$I$50,MATCH(SMALL(IF(ISNUMBER(MATCH('Final Data'!$A$5:$A$50,'Order By Sequence'!$A$2:$A$9,0)),MATCH('Final Data'!$A$5:$A$50,'Order By Sequence'!$A$2:$A$9,0)),ROW(H16:P16)),IF(ISNUMBER(MATCH('Final Data'!$A$5:$A$50,'Order By Sequence'!$A$2:$A$9,0)),MATCH('Final Data'!$A$5:$A$50,'Order By Sequence'!$A$2:$A$9,0),0),0),COLUMN(H16:P16)))</f>
        <v/>
      </c>
      <c r="I20" s="13" t="str">
        <f t="array" aca="1" ref="I20" ca="1">IF('Final Data'!I20="","",INDEX('Final Data'!$A$5:$I$50,MATCH(SMALL(IF(ISNUMBER(MATCH('Final Data'!$A$5:$A$50,'Order By Sequence'!$A$2:$A$9,0)),MATCH('Final Data'!$A$5:$A$50,'Order By Sequence'!$A$2:$A$9,0)),ROW(I16:Q16)),IF(ISNUMBER(MATCH('Final Data'!$A$5:$A$50,'Order By Sequence'!$A$2:$A$9,0)),MATCH('Final Data'!$A$5:$A$50,'Order By Sequence'!$A$2:$A$9,0),0),0),COLUMN(I16:Q16)))</f>
        <v/>
      </c>
    </row>
    <row r="21" spans="1:9" x14ac:dyDescent="0.35">
      <c r="A21" s="13" t="str">
        <f t="array" aca="1" ref="A21" ca="1">IF('Final Data'!A21="","",INDEX('Final Data'!$A$5:$I$50,MATCH(SMALL(IF(ISNUMBER(MATCH('Final Data'!$A$5:$A$50,'Order By Sequence'!$A$2:$A$9,0)),MATCH('Final Data'!$A$5:$A$50,'Order By Sequence'!$A$2:$A$9,0)),ROW(A17:I17)),IF(ISNUMBER(MATCH('Final Data'!$A$5:$A$50,'Order By Sequence'!$A$2:$A$9,0)),MATCH('Final Data'!$A$5:$A$50,'Order By Sequence'!$A$2:$A$9,0),0),0),COLUMN(A17:I17)))</f>
        <v/>
      </c>
      <c r="B21" s="13" t="str">
        <f t="array" aca="1" ref="B21" ca="1">IF('Final Data'!B21="","",INDEX('Final Data'!$A$5:$I$50,MATCH(SMALL(IF(ISNUMBER(MATCH('Final Data'!$A$5:$A$50,'Order By Sequence'!$A$2:$A$9,0)),MATCH('Final Data'!$A$5:$A$50,'Order By Sequence'!$A$2:$A$9,0)),ROW(B17:J17)),IF(ISNUMBER(MATCH('Final Data'!$A$5:$A$50,'Order By Sequence'!$A$2:$A$9,0)),MATCH('Final Data'!$A$5:$A$50,'Order By Sequence'!$A$2:$A$9,0),0),0),COLUMN(B17:J17)))</f>
        <v/>
      </c>
      <c r="C21" s="13" t="str">
        <f t="array" aca="1" ref="C21" ca="1">IF('Final Data'!C21="","",INDEX('Final Data'!$A$5:$I$50,MATCH(SMALL(IF(ISNUMBER(MATCH('Final Data'!$A$5:$A$50,'Order By Sequence'!$A$2:$A$9,0)),MATCH('Final Data'!$A$5:$A$50,'Order By Sequence'!$A$2:$A$9,0)),ROW(C17:K17)),IF(ISNUMBER(MATCH('Final Data'!$A$5:$A$50,'Order By Sequence'!$A$2:$A$9,0)),MATCH('Final Data'!$A$5:$A$50,'Order By Sequence'!$A$2:$A$9,0),0),0),COLUMN(C17:K17)))</f>
        <v/>
      </c>
      <c r="D21" s="13" t="str">
        <f t="array" aca="1" ref="D21" ca="1">IF('Final Data'!D21="","",INDEX('Final Data'!$A$5:$I$50,MATCH(SMALL(IF(ISNUMBER(MATCH('Final Data'!$A$5:$A$50,'Order By Sequence'!$A$2:$A$9,0)),MATCH('Final Data'!$A$5:$A$50,'Order By Sequence'!$A$2:$A$9,0)),ROW(D17:L17)),IF(ISNUMBER(MATCH('Final Data'!$A$5:$A$50,'Order By Sequence'!$A$2:$A$9,0)),MATCH('Final Data'!$A$5:$A$50,'Order By Sequence'!$A$2:$A$9,0),0),0),COLUMN(D17:L17)))</f>
        <v/>
      </c>
      <c r="E21" s="13" t="str">
        <f t="array" aca="1" ref="E21" ca="1">IF('Final Data'!E21="","",INDEX('Final Data'!$A$5:$I$50,MATCH(SMALL(IF(ISNUMBER(MATCH('Final Data'!$A$5:$A$50,'Order By Sequence'!$A$2:$A$9,0)),MATCH('Final Data'!$A$5:$A$50,'Order By Sequence'!$A$2:$A$9,0)),ROW(E17:M17)),IF(ISNUMBER(MATCH('Final Data'!$A$5:$A$50,'Order By Sequence'!$A$2:$A$9,0)),MATCH('Final Data'!$A$5:$A$50,'Order By Sequence'!$A$2:$A$9,0),0),0),COLUMN(E17:M17)))</f>
        <v/>
      </c>
      <c r="F21" s="13" t="str">
        <f t="array" aca="1" ref="F21" ca="1">IF('Final Data'!F21="","",INDEX('Final Data'!$A$5:$I$50,MATCH(SMALL(IF(ISNUMBER(MATCH('Final Data'!$A$5:$A$50,'Order By Sequence'!$A$2:$A$9,0)),MATCH('Final Data'!$A$5:$A$50,'Order By Sequence'!$A$2:$A$9,0)),ROW(F17:N17)),IF(ISNUMBER(MATCH('Final Data'!$A$5:$A$50,'Order By Sequence'!$A$2:$A$9,0)),MATCH('Final Data'!$A$5:$A$50,'Order By Sequence'!$A$2:$A$9,0),0),0),COLUMN(F17:N17)))</f>
        <v/>
      </c>
      <c r="G21" s="13" t="str">
        <f t="array" aca="1" ref="G21" ca="1">IF('Final Data'!G21="","",INDEX('Final Data'!$A$5:$I$50,MATCH(SMALL(IF(ISNUMBER(MATCH('Final Data'!$A$5:$A$50,'Order By Sequence'!$A$2:$A$9,0)),MATCH('Final Data'!$A$5:$A$50,'Order By Sequence'!$A$2:$A$9,0)),ROW(G17:O17)),IF(ISNUMBER(MATCH('Final Data'!$A$5:$A$50,'Order By Sequence'!$A$2:$A$9,0)),MATCH('Final Data'!$A$5:$A$50,'Order By Sequence'!$A$2:$A$9,0),0),0),COLUMN(G17:O17)))</f>
        <v/>
      </c>
      <c r="H21" s="13" t="str">
        <f t="array" aca="1" ref="H21" ca="1">IF('Final Data'!H21="","",INDEX('Final Data'!$A$5:$I$50,MATCH(SMALL(IF(ISNUMBER(MATCH('Final Data'!$A$5:$A$50,'Order By Sequence'!$A$2:$A$9,0)),MATCH('Final Data'!$A$5:$A$50,'Order By Sequence'!$A$2:$A$9,0)),ROW(H17:P17)),IF(ISNUMBER(MATCH('Final Data'!$A$5:$A$50,'Order By Sequence'!$A$2:$A$9,0)),MATCH('Final Data'!$A$5:$A$50,'Order By Sequence'!$A$2:$A$9,0),0),0),COLUMN(H17:P17)))</f>
        <v/>
      </c>
      <c r="I21" s="13" t="str">
        <f t="array" aca="1" ref="I21" ca="1">IF('Final Data'!I21="","",INDEX('Final Data'!$A$5:$I$50,MATCH(SMALL(IF(ISNUMBER(MATCH('Final Data'!$A$5:$A$50,'Order By Sequence'!$A$2:$A$9,0)),MATCH('Final Data'!$A$5:$A$50,'Order By Sequence'!$A$2:$A$9,0)),ROW(I17:Q17)),IF(ISNUMBER(MATCH('Final Data'!$A$5:$A$50,'Order By Sequence'!$A$2:$A$9,0)),MATCH('Final Data'!$A$5:$A$50,'Order By Sequence'!$A$2:$A$9,0),0),0),COLUMN(I17:Q17)))</f>
        <v/>
      </c>
    </row>
    <row r="22" spans="1:9" x14ac:dyDescent="0.35">
      <c r="A22" s="13" t="str">
        <f t="array" aca="1" ref="A22" ca="1">IF('Final Data'!A22="","",INDEX('Final Data'!$A$5:$I$50,MATCH(SMALL(IF(ISNUMBER(MATCH('Final Data'!$A$5:$A$50,'Order By Sequence'!$A$2:$A$9,0)),MATCH('Final Data'!$A$5:$A$50,'Order By Sequence'!$A$2:$A$9,0)),ROW(A18:I18)),IF(ISNUMBER(MATCH('Final Data'!$A$5:$A$50,'Order By Sequence'!$A$2:$A$9,0)),MATCH('Final Data'!$A$5:$A$50,'Order By Sequence'!$A$2:$A$9,0),0),0),COLUMN(A18:I18)))</f>
        <v/>
      </c>
      <c r="B22" s="13" t="str">
        <f t="array" aca="1" ref="B22" ca="1">IF('Final Data'!B22="","",INDEX('Final Data'!$A$5:$I$50,MATCH(SMALL(IF(ISNUMBER(MATCH('Final Data'!$A$5:$A$50,'Order By Sequence'!$A$2:$A$9,0)),MATCH('Final Data'!$A$5:$A$50,'Order By Sequence'!$A$2:$A$9,0)),ROW(B18:J18)),IF(ISNUMBER(MATCH('Final Data'!$A$5:$A$50,'Order By Sequence'!$A$2:$A$9,0)),MATCH('Final Data'!$A$5:$A$50,'Order By Sequence'!$A$2:$A$9,0),0),0),COLUMN(B18:J18)))</f>
        <v/>
      </c>
      <c r="C22" s="13" t="str">
        <f t="array" aca="1" ref="C22" ca="1">IF('Final Data'!C22="","",INDEX('Final Data'!$A$5:$I$50,MATCH(SMALL(IF(ISNUMBER(MATCH('Final Data'!$A$5:$A$50,'Order By Sequence'!$A$2:$A$9,0)),MATCH('Final Data'!$A$5:$A$50,'Order By Sequence'!$A$2:$A$9,0)),ROW(C18:K18)),IF(ISNUMBER(MATCH('Final Data'!$A$5:$A$50,'Order By Sequence'!$A$2:$A$9,0)),MATCH('Final Data'!$A$5:$A$50,'Order By Sequence'!$A$2:$A$9,0),0),0),COLUMN(C18:K18)))</f>
        <v/>
      </c>
      <c r="D22" s="13" t="str">
        <f t="array" aca="1" ref="D22" ca="1">IF('Final Data'!D22="","",INDEX('Final Data'!$A$5:$I$50,MATCH(SMALL(IF(ISNUMBER(MATCH('Final Data'!$A$5:$A$50,'Order By Sequence'!$A$2:$A$9,0)),MATCH('Final Data'!$A$5:$A$50,'Order By Sequence'!$A$2:$A$9,0)),ROW(D18:L18)),IF(ISNUMBER(MATCH('Final Data'!$A$5:$A$50,'Order By Sequence'!$A$2:$A$9,0)),MATCH('Final Data'!$A$5:$A$50,'Order By Sequence'!$A$2:$A$9,0),0),0),COLUMN(D18:L18)))</f>
        <v/>
      </c>
      <c r="E22" s="13" t="str">
        <f t="array" aca="1" ref="E22" ca="1">IF('Final Data'!E22="","",INDEX('Final Data'!$A$5:$I$50,MATCH(SMALL(IF(ISNUMBER(MATCH('Final Data'!$A$5:$A$50,'Order By Sequence'!$A$2:$A$9,0)),MATCH('Final Data'!$A$5:$A$50,'Order By Sequence'!$A$2:$A$9,0)),ROW(E18:M18)),IF(ISNUMBER(MATCH('Final Data'!$A$5:$A$50,'Order By Sequence'!$A$2:$A$9,0)),MATCH('Final Data'!$A$5:$A$50,'Order By Sequence'!$A$2:$A$9,0),0),0),COLUMN(E18:M18)))</f>
        <v/>
      </c>
      <c r="F22" s="13" t="str">
        <f t="array" aca="1" ref="F22" ca="1">IF('Final Data'!F22="","",INDEX('Final Data'!$A$5:$I$50,MATCH(SMALL(IF(ISNUMBER(MATCH('Final Data'!$A$5:$A$50,'Order By Sequence'!$A$2:$A$9,0)),MATCH('Final Data'!$A$5:$A$50,'Order By Sequence'!$A$2:$A$9,0)),ROW(F18:N18)),IF(ISNUMBER(MATCH('Final Data'!$A$5:$A$50,'Order By Sequence'!$A$2:$A$9,0)),MATCH('Final Data'!$A$5:$A$50,'Order By Sequence'!$A$2:$A$9,0),0),0),COLUMN(F18:N18)))</f>
        <v/>
      </c>
      <c r="G22" s="13" t="str">
        <f t="array" aca="1" ref="G22" ca="1">IF('Final Data'!G22="","",INDEX('Final Data'!$A$5:$I$50,MATCH(SMALL(IF(ISNUMBER(MATCH('Final Data'!$A$5:$A$50,'Order By Sequence'!$A$2:$A$9,0)),MATCH('Final Data'!$A$5:$A$50,'Order By Sequence'!$A$2:$A$9,0)),ROW(G18:O18)),IF(ISNUMBER(MATCH('Final Data'!$A$5:$A$50,'Order By Sequence'!$A$2:$A$9,0)),MATCH('Final Data'!$A$5:$A$50,'Order By Sequence'!$A$2:$A$9,0),0),0),COLUMN(G18:O18)))</f>
        <v/>
      </c>
      <c r="H22" s="13" t="str">
        <f t="array" aca="1" ref="H22" ca="1">IF('Final Data'!H22="","",INDEX('Final Data'!$A$5:$I$50,MATCH(SMALL(IF(ISNUMBER(MATCH('Final Data'!$A$5:$A$50,'Order By Sequence'!$A$2:$A$9,0)),MATCH('Final Data'!$A$5:$A$50,'Order By Sequence'!$A$2:$A$9,0)),ROW(H18:P18)),IF(ISNUMBER(MATCH('Final Data'!$A$5:$A$50,'Order By Sequence'!$A$2:$A$9,0)),MATCH('Final Data'!$A$5:$A$50,'Order By Sequence'!$A$2:$A$9,0),0),0),COLUMN(H18:P18)))</f>
        <v/>
      </c>
      <c r="I22" s="13" t="str">
        <f t="array" aca="1" ref="I22" ca="1">IF('Final Data'!I22="","",INDEX('Final Data'!$A$5:$I$50,MATCH(SMALL(IF(ISNUMBER(MATCH('Final Data'!$A$5:$A$50,'Order By Sequence'!$A$2:$A$9,0)),MATCH('Final Data'!$A$5:$A$50,'Order By Sequence'!$A$2:$A$9,0)),ROW(I18:Q18)),IF(ISNUMBER(MATCH('Final Data'!$A$5:$A$50,'Order By Sequence'!$A$2:$A$9,0)),MATCH('Final Data'!$A$5:$A$50,'Order By Sequence'!$A$2:$A$9,0),0),0),COLUMN(I18:Q18)))</f>
        <v/>
      </c>
    </row>
    <row r="23" spans="1:9" x14ac:dyDescent="0.35">
      <c r="A23" s="13" t="str">
        <f t="array" aca="1" ref="A23" ca="1">IF('Final Data'!A23="","",INDEX('Final Data'!$A$5:$I$50,MATCH(SMALL(IF(ISNUMBER(MATCH('Final Data'!$A$5:$A$50,'Order By Sequence'!$A$2:$A$9,0)),MATCH('Final Data'!$A$5:$A$50,'Order By Sequence'!$A$2:$A$9,0)),ROW(A19:I19)),IF(ISNUMBER(MATCH('Final Data'!$A$5:$A$50,'Order By Sequence'!$A$2:$A$9,0)),MATCH('Final Data'!$A$5:$A$50,'Order By Sequence'!$A$2:$A$9,0),0),0),COLUMN(A19:I19)))</f>
        <v/>
      </c>
      <c r="B23" s="13" t="str">
        <f t="array" aca="1" ref="B23" ca="1">IF('Final Data'!B23="","",INDEX('Final Data'!$A$5:$I$50,MATCH(SMALL(IF(ISNUMBER(MATCH('Final Data'!$A$5:$A$50,'Order By Sequence'!$A$2:$A$9,0)),MATCH('Final Data'!$A$5:$A$50,'Order By Sequence'!$A$2:$A$9,0)),ROW(B19:J19)),IF(ISNUMBER(MATCH('Final Data'!$A$5:$A$50,'Order By Sequence'!$A$2:$A$9,0)),MATCH('Final Data'!$A$5:$A$50,'Order By Sequence'!$A$2:$A$9,0),0),0),COLUMN(B19:J19)))</f>
        <v/>
      </c>
      <c r="C23" s="13" t="str">
        <f t="array" aca="1" ref="C23" ca="1">IF('Final Data'!C23="","",INDEX('Final Data'!$A$5:$I$50,MATCH(SMALL(IF(ISNUMBER(MATCH('Final Data'!$A$5:$A$50,'Order By Sequence'!$A$2:$A$9,0)),MATCH('Final Data'!$A$5:$A$50,'Order By Sequence'!$A$2:$A$9,0)),ROW(C19:K19)),IF(ISNUMBER(MATCH('Final Data'!$A$5:$A$50,'Order By Sequence'!$A$2:$A$9,0)),MATCH('Final Data'!$A$5:$A$50,'Order By Sequence'!$A$2:$A$9,0),0),0),COLUMN(C19:K19)))</f>
        <v/>
      </c>
      <c r="D23" s="13" t="str">
        <f t="array" aca="1" ref="D23" ca="1">IF('Final Data'!D23="","",INDEX('Final Data'!$A$5:$I$50,MATCH(SMALL(IF(ISNUMBER(MATCH('Final Data'!$A$5:$A$50,'Order By Sequence'!$A$2:$A$9,0)),MATCH('Final Data'!$A$5:$A$50,'Order By Sequence'!$A$2:$A$9,0)),ROW(D19:L19)),IF(ISNUMBER(MATCH('Final Data'!$A$5:$A$50,'Order By Sequence'!$A$2:$A$9,0)),MATCH('Final Data'!$A$5:$A$50,'Order By Sequence'!$A$2:$A$9,0),0),0),COLUMN(D19:L19)))</f>
        <v/>
      </c>
      <c r="E23" s="13" t="str">
        <f t="array" aca="1" ref="E23" ca="1">IF('Final Data'!E23="","",INDEX('Final Data'!$A$5:$I$50,MATCH(SMALL(IF(ISNUMBER(MATCH('Final Data'!$A$5:$A$50,'Order By Sequence'!$A$2:$A$9,0)),MATCH('Final Data'!$A$5:$A$50,'Order By Sequence'!$A$2:$A$9,0)),ROW(E19:M19)),IF(ISNUMBER(MATCH('Final Data'!$A$5:$A$50,'Order By Sequence'!$A$2:$A$9,0)),MATCH('Final Data'!$A$5:$A$50,'Order By Sequence'!$A$2:$A$9,0),0),0),COLUMN(E19:M19)))</f>
        <v/>
      </c>
      <c r="F23" s="13" t="str">
        <f t="array" aca="1" ref="F23" ca="1">IF('Final Data'!F23="","",INDEX('Final Data'!$A$5:$I$50,MATCH(SMALL(IF(ISNUMBER(MATCH('Final Data'!$A$5:$A$50,'Order By Sequence'!$A$2:$A$9,0)),MATCH('Final Data'!$A$5:$A$50,'Order By Sequence'!$A$2:$A$9,0)),ROW(F19:N19)),IF(ISNUMBER(MATCH('Final Data'!$A$5:$A$50,'Order By Sequence'!$A$2:$A$9,0)),MATCH('Final Data'!$A$5:$A$50,'Order By Sequence'!$A$2:$A$9,0),0),0),COLUMN(F19:N19)))</f>
        <v/>
      </c>
      <c r="G23" s="13" t="str">
        <f t="array" aca="1" ref="G23" ca="1">IF('Final Data'!G23="","",INDEX('Final Data'!$A$5:$I$50,MATCH(SMALL(IF(ISNUMBER(MATCH('Final Data'!$A$5:$A$50,'Order By Sequence'!$A$2:$A$9,0)),MATCH('Final Data'!$A$5:$A$50,'Order By Sequence'!$A$2:$A$9,0)),ROW(G19:O19)),IF(ISNUMBER(MATCH('Final Data'!$A$5:$A$50,'Order By Sequence'!$A$2:$A$9,0)),MATCH('Final Data'!$A$5:$A$50,'Order By Sequence'!$A$2:$A$9,0),0),0),COLUMN(G19:O19)))</f>
        <v/>
      </c>
      <c r="H23" s="13" t="str">
        <f t="array" aca="1" ref="H23" ca="1">IF('Final Data'!H23="","",INDEX('Final Data'!$A$5:$I$50,MATCH(SMALL(IF(ISNUMBER(MATCH('Final Data'!$A$5:$A$50,'Order By Sequence'!$A$2:$A$9,0)),MATCH('Final Data'!$A$5:$A$50,'Order By Sequence'!$A$2:$A$9,0)),ROW(H19:P19)),IF(ISNUMBER(MATCH('Final Data'!$A$5:$A$50,'Order By Sequence'!$A$2:$A$9,0)),MATCH('Final Data'!$A$5:$A$50,'Order By Sequence'!$A$2:$A$9,0),0),0),COLUMN(H19:P19)))</f>
        <v/>
      </c>
      <c r="I23" s="13" t="str">
        <f t="array" aca="1" ref="I23" ca="1">IF('Final Data'!I23="","",INDEX('Final Data'!$A$5:$I$50,MATCH(SMALL(IF(ISNUMBER(MATCH('Final Data'!$A$5:$A$50,'Order By Sequence'!$A$2:$A$9,0)),MATCH('Final Data'!$A$5:$A$50,'Order By Sequence'!$A$2:$A$9,0)),ROW(I19:Q19)),IF(ISNUMBER(MATCH('Final Data'!$A$5:$A$50,'Order By Sequence'!$A$2:$A$9,0)),MATCH('Final Data'!$A$5:$A$50,'Order By Sequence'!$A$2:$A$9,0),0),0),COLUMN(I19:Q19)))</f>
        <v/>
      </c>
    </row>
    <row r="24" spans="1:9" x14ac:dyDescent="0.35">
      <c r="A24" s="13" t="str">
        <f t="array" aca="1" ref="A24" ca="1">IF('Final Data'!A24="","",INDEX('Final Data'!$A$5:$I$50,MATCH(SMALL(IF(ISNUMBER(MATCH('Final Data'!$A$5:$A$50,'Order By Sequence'!$A$2:$A$9,0)),MATCH('Final Data'!$A$5:$A$50,'Order By Sequence'!$A$2:$A$9,0)),ROW(A20:I20)),IF(ISNUMBER(MATCH('Final Data'!$A$5:$A$50,'Order By Sequence'!$A$2:$A$9,0)),MATCH('Final Data'!$A$5:$A$50,'Order By Sequence'!$A$2:$A$9,0),0),0),COLUMN(A20:I20)))</f>
        <v/>
      </c>
      <c r="B24" s="13" t="str">
        <f t="array" aca="1" ref="B24" ca="1">IF('Final Data'!B24="","",INDEX('Final Data'!$A$5:$I$50,MATCH(SMALL(IF(ISNUMBER(MATCH('Final Data'!$A$5:$A$50,'Order By Sequence'!$A$2:$A$9,0)),MATCH('Final Data'!$A$5:$A$50,'Order By Sequence'!$A$2:$A$9,0)),ROW(B20:J20)),IF(ISNUMBER(MATCH('Final Data'!$A$5:$A$50,'Order By Sequence'!$A$2:$A$9,0)),MATCH('Final Data'!$A$5:$A$50,'Order By Sequence'!$A$2:$A$9,0),0),0),COLUMN(B20:J20)))</f>
        <v/>
      </c>
      <c r="C24" s="13" t="str">
        <f t="array" aca="1" ref="C24" ca="1">IF('Final Data'!C24="","",INDEX('Final Data'!$A$5:$I$50,MATCH(SMALL(IF(ISNUMBER(MATCH('Final Data'!$A$5:$A$50,'Order By Sequence'!$A$2:$A$9,0)),MATCH('Final Data'!$A$5:$A$50,'Order By Sequence'!$A$2:$A$9,0)),ROW(C20:K20)),IF(ISNUMBER(MATCH('Final Data'!$A$5:$A$50,'Order By Sequence'!$A$2:$A$9,0)),MATCH('Final Data'!$A$5:$A$50,'Order By Sequence'!$A$2:$A$9,0),0),0),COLUMN(C20:K20)))</f>
        <v/>
      </c>
      <c r="D24" s="13" t="str">
        <f t="array" aca="1" ref="D24" ca="1">IF('Final Data'!D24="","",INDEX('Final Data'!$A$5:$I$50,MATCH(SMALL(IF(ISNUMBER(MATCH('Final Data'!$A$5:$A$50,'Order By Sequence'!$A$2:$A$9,0)),MATCH('Final Data'!$A$5:$A$50,'Order By Sequence'!$A$2:$A$9,0)),ROW(D20:L20)),IF(ISNUMBER(MATCH('Final Data'!$A$5:$A$50,'Order By Sequence'!$A$2:$A$9,0)),MATCH('Final Data'!$A$5:$A$50,'Order By Sequence'!$A$2:$A$9,0),0),0),COLUMN(D20:L20)))</f>
        <v/>
      </c>
      <c r="E24" s="13" t="str">
        <f t="array" aca="1" ref="E24" ca="1">IF('Final Data'!E24="","",INDEX('Final Data'!$A$5:$I$50,MATCH(SMALL(IF(ISNUMBER(MATCH('Final Data'!$A$5:$A$50,'Order By Sequence'!$A$2:$A$9,0)),MATCH('Final Data'!$A$5:$A$50,'Order By Sequence'!$A$2:$A$9,0)),ROW(E20:M20)),IF(ISNUMBER(MATCH('Final Data'!$A$5:$A$50,'Order By Sequence'!$A$2:$A$9,0)),MATCH('Final Data'!$A$5:$A$50,'Order By Sequence'!$A$2:$A$9,0),0),0),COLUMN(E20:M20)))</f>
        <v/>
      </c>
      <c r="F24" s="13" t="str">
        <f t="array" aca="1" ref="F24" ca="1">IF('Final Data'!F24="","",INDEX('Final Data'!$A$5:$I$50,MATCH(SMALL(IF(ISNUMBER(MATCH('Final Data'!$A$5:$A$50,'Order By Sequence'!$A$2:$A$9,0)),MATCH('Final Data'!$A$5:$A$50,'Order By Sequence'!$A$2:$A$9,0)),ROW(F20:N20)),IF(ISNUMBER(MATCH('Final Data'!$A$5:$A$50,'Order By Sequence'!$A$2:$A$9,0)),MATCH('Final Data'!$A$5:$A$50,'Order By Sequence'!$A$2:$A$9,0),0),0),COLUMN(F20:N20)))</f>
        <v/>
      </c>
      <c r="G24" s="13" t="str">
        <f t="array" aca="1" ref="G24" ca="1">IF('Final Data'!G24="","",INDEX('Final Data'!$A$5:$I$50,MATCH(SMALL(IF(ISNUMBER(MATCH('Final Data'!$A$5:$A$50,'Order By Sequence'!$A$2:$A$9,0)),MATCH('Final Data'!$A$5:$A$50,'Order By Sequence'!$A$2:$A$9,0)),ROW(G20:O20)),IF(ISNUMBER(MATCH('Final Data'!$A$5:$A$50,'Order By Sequence'!$A$2:$A$9,0)),MATCH('Final Data'!$A$5:$A$50,'Order By Sequence'!$A$2:$A$9,0),0),0),COLUMN(G20:O20)))</f>
        <v/>
      </c>
      <c r="H24" s="13" t="str">
        <f t="array" aca="1" ref="H24" ca="1">IF('Final Data'!H24="","",INDEX('Final Data'!$A$5:$I$50,MATCH(SMALL(IF(ISNUMBER(MATCH('Final Data'!$A$5:$A$50,'Order By Sequence'!$A$2:$A$9,0)),MATCH('Final Data'!$A$5:$A$50,'Order By Sequence'!$A$2:$A$9,0)),ROW(H20:P20)),IF(ISNUMBER(MATCH('Final Data'!$A$5:$A$50,'Order By Sequence'!$A$2:$A$9,0)),MATCH('Final Data'!$A$5:$A$50,'Order By Sequence'!$A$2:$A$9,0),0),0),COLUMN(H20:P20)))</f>
        <v/>
      </c>
      <c r="I24" s="13" t="str">
        <f t="array" aca="1" ref="I24" ca="1">IF('Final Data'!I24="","",INDEX('Final Data'!$A$5:$I$50,MATCH(SMALL(IF(ISNUMBER(MATCH('Final Data'!$A$5:$A$50,'Order By Sequence'!$A$2:$A$9,0)),MATCH('Final Data'!$A$5:$A$50,'Order By Sequence'!$A$2:$A$9,0)),ROW(I20:Q20)),IF(ISNUMBER(MATCH('Final Data'!$A$5:$A$50,'Order By Sequence'!$A$2:$A$9,0)),MATCH('Final Data'!$A$5:$A$50,'Order By Sequence'!$A$2:$A$9,0),0),0),COLUMN(I20:Q20)))</f>
        <v/>
      </c>
    </row>
    <row r="25" spans="1:9" x14ac:dyDescent="0.35">
      <c r="A25" s="13" t="str">
        <f t="array" aca="1" ref="A25" ca="1">IF('Final Data'!A25="","",INDEX('Final Data'!$A$5:$I$50,MATCH(SMALL(IF(ISNUMBER(MATCH('Final Data'!$A$5:$A$50,'Order By Sequence'!$A$2:$A$9,0)),MATCH('Final Data'!$A$5:$A$50,'Order By Sequence'!$A$2:$A$9,0)),ROW(A21:I21)),IF(ISNUMBER(MATCH('Final Data'!$A$5:$A$50,'Order By Sequence'!$A$2:$A$9,0)),MATCH('Final Data'!$A$5:$A$50,'Order By Sequence'!$A$2:$A$9,0),0),0),COLUMN(A21:I21)))</f>
        <v/>
      </c>
      <c r="B25" s="13" t="str">
        <f t="array" aca="1" ref="B25" ca="1">IF('Final Data'!B25="","",INDEX('Final Data'!$A$5:$I$50,MATCH(SMALL(IF(ISNUMBER(MATCH('Final Data'!$A$5:$A$50,'Order By Sequence'!$A$2:$A$9,0)),MATCH('Final Data'!$A$5:$A$50,'Order By Sequence'!$A$2:$A$9,0)),ROW(B21:J21)),IF(ISNUMBER(MATCH('Final Data'!$A$5:$A$50,'Order By Sequence'!$A$2:$A$9,0)),MATCH('Final Data'!$A$5:$A$50,'Order By Sequence'!$A$2:$A$9,0),0),0),COLUMN(B21:J21)))</f>
        <v/>
      </c>
      <c r="C25" s="13" t="str">
        <f t="array" aca="1" ref="C25" ca="1">IF('Final Data'!C25="","",INDEX('Final Data'!$A$5:$I$50,MATCH(SMALL(IF(ISNUMBER(MATCH('Final Data'!$A$5:$A$50,'Order By Sequence'!$A$2:$A$9,0)),MATCH('Final Data'!$A$5:$A$50,'Order By Sequence'!$A$2:$A$9,0)),ROW(C21:K21)),IF(ISNUMBER(MATCH('Final Data'!$A$5:$A$50,'Order By Sequence'!$A$2:$A$9,0)),MATCH('Final Data'!$A$5:$A$50,'Order By Sequence'!$A$2:$A$9,0),0),0),COLUMN(C21:K21)))</f>
        <v/>
      </c>
      <c r="D25" s="13" t="str">
        <f t="array" aca="1" ref="D25" ca="1">IF('Final Data'!D25="","",INDEX('Final Data'!$A$5:$I$50,MATCH(SMALL(IF(ISNUMBER(MATCH('Final Data'!$A$5:$A$50,'Order By Sequence'!$A$2:$A$9,0)),MATCH('Final Data'!$A$5:$A$50,'Order By Sequence'!$A$2:$A$9,0)),ROW(D21:L21)),IF(ISNUMBER(MATCH('Final Data'!$A$5:$A$50,'Order By Sequence'!$A$2:$A$9,0)),MATCH('Final Data'!$A$5:$A$50,'Order By Sequence'!$A$2:$A$9,0),0),0),COLUMN(D21:L21)))</f>
        <v/>
      </c>
      <c r="E25" s="13" t="str">
        <f t="array" aca="1" ref="E25" ca="1">IF('Final Data'!E25="","",INDEX('Final Data'!$A$5:$I$50,MATCH(SMALL(IF(ISNUMBER(MATCH('Final Data'!$A$5:$A$50,'Order By Sequence'!$A$2:$A$9,0)),MATCH('Final Data'!$A$5:$A$50,'Order By Sequence'!$A$2:$A$9,0)),ROW(E21:M21)),IF(ISNUMBER(MATCH('Final Data'!$A$5:$A$50,'Order By Sequence'!$A$2:$A$9,0)),MATCH('Final Data'!$A$5:$A$50,'Order By Sequence'!$A$2:$A$9,0),0),0),COLUMN(E21:M21)))</f>
        <v/>
      </c>
      <c r="F25" s="13" t="str">
        <f t="array" aca="1" ref="F25" ca="1">IF('Final Data'!F25="","",INDEX('Final Data'!$A$5:$I$50,MATCH(SMALL(IF(ISNUMBER(MATCH('Final Data'!$A$5:$A$50,'Order By Sequence'!$A$2:$A$9,0)),MATCH('Final Data'!$A$5:$A$50,'Order By Sequence'!$A$2:$A$9,0)),ROW(F21:N21)),IF(ISNUMBER(MATCH('Final Data'!$A$5:$A$50,'Order By Sequence'!$A$2:$A$9,0)),MATCH('Final Data'!$A$5:$A$50,'Order By Sequence'!$A$2:$A$9,0),0),0),COLUMN(F21:N21)))</f>
        <v/>
      </c>
      <c r="G25" s="13" t="str">
        <f t="array" aca="1" ref="G25" ca="1">IF('Final Data'!G25="","",INDEX('Final Data'!$A$5:$I$50,MATCH(SMALL(IF(ISNUMBER(MATCH('Final Data'!$A$5:$A$50,'Order By Sequence'!$A$2:$A$9,0)),MATCH('Final Data'!$A$5:$A$50,'Order By Sequence'!$A$2:$A$9,0)),ROW(G21:O21)),IF(ISNUMBER(MATCH('Final Data'!$A$5:$A$50,'Order By Sequence'!$A$2:$A$9,0)),MATCH('Final Data'!$A$5:$A$50,'Order By Sequence'!$A$2:$A$9,0),0),0),COLUMN(G21:O21)))</f>
        <v/>
      </c>
      <c r="H25" s="13" t="str">
        <f t="array" aca="1" ref="H25" ca="1">IF('Final Data'!H25="","",INDEX('Final Data'!$A$5:$I$50,MATCH(SMALL(IF(ISNUMBER(MATCH('Final Data'!$A$5:$A$50,'Order By Sequence'!$A$2:$A$9,0)),MATCH('Final Data'!$A$5:$A$50,'Order By Sequence'!$A$2:$A$9,0)),ROW(H21:P21)),IF(ISNUMBER(MATCH('Final Data'!$A$5:$A$50,'Order By Sequence'!$A$2:$A$9,0)),MATCH('Final Data'!$A$5:$A$50,'Order By Sequence'!$A$2:$A$9,0),0),0),COLUMN(H21:P21)))</f>
        <v/>
      </c>
      <c r="I25" s="13" t="str">
        <f t="array" aca="1" ref="I25" ca="1">IF('Final Data'!I25="","",INDEX('Final Data'!$A$5:$I$50,MATCH(SMALL(IF(ISNUMBER(MATCH('Final Data'!$A$5:$A$50,'Order By Sequence'!$A$2:$A$9,0)),MATCH('Final Data'!$A$5:$A$50,'Order By Sequence'!$A$2:$A$9,0)),ROW(I21:Q21)),IF(ISNUMBER(MATCH('Final Data'!$A$5:$A$50,'Order By Sequence'!$A$2:$A$9,0)),MATCH('Final Data'!$A$5:$A$50,'Order By Sequence'!$A$2:$A$9,0),0),0),COLUMN(I21:Q21)))</f>
        <v/>
      </c>
    </row>
    <row r="26" spans="1:9" x14ac:dyDescent="0.35">
      <c r="A26" s="13" t="str">
        <f t="array" aca="1" ref="A26" ca="1">IF('Final Data'!A26="","",INDEX('Final Data'!$A$5:$I$50,MATCH(SMALL(IF(ISNUMBER(MATCH('Final Data'!$A$5:$A$50,'Order By Sequence'!$A$2:$A$9,0)),MATCH('Final Data'!$A$5:$A$50,'Order By Sequence'!$A$2:$A$9,0)),ROW(A22:I22)),IF(ISNUMBER(MATCH('Final Data'!$A$5:$A$50,'Order By Sequence'!$A$2:$A$9,0)),MATCH('Final Data'!$A$5:$A$50,'Order By Sequence'!$A$2:$A$9,0),0),0),COLUMN(A22:I22)))</f>
        <v/>
      </c>
      <c r="B26" s="13" t="str">
        <f t="array" aca="1" ref="B26" ca="1">IF('Final Data'!B26="","",INDEX('Final Data'!$A$5:$I$50,MATCH(SMALL(IF(ISNUMBER(MATCH('Final Data'!$A$5:$A$50,'Order By Sequence'!$A$2:$A$9,0)),MATCH('Final Data'!$A$5:$A$50,'Order By Sequence'!$A$2:$A$9,0)),ROW(B22:J22)),IF(ISNUMBER(MATCH('Final Data'!$A$5:$A$50,'Order By Sequence'!$A$2:$A$9,0)),MATCH('Final Data'!$A$5:$A$50,'Order By Sequence'!$A$2:$A$9,0),0),0),COLUMN(B22:J22)))</f>
        <v/>
      </c>
      <c r="C26" s="13" t="str">
        <f t="array" aca="1" ref="C26" ca="1">IF('Final Data'!C26="","",INDEX('Final Data'!$A$5:$I$50,MATCH(SMALL(IF(ISNUMBER(MATCH('Final Data'!$A$5:$A$50,'Order By Sequence'!$A$2:$A$9,0)),MATCH('Final Data'!$A$5:$A$50,'Order By Sequence'!$A$2:$A$9,0)),ROW(C22:K22)),IF(ISNUMBER(MATCH('Final Data'!$A$5:$A$50,'Order By Sequence'!$A$2:$A$9,0)),MATCH('Final Data'!$A$5:$A$50,'Order By Sequence'!$A$2:$A$9,0),0),0),COLUMN(C22:K22)))</f>
        <v/>
      </c>
      <c r="D26" s="13" t="str">
        <f t="array" aca="1" ref="D26" ca="1">IF('Final Data'!D26="","",INDEX('Final Data'!$A$5:$I$50,MATCH(SMALL(IF(ISNUMBER(MATCH('Final Data'!$A$5:$A$50,'Order By Sequence'!$A$2:$A$9,0)),MATCH('Final Data'!$A$5:$A$50,'Order By Sequence'!$A$2:$A$9,0)),ROW(D22:L22)),IF(ISNUMBER(MATCH('Final Data'!$A$5:$A$50,'Order By Sequence'!$A$2:$A$9,0)),MATCH('Final Data'!$A$5:$A$50,'Order By Sequence'!$A$2:$A$9,0),0),0),COLUMN(D22:L22)))</f>
        <v/>
      </c>
      <c r="E26" s="13" t="str">
        <f t="array" aca="1" ref="E26" ca="1">IF('Final Data'!E26="","",INDEX('Final Data'!$A$5:$I$50,MATCH(SMALL(IF(ISNUMBER(MATCH('Final Data'!$A$5:$A$50,'Order By Sequence'!$A$2:$A$9,0)),MATCH('Final Data'!$A$5:$A$50,'Order By Sequence'!$A$2:$A$9,0)),ROW(E22:M22)),IF(ISNUMBER(MATCH('Final Data'!$A$5:$A$50,'Order By Sequence'!$A$2:$A$9,0)),MATCH('Final Data'!$A$5:$A$50,'Order By Sequence'!$A$2:$A$9,0),0),0),COLUMN(E22:M22)))</f>
        <v/>
      </c>
      <c r="F26" s="13" t="str">
        <f t="array" aca="1" ref="F26" ca="1">IF('Final Data'!F26="","",INDEX('Final Data'!$A$5:$I$50,MATCH(SMALL(IF(ISNUMBER(MATCH('Final Data'!$A$5:$A$50,'Order By Sequence'!$A$2:$A$9,0)),MATCH('Final Data'!$A$5:$A$50,'Order By Sequence'!$A$2:$A$9,0)),ROW(F22:N22)),IF(ISNUMBER(MATCH('Final Data'!$A$5:$A$50,'Order By Sequence'!$A$2:$A$9,0)),MATCH('Final Data'!$A$5:$A$50,'Order By Sequence'!$A$2:$A$9,0),0),0),COLUMN(F22:N22)))</f>
        <v/>
      </c>
      <c r="G26" s="13" t="str">
        <f t="array" aca="1" ref="G26" ca="1">IF('Final Data'!G26="","",INDEX('Final Data'!$A$5:$I$50,MATCH(SMALL(IF(ISNUMBER(MATCH('Final Data'!$A$5:$A$50,'Order By Sequence'!$A$2:$A$9,0)),MATCH('Final Data'!$A$5:$A$50,'Order By Sequence'!$A$2:$A$9,0)),ROW(G22:O22)),IF(ISNUMBER(MATCH('Final Data'!$A$5:$A$50,'Order By Sequence'!$A$2:$A$9,0)),MATCH('Final Data'!$A$5:$A$50,'Order By Sequence'!$A$2:$A$9,0),0),0),COLUMN(G22:O22)))</f>
        <v/>
      </c>
      <c r="H26" s="13" t="str">
        <f t="array" aca="1" ref="H26" ca="1">IF('Final Data'!H26="","",INDEX('Final Data'!$A$5:$I$50,MATCH(SMALL(IF(ISNUMBER(MATCH('Final Data'!$A$5:$A$50,'Order By Sequence'!$A$2:$A$9,0)),MATCH('Final Data'!$A$5:$A$50,'Order By Sequence'!$A$2:$A$9,0)),ROW(H22:P22)),IF(ISNUMBER(MATCH('Final Data'!$A$5:$A$50,'Order By Sequence'!$A$2:$A$9,0)),MATCH('Final Data'!$A$5:$A$50,'Order By Sequence'!$A$2:$A$9,0),0),0),COLUMN(H22:P22)))</f>
        <v/>
      </c>
      <c r="I26" s="13" t="str">
        <f t="array" aca="1" ref="I26" ca="1">IF('Final Data'!I26="","",INDEX('Final Data'!$A$5:$I$50,MATCH(SMALL(IF(ISNUMBER(MATCH('Final Data'!$A$5:$A$50,'Order By Sequence'!$A$2:$A$9,0)),MATCH('Final Data'!$A$5:$A$50,'Order By Sequence'!$A$2:$A$9,0)),ROW(I22:Q22)),IF(ISNUMBER(MATCH('Final Data'!$A$5:$A$50,'Order By Sequence'!$A$2:$A$9,0)),MATCH('Final Data'!$A$5:$A$50,'Order By Sequence'!$A$2:$A$9,0),0),0),COLUMN(I22:Q22)))</f>
        <v/>
      </c>
    </row>
    <row r="27" spans="1:9" x14ac:dyDescent="0.35">
      <c r="A27" s="13" t="str">
        <f t="array" aca="1" ref="A27" ca="1">IF('Final Data'!A27="","",INDEX('Final Data'!$A$5:$I$50,MATCH(SMALL(IF(ISNUMBER(MATCH('Final Data'!$A$5:$A$50,'Order By Sequence'!$A$2:$A$9,0)),MATCH('Final Data'!$A$5:$A$50,'Order By Sequence'!$A$2:$A$9,0)),ROW(A23:I23)),IF(ISNUMBER(MATCH('Final Data'!$A$5:$A$50,'Order By Sequence'!$A$2:$A$9,0)),MATCH('Final Data'!$A$5:$A$50,'Order By Sequence'!$A$2:$A$9,0),0),0),COLUMN(A23:I23)))</f>
        <v/>
      </c>
      <c r="B27" s="13" t="str">
        <f t="array" aca="1" ref="B27" ca="1">IF('Final Data'!B27="","",INDEX('Final Data'!$A$5:$I$50,MATCH(SMALL(IF(ISNUMBER(MATCH('Final Data'!$A$5:$A$50,'Order By Sequence'!$A$2:$A$9,0)),MATCH('Final Data'!$A$5:$A$50,'Order By Sequence'!$A$2:$A$9,0)),ROW(B23:J23)),IF(ISNUMBER(MATCH('Final Data'!$A$5:$A$50,'Order By Sequence'!$A$2:$A$9,0)),MATCH('Final Data'!$A$5:$A$50,'Order By Sequence'!$A$2:$A$9,0),0),0),COLUMN(B23:J23)))</f>
        <v/>
      </c>
      <c r="C27" s="13" t="str">
        <f t="array" aca="1" ref="C27" ca="1">IF('Final Data'!C27="","",INDEX('Final Data'!$A$5:$I$50,MATCH(SMALL(IF(ISNUMBER(MATCH('Final Data'!$A$5:$A$50,'Order By Sequence'!$A$2:$A$9,0)),MATCH('Final Data'!$A$5:$A$50,'Order By Sequence'!$A$2:$A$9,0)),ROW(C23:K23)),IF(ISNUMBER(MATCH('Final Data'!$A$5:$A$50,'Order By Sequence'!$A$2:$A$9,0)),MATCH('Final Data'!$A$5:$A$50,'Order By Sequence'!$A$2:$A$9,0),0),0),COLUMN(C23:K23)))</f>
        <v/>
      </c>
      <c r="D27" s="13" t="str">
        <f t="array" aca="1" ref="D27" ca="1">IF('Final Data'!D27="","",INDEX('Final Data'!$A$5:$I$50,MATCH(SMALL(IF(ISNUMBER(MATCH('Final Data'!$A$5:$A$50,'Order By Sequence'!$A$2:$A$9,0)),MATCH('Final Data'!$A$5:$A$50,'Order By Sequence'!$A$2:$A$9,0)),ROW(D23:L23)),IF(ISNUMBER(MATCH('Final Data'!$A$5:$A$50,'Order By Sequence'!$A$2:$A$9,0)),MATCH('Final Data'!$A$5:$A$50,'Order By Sequence'!$A$2:$A$9,0),0),0),COLUMN(D23:L23)))</f>
        <v/>
      </c>
      <c r="E27" s="13" t="str">
        <f t="array" aca="1" ref="E27" ca="1">IF('Final Data'!E27="","",INDEX('Final Data'!$A$5:$I$50,MATCH(SMALL(IF(ISNUMBER(MATCH('Final Data'!$A$5:$A$50,'Order By Sequence'!$A$2:$A$9,0)),MATCH('Final Data'!$A$5:$A$50,'Order By Sequence'!$A$2:$A$9,0)),ROW(E23:M23)),IF(ISNUMBER(MATCH('Final Data'!$A$5:$A$50,'Order By Sequence'!$A$2:$A$9,0)),MATCH('Final Data'!$A$5:$A$50,'Order By Sequence'!$A$2:$A$9,0),0),0),COLUMN(E23:M23)))</f>
        <v/>
      </c>
      <c r="F27" s="13" t="str">
        <f t="array" aca="1" ref="F27" ca="1">IF('Final Data'!F27="","",INDEX('Final Data'!$A$5:$I$50,MATCH(SMALL(IF(ISNUMBER(MATCH('Final Data'!$A$5:$A$50,'Order By Sequence'!$A$2:$A$9,0)),MATCH('Final Data'!$A$5:$A$50,'Order By Sequence'!$A$2:$A$9,0)),ROW(F23:N23)),IF(ISNUMBER(MATCH('Final Data'!$A$5:$A$50,'Order By Sequence'!$A$2:$A$9,0)),MATCH('Final Data'!$A$5:$A$50,'Order By Sequence'!$A$2:$A$9,0),0),0),COLUMN(F23:N23)))</f>
        <v/>
      </c>
      <c r="G27" s="13" t="str">
        <f t="array" aca="1" ref="G27" ca="1">IF('Final Data'!G27="","",INDEX('Final Data'!$A$5:$I$50,MATCH(SMALL(IF(ISNUMBER(MATCH('Final Data'!$A$5:$A$50,'Order By Sequence'!$A$2:$A$9,0)),MATCH('Final Data'!$A$5:$A$50,'Order By Sequence'!$A$2:$A$9,0)),ROW(G23:O23)),IF(ISNUMBER(MATCH('Final Data'!$A$5:$A$50,'Order By Sequence'!$A$2:$A$9,0)),MATCH('Final Data'!$A$5:$A$50,'Order By Sequence'!$A$2:$A$9,0),0),0),COLUMN(G23:O23)))</f>
        <v/>
      </c>
      <c r="H27" s="13" t="str">
        <f t="array" aca="1" ref="H27" ca="1">IF('Final Data'!H27="","",INDEX('Final Data'!$A$5:$I$50,MATCH(SMALL(IF(ISNUMBER(MATCH('Final Data'!$A$5:$A$50,'Order By Sequence'!$A$2:$A$9,0)),MATCH('Final Data'!$A$5:$A$50,'Order By Sequence'!$A$2:$A$9,0)),ROW(H23:P23)),IF(ISNUMBER(MATCH('Final Data'!$A$5:$A$50,'Order By Sequence'!$A$2:$A$9,0)),MATCH('Final Data'!$A$5:$A$50,'Order By Sequence'!$A$2:$A$9,0),0),0),COLUMN(H23:P23)))</f>
        <v/>
      </c>
      <c r="I27" s="13" t="str">
        <f t="array" aca="1" ref="I27" ca="1">IF('Final Data'!I27="","",INDEX('Final Data'!$A$5:$I$50,MATCH(SMALL(IF(ISNUMBER(MATCH('Final Data'!$A$5:$A$50,'Order By Sequence'!$A$2:$A$9,0)),MATCH('Final Data'!$A$5:$A$50,'Order By Sequence'!$A$2:$A$9,0)),ROW(I23:Q23)),IF(ISNUMBER(MATCH('Final Data'!$A$5:$A$50,'Order By Sequence'!$A$2:$A$9,0)),MATCH('Final Data'!$A$5:$A$50,'Order By Sequence'!$A$2:$A$9,0),0),0),COLUMN(I23:Q23)))</f>
        <v/>
      </c>
    </row>
    <row r="28" spans="1:9" x14ac:dyDescent="0.35">
      <c r="A28" s="13" t="str">
        <f t="array" aca="1" ref="A28" ca="1">IF('Final Data'!A28="","",INDEX('Final Data'!$A$5:$I$50,MATCH(SMALL(IF(ISNUMBER(MATCH('Final Data'!$A$5:$A$50,'Order By Sequence'!$A$2:$A$9,0)),MATCH('Final Data'!$A$5:$A$50,'Order By Sequence'!$A$2:$A$9,0)),ROW(A24:I24)),IF(ISNUMBER(MATCH('Final Data'!$A$5:$A$50,'Order By Sequence'!$A$2:$A$9,0)),MATCH('Final Data'!$A$5:$A$50,'Order By Sequence'!$A$2:$A$9,0),0),0),COLUMN(A24:I24)))</f>
        <v/>
      </c>
      <c r="B28" s="13" t="str">
        <f t="array" aca="1" ref="B28" ca="1">IF('Final Data'!B28="","",INDEX('Final Data'!$A$5:$I$50,MATCH(SMALL(IF(ISNUMBER(MATCH('Final Data'!$A$5:$A$50,'Order By Sequence'!$A$2:$A$9,0)),MATCH('Final Data'!$A$5:$A$50,'Order By Sequence'!$A$2:$A$9,0)),ROW(B24:J24)),IF(ISNUMBER(MATCH('Final Data'!$A$5:$A$50,'Order By Sequence'!$A$2:$A$9,0)),MATCH('Final Data'!$A$5:$A$50,'Order By Sequence'!$A$2:$A$9,0),0),0),COLUMN(B24:J24)))</f>
        <v/>
      </c>
      <c r="C28" s="13" t="str">
        <f t="array" aca="1" ref="C28" ca="1">IF('Final Data'!C28="","",INDEX('Final Data'!$A$5:$I$50,MATCH(SMALL(IF(ISNUMBER(MATCH('Final Data'!$A$5:$A$50,'Order By Sequence'!$A$2:$A$9,0)),MATCH('Final Data'!$A$5:$A$50,'Order By Sequence'!$A$2:$A$9,0)),ROW(C24:K24)),IF(ISNUMBER(MATCH('Final Data'!$A$5:$A$50,'Order By Sequence'!$A$2:$A$9,0)),MATCH('Final Data'!$A$5:$A$50,'Order By Sequence'!$A$2:$A$9,0),0),0),COLUMN(C24:K24)))</f>
        <v/>
      </c>
      <c r="D28" s="13" t="str">
        <f t="array" aca="1" ref="D28" ca="1">IF('Final Data'!D28="","",INDEX('Final Data'!$A$5:$I$50,MATCH(SMALL(IF(ISNUMBER(MATCH('Final Data'!$A$5:$A$50,'Order By Sequence'!$A$2:$A$9,0)),MATCH('Final Data'!$A$5:$A$50,'Order By Sequence'!$A$2:$A$9,0)),ROW(D24:L24)),IF(ISNUMBER(MATCH('Final Data'!$A$5:$A$50,'Order By Sequence'!$A$2:$A$9,0)),MATCH('Final Data'!$A$5:$A$50,'Order By Sequence'!$A$2:$A$9,0),0),0),COLUMN(D24:L24)))</f>
        <v/>
      </c>
      <c r="E28" s="13" t="str">
        <f t="array" aca="1" ref="E28" ca="1">IF('Final Data'!E28="","",INDEX('Final Data'!$A$5:$I$50,MATCH(SMALL(IF(ISNUMBER(MATCH('Final Data'!$A$5:$A$50,'Order By Sequence'!$A$2:$A$9,0)),MATCH('Final Data'!$A$5:$A$50,'Order By Sequence'!$A$2:$A$9,0)),ROW(E24:M24)),IF(ISNUMBER(MATCH('Final Data'!$A$5:$A$50,'Order By Sequence'!$A$2:$A$9,0)),MATCH('Final Data'!$A$5:$A$50,'Order By Sequence'!$A$2:$A$9,0),0),0),COLUMN(E24:M24)))</f>
        <v/>
      </c>
      <c r="F28" s="13" t="str">
        <f t="array" aca="1" ref="F28" ca="1">IF('Final Data'!F28="","",INDEX('Final Data'!$A$5:$I$50,MATCH(SMALL(IF(ISNUMBER(MATCH('Final Data'!$A$5:$A$50,'Order By Sequence'!$A$2:$A$9,0)),MATCH('Final Data'!$A$5:$A$50,'Order By Sequence'!$A$2:$A$9,0)),ROW(F24:N24)),IF(ISNUMBER(MATCH('Final Data'!$A$5:$A$50,'Order By Sequence'!$A$2:$A$9,0)),MATCH('Final Data'!$A$5:$A$50,'Order By Sequence'!$A$2:$A$9,0),0),0),COLUMN(F24:N24)))</f>
        <v/>
      </c>
      <c r="G28" s="13" t="str">
        <f t="array" aca="1" ref="G28" ca="1">IF('Final Data'!G28="","",INDEX('Final Data'!$A$5:$I$50,MATCH(SMALL(IF(ISNUMBER(MATCH('Final Data'!$A$5:$A$50,'Order By Sequence'!$A$2:$A$9,0)),MATCH('Final Data'!$A$5:$A$50,'Order By Sequence'!$A$2:$A$9,0)),ROW(G24:O24)),IF(ISNUMBER(MATCH('Final Data'!$A$5:$A$50,'Order By Sequence'!$A$2:$A$9,0)),MATCH('Final Data'!$A$5:$A$50,'Order By Sequence'!$A$2:$A$9,0),0),0),COLUMN(G24:O24)))</f>
        <v/>
      </c>
      <c r="H28" s="13" t="str">
        <f t="array" aca="1" ref="H28" ca="1">IF('Final Data'!H28="","",INDEX('Final Data'!$A$5:$I$50,MATCH(SMALL(IF(ISNUMBER(MATCH('Final Data'!$A$5:$A$50,'Order By Sequence'!$A$2:$A$9,0)),MATCH('Final Data'!$A$5:$A$50,'Order By Sequence'!$A$2:$A$9,0)),ROW(H24:P24)),IF(ISNUMBER(MATCH('Final Data'!$A$5:$A$50,'Order By Sequence'!$A$2:$A$9,0)),MATCH('Final Data'!$A$5:$A$50,'Order By Sequence'!$A$2:$A$9,0),0),0),COLUMN(H24:P24)))</f>
        <v/>
      </c>
      <c r="I28" s="13" t="str">
        <f t="array" aca="1" ref="I28" ca="1">IF('Final Data'!I28="","",INDEX('Final Data'!$A$5:$I$50,MATCH(SMALL(IF(ISNUMBER(MATCH('Final Data'!$A$5:$A$50,'Order By Sequence'!$A$2:$A$9,0)),MATCH('Final Data'!$A$5:$A$50,'Order By Sequence'!$A$2:$A$9,0)),ROW(I24:Q24)),IF(ISNUMBER(MATCH('Final Data'!$A$5:$A$50,'Order By Sequence'!$A$2:$A$9,0)),MATCH('Final Data'!$A$5:$A$50,'Order By Sequence'!$A$2:$A$9,0),0),0),COLUMN(I24:Q24)))</f>
        <v/>
      </c>
    </row>
    <row r="29" spans="1:9" x14ac:dyDescent="0.35">
      <c r="A29" s="13" t="str">
        <f t="array" aca="1" ref="A29" ca="1">IF('Final Data'!A29="","",INDEX('Final Data'!$A$5:$I$50,MATCH(SMALL(IF(ISNUMBER(MATCH('Final Data'!$A$5:$A$50,'Order By Sequence'!$A$2:$A$9,0)),MATCH('Final Data'!$A$5:$A$50,'Order By Sequence'!$A$2:$A$9,0)),ROW(A25:I25)),IF(ISNUMBER(MATCH('Final Data'!$A$5:$A$50,'Order By Sequence'!$A$2:$A$9,0)),MATCH('Final Data'!$A$5:$A$50,'Order By Sequence'!$A$2:$A$9,0),0),0),COLUMN(A25:I25)))</f>
        <v/>
      </c>
      <c r="B29" s="13" t="str">
        <f t="array" aca="1" ref="B29" ca="1">IF('Final Data'!B29="","",INDEX('Final Data'!$A$5:$I$50,MATCH(SMALL(IF(ISNUMBER(MATCH('Final Data'!$A$5:$A$50,'Order By Sequence'!$A$2:$A$9,0)),MATCH('Final Data'!$A$5:$A$50,'Order By Sequence'!$A$2:$A$9,0)),ROW(B25:J25)),IF(ISNUMBER(MATCH('Final Data'!$A$5:$A$50,'Order By Sequence'!$A$2:$A$9,0)),MATCH('Final Data'!$A$5:$A$50,'Order By Sequence'!$A$2:$A$9,0),0),0),COLUMN(B25:J25)))</f>
        <v/>
      </c>
      <c r="C29" s="13" t="str">
        <f t="array" aca="1" ref="C29" ca="1">IF('Final Data'!C29="","",INDEX('Final Data'!$A$5:$I$50,MATCH(SMALL(IF(ISNUMBER(MATCH('Final Data'!$A$5:$A$50,'Order By Sequence'!$A$2:$A$9,0)),MATCH('Final Data'!$A$5:$A$50,'Order By Sequence'!$A$2:$A$9,0)),ROW(C25:K25)),IF(ISNUMBER(MATCH('Final Data'!$A$5:$A$50,'Order By Sequence'!$A$2:$A$9,0)),MATCH('Final Data'!$A$5:$A$50,'Order By Sequence'!$A$2:$A$9,0),0),0),COLUMN(C25:K25)))</f>
        <v/>
      </c>
      <c r="D29" s="13" t="str">
        <f t="array" aca="1" ref="D29" ca="1">IF('Final Data'!D29="","",INDEX('Final Data'!$A$5:$I$50,MATCH(SMALL(IF(ISNUMBER(MATCH('Final Data'!$A$5:$A$50,'Order By Sequence'!$A$2:$A$9,0)),MATCH('Final Data'!$A$5:$A$50,'Order By Sequence'!$A$2:$A$9,0)),ROW(D25:L25)),IF(ISNUMBER(MATCH('Final Data'!$A$5:$A$50,'Order By Sequence'!$A$2:$A$9,0)),MATCH('Final Data'!$A$5:$A$50,'Order By Sequence'!$A$2:$A$9,0),0),0),COLUMN(D25:L25)))</f>
        <v/>
      </c>
      <c r="E29" s="13" t="str">
        <f t="array" aca="1" ref="E29" ca="1">IF('Final Data'!E29="","",INDEX('Final Data'!$A$5:$I$50,MATCH(SMALL(IF(ISNUMBER(MATCH('Final Data'!$A$5:$A$50,'Order By Sequence'!$A$2:$A$9,0)),MATCH('Final Data'!$A$5:$A$50,'Order By Sequence'!$A$2:$A$9,0)),ROW(E25:M25)),IF(ISNUMBER(MATCH('Final Data'!$A$5:$A$50,'Order By Sequence'!$A$2:$A$9,0)),MATCH('Final Data'!$A$5:$A$50,'Order By Sequence'!$A$2:$A$9,0),0),0),COLUMN(E25:M25)))</f>
        <v/>
      </c>
      <c r="F29" s="13" t="str">
        <f t="array" aca="1" ref="F29" ca="1">IF('Final Data'!F29="","",INDEX('Final Data'!$A$5:$I$50,MATCH(SMALL(IF(ISNUMBER(MATCH('Final Data'!$A$5:$A$50,'Order By Sequence'!$A$2:$A$9,0)),MATCH('Final Data'!$A$5:$A$50,'Order By Sequence'!$A$2:$A$9,0)),ROW(F25:N25)),IF(ISNUMBER(MATCH('Final Data'!$A$5:$A$50,'Order By Sequence'!$A$2:$A$9,0)),MATCH('Final Data'!$A$5:$A$50,'Order By Sequence'!$A$2:$A$9,0),0),0),COLUMN(F25:N25)))</f>
        <v/>
      </c>
      <c r="G29" s="13" t="str">
        <f t="array" aca="1" ref="G29" ca="1">IF('Final Data'!G29="","",INDEX('Final Data'!$A$5:$I$50,MATCH(SMALL(IF(ISNUMBER(MATCH('Final Data'!$A$5:$A$50,'Order By Sequence'!$A$2:$A$9,0)),MATCH('Final Data'!$A$5:$A$50,'Order By Sequence'!$A$2:$A$9,0)),ROW(G25:O25)),IF(ISNUMBER(MATCH('Final Data'!$A$5:$A$50,'Order By Sequence'!$A$2:$A$9,0)),MATCH('Final Data'!$A$5:$A$50,'Order By Sequence'!$A$2:$A$9,0),0),0),COLUMN(G25:O25)))</f>
        <v/>
      </c>
      <c r="H29" s="13" t="str">
        <f t="array" aca="1" ref="H29" ca="1">IF('Final Data'!H29="","",INDEX('Final Data'!$A$5:$I$50,MATCH(SMALL(IF(ISNUMBER(MATCH('Final Data'!$A$5:$A$50,'Order By Sequence'!$A$2:$A$9,0)),MATCH('Final Data'!$A$5:$A$50,'Order By Sequence'!$A$2:$A$9,0)),ROW(H25:P25)),IF(ISNUMBER(MATCH('Final Data'!$A$5:$A$50,'Order By Sequence'!$A$2:$A$9,0)),MATCH('Final Data'!$A$5:$A$50,'Order By Sequence'!$A$2:$A$9,0),0),0),COLUMN(H25:P25)))</f>
        <v/>
      </c>
      <c r="I29" s="13" t="str">
        <f t="array" aca="1" ref="I29" ca="1">IF('Final Data'!I29="","",INDEX('Final Data'!$A$5:$I$50,MATCH(SMALL(IF(ISNUMBER(MATCH('Final Data'!$A$5:$A$50,'Order By Sequence'!$A$2:$A$9,0)),MATCH('Final Data'!$A$5:$A$50,'Order By Sequence'!$A$2:$A$9,0)),ROW(I25:Q25)),IF(ISNUMBER(MATCH('Final Data'!$A$5:$A$50,'Order By Sequence'!$A$2:$A$9,0)),MATCH('Final Data'!$A$5:$A$50,'Order By Sequence'!$A$2:$A$9,0),0),0),COLUMN(I25:Q25)))</f>
        <v/>
      </c>
    </row>
    <row r="30" spans="1:9" x14ac:dyDescent="0.35">
      <c r="A30" s="13" t="str">
        <f t="array" aca="1" ref="A30" ca="1">IF('Final Data'!A30="","",INDEX('Final Data'!$A$5:$I$50,MATCH(SMALL(IF(ISNUMBER(MATCH('Final Data'!$A$5:$A$50,'Order By Sequence'!$A$2:$A$9,0)),MATCH('Final Data'!$A$5:$A$50,'Order By Sequence'!$A$2:$A$9,0)),ROW(A26:I26)),IF(ISNUMBER(MATCH('Final Data'!$A$5:$A$50,'Order By Sequence'!$A$2:$A$9,0)),MATCH('Final Data'!$A$5:$A$50,'Order By Sequence'!$A$2:$A$9,0),0),0),COLUMN(A26:I26)))</f>
        <v/>
      </c>
      <c r="B30" s="13" t="str">
        <f t="array" aca="1" ref="B30" ca="1">IF('Final Data'!B30="","",INDEX('Final Data'!$A$5:$I$50,MATCH(SMALL(IF(ISNUMBER(MATCH('Final Data'!$A$5:$A$50,'Order By Sequence'!$A$2:$A$9,0)),MATCH('Final Data'!$A$5:$A$50,'Order By Sequence'!$A$2:$A$9,0)),ROW(B26:J26)),IF(ISNUMBER(MATCH('Final Data'!$A$5:$A$50,'Order By Sequence'!$A$2:$A$9,0)),MATCH('Final Data'!$A$5:$A$50,'Order By Sequence'!$A$2:$A$9,0),0),0),COLUMN(B26:J26)))</f>
        <v/>
      </c>
      <c r="C30" s="13" t="str">
        <f t="array" aca="1" ref="C30" ca="1">IF('Final Data'!C30="","",INDEX('Final Data'!$A$5:$I$50,MATCH(SMALL(IF(ISNUMBER(MATCH('Final Data'!$A$5:$A$50,'Order By Sequence'!$A$2:$A$9,0)),MATCH('Final Data'!$A$5:$A$50,'Order By Sequence'!$A$2:$A$9,0)),ROW(C26:K26)),IF(ISNUMBER(MATCH('Final Data'!$A$5:$A$50,'Order By Sequence'!$A$2:$A$9,0)),MATCH('Final Data'!$A$5:$A$50,'Order By Sequence'!$A$2:$A$9,0),0),0),COLUMN(C26:K26)))</f>
        <v/>
      </c>
      <c r="D30" s="13" t="str">
        <f t="array" aca="1" ref="D30" ca="1">IF('Final Data'!D30="","",INDEX('Final Data'!$A$5:$I$50,MATCH(SMALL(IF(ISNUMBER(MATCH('Final Data'!$A$5:$A$50,'Order By Sequence'!$A$2:$A$9,0)),MATCH('Final Data'!$A$5:$A$50,'Order By Sequence'!$A$2:$A$9,0)),ROW(D26:L26)),IF(ISNUMBER(MATCH('Final Data'!$A$5:$A$50,'Order By Sequence'!$A$2:$A$9,0)),MATCH('Final Data'!$A$5:$A$50,'Order By Sequence'!$A$2:$A$9,0),0),0),COLUMN(D26:L26)))</f>
        <v/>
      </c>
      <c r="E30" s="13" t="str">
        <f t="array" aca="1" ref="E30" ca="1">IF('Final Data'!E30="","",INDEX('Final Data'!$A$5:$I$50,MATCH(SMALL(IF(ISNUMBER(MATCH('Final Data'!$A$5:$A$50,'Order By Sequence'!$A$2:$A$9,0)),MATCH('Final Data'!$A$5:$A$50,'Order By Sequence'!$A$2:$A$9,0)),ROW(E26:M26)),IF(ISNUMBER(MATCH('Final Data'!$A$5:$A$50,'Order By Sequence'!$A$2:$A$9,0)),MATCH('Final Data'!$A$5:$A$50,'Order By Sequence'!$A$2:$A$9,0),0),0),COLUMN(E26:M26)))</f>
        <v/>
      </c>
      <c r="F30" s="13" t="str">
        <f t="array" aca="1" ref="F30" ca="1">IF('Final Data'!F30="","",INDEX('Final Data'!$A$5:$I$50,MATCH(SMALL(IF(ISNUMBER(MATCH('Final Data'!$A$5:$A$50,'Order By Sequence'!$A$2:$A$9,0)),MATCH('Final Data'!$A$5:$A$50,'Order By Sequence'!$A$2:$A$9,0)),ROW(F26:N26)),IF(ISNUMBER(MATCH('Final Data'!$A$5:$A$50,'Order By Sequence'!$A$2:$A$9,0)),MATCH('Final Data'!$A$5:$A$50,'Order By Sequence'!$A$2:$A$9,0),0),0),COLUMN(F26:N26)))</f>
        <v/>
      </c>
      <c r="G30" s="13" t="str">
        <f t="array" aca="1" ref="G30" ca="1">IF('Final Data'!G30="","",INDEX('Final Data'!$A$5:$I$50,MATCH(SMALL(IF(ISNUMBER(MATCH('Final Data'!$A$5:$A$50,'Order By Sequence'!$A$2:$A$9,0)),MATCH('Final Data'!$A$5:$A$50,'Order By Sequence'!$A$2:$A$9,0)),ROW(G26:O26)),IF(ISNUMBER(MATCH('Final Data'!$A$5:$A$50,'Order By Sequence'!$A$2:$A$9,0)),MATCH('Final Data'!$A$5:$A$50,'Order By Sequence'!$A$2:$A$9,0),0),0),COLUMN(G26:O26)))</f>
        <v/>
      </c>
      <c r="H30" s="13" t="str">
        <f t="array" aca="1" ref="H30" ca="1">IF('Final Data'!H30="","",INDEX('Final Data'!$A$5:$I$50,MATCH(SMALL(IF(ISNUMBER(MATCH('Final Data'!$A$5:$A$50,'Order By Sequence'!$A$2:$A$9,0)),MATCH('Final Data'!$A$5:$A$50,'Order By Sequence'!$A$2:$A$9,0)),ROW(H26:P26)),IF(ISNUMBER(MATCH('Final Data'!$A$5:$A$50,'Order By Sequence'!$A$2:$A$9,0)),MATCH('Final Data'!$A$5:$A$50,'Order By Sequence'!$A$2:$A$9,0),0),0),COLUMN(H26:P26)))</f>
        <v/>
      </c>
      <c r="I30" s="13" t="str">
        <f t="array" aca="1" ref="I30" ca="1">IF('Final Data'!I30="","",INDEX('Final Data'!$A$5:$I$50,MATCH(SMALL(IF(ISNUMBER(MATCH('Final Data'!$A$5:$A$50,'Order By Sequence'!$A$2:$A$9,0)),MATCH('Final Data'!$A$5:$A$50,'Order By Sequence'!$A$2:$A$9,0)),ROW(I26:Q26)),IF(ISNUMBER(MATCH('Final Data'!$A$5:$A$50,'Order By Sequence'!$A$2:$A$9,0)),MATCH('Final Data'!$A$5:$A$50,'Order By Sequence'!$A$2:$A$9,0),0),0),COLUMN(I26:Q26)))</f>
        <v/>
      </c>
    </row>
    <row r="31" spans="1:9" x14ac:dyDescent="0.35">
      <c r="A31" s="13" t="str">
        <f t="array" aca="1" ref="A31" ca="1">IF('Final Data'!A31="","",INDEX('Final Data'!$A$5:$I$50,MATCH(SMALL(IF(ISNUMBER(MATCH('Final Data'!$A$5:$A$50,'Order By Sequence'!$A$2:$A$9,0)),MATCH('Final Data'!$A$5:$A$50,'Order By Sequence'!$A$2:$A$9,0)),ROW(A27:I27)),IF(ISNUMBER(MATCH('Final Data'!$A$5:$A$50,'Order By Sequence'!$A$2:$A$9,0)),MATCH('Final Data'!$A$5:$A$50,'Order By Sequence'!$A$2:$A$9,0),0),0),COLUMN(A27:I27)))</f>
        <v/>
      </c>
      <c r="B31" s="13" t="str">
        <f t="array" aca="1" ref="B31" ca="1">IF('Final Data'!B31="","",INDEX('Final Data'!$A$5:$I$50,MATCH(SMALL(IF(ISNUMBER(MATCH('Final Data'!$A$5:$A$50,'Order By Sequence'!$A$2:$A$9,0)),MATCH('Final Data'!$A$5:$A$50,'Order By Sequence'!$A$2:$A$9,0)),ROW(B27:J27)),IF(ISNUMBER(MATCH('Final Data'!$A$5:$A$50,'Order By Sequence'!$A$2:$A$9,0)),MATCH('Final Data'!$A$5:$A$50,'Order By Sequence'!$A$2:$A$9,0),0),0),COLUMN(B27:J27)))</f>
        <v/>
      </c>
      <c r="C31" s="13" t="str">
        <f t="array" aca="1" ref="C31" ca="1">IF('Final Data'!C31="","",INDEX('Final Data'!$A$5:$I$50,MATCH(SMALL(IF(ISNUMBER(MATCH('Final Data'!$A$5:$A$50,'Order By Sequence'!$A$2:$A$9,0)),MATCH('Final Data'!$A$5:$A$50,'Order By Sequence'!$A$2:$A$9,0)),ROW(C27:K27)),IF(ISNUMBER(MATCH('Final Data'!$A$5:$A$50,'Order By Sequence'!$A$2:$A$9,0)),MATCH('Final Data'!$A$5:$A$50,'Order By Sequence'!$A$2:$A$9,0),0),0),COLUMN(C27:K27)))</f>
        <v/>
      </c>
      <c r="D31" s="13" t="str">
        <f t="array" aca="1" ref="D31" ca="1">IF('Final Data'!D31="","",INDEX('Final Data'!$A$5:$I$50,MATCH(SMALL(IF(ISNUMBER(MATCH('Final Data'!$A$5:$A$50,'Order By Sequence'!$A$2:$A$9,0)),MATCH('Final Data'!$A$5:$A$50,'Order By Sequence'!$A$2:$A$9,0)),ROW(D27:L27)),IF(ISNUMBER(MATCH('Final Data'!$A$5:$A$50,'Order By Sequence'!$A$2:$A$9,0)),MATCH('Final Data'!$A$5:$A$50,'Order By Sequence'!$A$2:$A$9,0),0),0),COLUMN(D27:L27)))</f>
        <v/>
      </c>
      <c r="E31" s="13" t="str">
        <f t="array" aca="1" ref="E31" ca="1">IF('Final Data'!E31="","",INDEX('Final Data'!$A$5:$I$50,MATCH(SMALL(IF(ISNUMBER(MATCH('Final Data'!$A$5:$A$50,'Order By Sequence'!$A$2:$A$9,0)),MATCH('Final Data'!$A$5:$A$50,'Order By Sequence'!$A$2:$A$9,0)),ROW(E27:M27)),IF(ISNUMBER(MATCH('Final Data'!$A$5:$A$50,'Order By Sequence'!$A$2:$A$9,0)),MATCH('Final Data'!$A$5:$A$50,'Order By Sequence'!$A$2:$A$9,0),0),0),COLUMN(E27:M27)))</f>
        <v/>
      </c>
      <c r="F31" s="13" t="str">
        <f t="array" aca="1" ref="F31" ca="1">IF('Final Data'!F31="","",INDEX('Final Data'!$A$5:$I$50,MATCH(SMALL(IF(ISNUMBER(MATCH('Final Data'!$A$5:$A$50,'Order By Sequence'!$A$2:$A$9,0)),MATCH('Final Data'!$A$5:$A$50,'Order By Sequence'!$A$2:$A$9,0)),ROW(F27:N27)),IF(ISNUMBER(MATCH('Final Data'!$A$5:$A$50,'Order By Sequence'!$A$2:$A$9,0)),MATCH('Final Data'!$A$5:$A$50,'Order By Sequence'!$A$2:$A$9,0),0),0),COLUMN(F27:N27)))</f>
        <v/>
      </c>
      <c r="G31" s="13" t="str">
        <f t="array" aca="1" ref="G31" ca="1">IF('Final Data'!G31="","",INDEX('Final Data'!$A$5:$I$50,MATCH(SMALL(IF(ISNUMBER(MATCH('Final Data'!$A$5:$A$50,'Order By Sequence'!$A$2:$A$9,0)),MATCH('Final Data'!$A$5:$A$50,'Order By Sequence'!$A$2:$A$9,0)),ROW(G27:O27)),IF(ISNUMBER(MATCH('Final Data'!$A$5:$A$50,'Order By Sequence'!$A$2:$A$9,0)),MATCH('Final Data'!$A$5:$A$50,'Order By Sequence'!$A$2:$A$9,0),0),0),COLUMN(G27:O27)))</f>
        <v/>
      </c>
      <c r="H31" s="13" t="str">
        <f t="array" aca="1" ref="H31" ca="1">IF('Final Data'!H31="","",INDEX('Final Data'!$A$5:$I$50,MATCH(SMALL(IF(ISNUMBER(MATCH('Final Data'!$A$5:$A$50,'Order By Sequence'!$A$2:$A$9,0)),MATCH('Final Data'!$A$5:$A$50,'Order By Sequence'!$A$2:$A$9,0)),ROW(H27:P27)),IF(ISNUMBER(MATCH('Final Data'!$A$5:$A$50,'Order By Sequence'!$A$2:$A$9,0)),MATCH('Final Data'!$A$5:$A$50,'Order By Sequence'!$A$2:$A$9,0),0),0),COLUMN(H27:P27)))</f>
        <v/>
      </c>
      <c r="I31" s="13" t="str">
        <f t="array" aca="1" ref="I31" ca="1">IF('Final Data'!I31="","",INDEX('Final Data'!$A$5:$I$50,MATCH(SMALL(IF(ISNUMBER(MATCH('Final Data'!$A$5:$A$50,'Order By Sequence'!$A$2:$A$9,0)),MATCH('Final Data'!$A$5:$A$50,'Order By Sequence'!$A$2:$A$9,0)),ROW(I27:Q27)),IF(ISNUMBER(MATCH('Final Data'!$A$5:$A$50,'Order By Sequence'!$A$2:$A$9,0)),MATCH('Final Data'!$A$5:$A$50,'Order By Sequence'!$A$2:$A$9,0),0),0),COLUMN(I27:Q27)))</f>
        <v/>
      </c>
    </row>
    <row r="32" spans="1:9" x14ac:dyDescent="0.35">
      <c r="A32" s="13" t="str">
        <f t="array" aca="1" ref="A32" ca="1">IF('Final Data'!A32="","",INDEX('Final Data'!$A$5:$I$50,MATCH(SMALL(IF(ISNUMBER(MATCH('Final Data'!$A$5:$A$50,'Order By Sequence'!$A$2:$A$9,0)),MATCH('Final Data'!$A$5:$A$50,'Order By Sequence'!$A$2:$A$9,0)),ROW(A28:I28)),IF(ISNUMBER(MATCH('Final Data'!$A$5:$A$50,'Order By Sequence'!$A$2:$A$9,0)),MATCH('Final Data'!$A$5:$A$50,'Order By Sequence'!$A$2:$A$9,0),0),0),COLUMN(A28:I28)))</f>
        <v/>
      </c>
      <c r="B32" s="13" t="str">
        <f t="array" aca="1" ref="B32" ca="1">IF('Final Data'!B32="","",INDEX('Final Data'!$A$5:$I$50,MATCH(SMALL(IF(ISNUMBER(MATCH('Final Data'!$A$5:$A$50,'Order By Sequence'!$A$2:$A$9,0)),MATCH('Final Data'!$A$5:$A$50,'Order By Sequence'!$A$2:$A$9,0)),ROW(B28:J28)),IF(ISNUMBER(MATCH('Final Data'!$A$5:$A$50,'Order By Sequence'!$A$2:$A$9,0)),MATCH('Final Data'!$A$5:$A$50,'Order By Sequence'!$A$2:$A$9,0),0),0),COLUMN(B28:J28)))</f>
        <v/>
      </c>
      <c r="C32" s="13" t="str">
        <f t="array" aca="1" ref="C32" ca="1">IF('Final Data'!C32="","",INDEX('Final Data'!$A$5:$I$50,MATCH(SMALL(IF(ISNUMBER(MATCH('Final Data'!$A$5:$A$50,'Order By Sequence'!$A$2:$A$9,0)),MATCH('Final Data'!$A$5:$A$50,'Order By Sequence'!$A$2:$A$9,0)),ROW(C28:K28)),IF(ISNUMBER(MATCH('Final Data'!$A$5:$A$50,'Order By Sequence'!$A$2:$A$9,0)),MATCH('Final Data'!$A$5:$A$50,'Order By Sequence'!$A$2:$A$9,0),0),0),COLUMN(C28:K28)))</f>
        <v/>
      </c>
      <c r="D32" s="13" t="str">
        <f t="array" aca="1" ref="D32" ca="1">IF('Final Data'!D32="","",INDEX('Final Data'!$A$5:$I$50,MATCH(SMALL(IF(ISNUMBER(MATCH('Final Data'!$A$5:$A$50,'Order By Sequence'!$A$2:$A$9,0)),MATCH('Final Data'!$A$5:$A$50,'Order By Sequence'!$A$2:$A$9,0)),ROW(D28:L28)),IF(ISNUMBER(MATCH('Final Data'!$A$5:$A$50,'Order By Sequence'!$A$2:$A$9,0)),MATCH('Final Data'!$A$5:$A$50,'Order By Sequence'!$A$2:$A$9,0),0),0),COLUMN(D28:L28)))</f>
        <v/>
      </c>
      <c r="E32" s="13" t="str">
        <f t="array" aca="1" ref="E32" ca="1">IF('Final Data'!E32="","",INDEX('Final Data'!$A$5:$I$50,MATCH(SMALL(IF(ISNUMBER(MATCH('Final Data'!$A$5:$A$50,'Order By Sequence'!$A$2:$A$9,0)),MATCH('Final Data'!$A$5:$A$50,'Order By Sequence'!$A$2:$A$9,0)),ROW(E28:M28)),IF(ISNUMBER(MATCH('Final Data'!$A$5:$A$50,'Order By Sequence'!$A$2:$A$9,0)),MATCH('Final Data'!$A$5:$A$50,'Order By Sequence'!$A$2:$A$9,0),0),0),COLUMN(E28:M28)))</f>
        <v/>
      </c>
      <c r="F32" s="13" t="str">
        <f t="array" aca="1" ref="F32" ca="1">IF('Final Data'!F32="","",INDEX('Final Data'!$A$5:$I$50,MATCH(SMALL(IF(ISNUMBER(MATCH('Final Data'!$A$5:$A$50,'Order By Sequence'!$A$2:$A$9,0)),MATCH('Final Data'!$A$5:$A$50,'Order By Sequence'!$A$2:$A$9,0)),ROW(F28:N28)),IF(ISNUMBER(MATCH('Final Data'!$A$5:$A$50,'Order By Sequence'!$A$2:$A$9,0)),MATCH('Final Data'!$A$5:$A$50,'Order By Sequence'!$A$2:$A$9,0),0),0),COLUMN(F28:N28)))</f>
        <v/>
      </c>
      <c r="G32" s="13" t="str">
        <f t="array" aca="1" ref="G32" ca="1">IF('Final Data'!G32="","",INDEX('Final Data'!$A$5:$I$50,MATCH(SMALL(IF(ISNUMBER(MATCH('Final Data'!$A$5:$A$50,'Order By Sequence'!$A$2:$A$9,0)),MATCH('Final Data'!$A$5:$A$50,'Order By Sequence'!$A$2:$A$9,0)),ROW(G28:O28)),IF(ISNUMBER(MATCH('Final Data'!$A$5:$A$50,'Order By Sequence'!$A$2:$A$9,0)),MATCH('Final Data'!$A$5:$A$50,'Order By Sequence'!$A$2:$A$9,0),0),0),COLUMN(G28:O28)))</f>
        <v/>
      </c>
      <c r="H32" s="13" t="str">
        <f t="array" aca="1" ref="H32" ca="1">IF('Final Data'!H32="","",INDEX('Final Data'!$A$5:$I$50,MATCH(SMALL(IF(ISNUMBER(MATCH('Final Data'!$A$5:$A$50,'Order By Sequence'!$A$2:$A$9,0)),MATCH('Final Data'!$A$5:$A$50,'Order By Sequence'!$A$2:$A$9,0)),ROW(H28:P28)),IF(ISNUMBER(MATCH('Final Data'!$A$5:$A$50,'Order By Sequence'!$A$2:$A$9,0)),MATCH('Final Data'!$A$5:$A$50,'Order By Sequence'!$A$2:$A$9,0),0),0),COLUMN(H28:P28)))</f>
        <v/>
      </c>
      <c r="I32" s="13" t="str">
        <f t="array" aca="1" ref="I32" ca="1">IF('Final Data'!I32="","",INDEX('Final Data'!$A$5:$I$50,MATCH(SMALL(IF(ISNUMBER(MATCH('Final Data'!$A$5:$A$50,'Order By Sequence'!$A$2:$A$9,0)),MATCH('Final Data'!$A$5:$A$50,'Order By Sequence'!$A$2:$A$9,0)),ROW(I28:Q28)),IF(ISNUMBER(MATCH('Final Data'!$A$5:$A$50,'Order By Sequence'!$A$2:$A$9,0)),MATCH('Final Data'!$A$5:$A$50,'Order By Sequence'!$A$2:$A$9,0),0),0),COLUMN(I28:Q28)))</f>
        <v/>
      </c>
    </row>
    <row r="33" spans="1:9" x14ac:dyDescent="0.35">
      <c r="A33" s="13" t="str">
        <f t="array" aca="1" ref="A33" ca="1">IF('Final Data'!A33="","",INDEX('Final Data'!$A$5:$I$50,MATCH(SMALL(IF(ISNUMBER(MATCH('Final Data'!$A$5:$A$50,'Order By Sequence'!$A$2:$A$9,0)),MATCH('Final Data'!$A$5:$A$50,'Order By Sequence'!$A$2:$A$9,0)),ROW(A29:I29)),IF(ISNUMBER(MATCH('Final Data'!$A$5:$A$50,'Order By Sequence'!$A$2:$A$9,0)),MATCH('Final Data'!$A$5:$A$50,'Order By Sequence'!$A$2:$A$9,0),0),0),COLUMN(A29:I29)))</f>
        <v/>
      </c>
      <c r="B33" s="13" t="str">
        <f t="array" aca="1" ref="B33" ca="1">IF('Final Data'!B33="","",INDEX('Final Data'!$A$5:$I$50,MATCH(SMALL(IF(ISNUMBER(MATCH('Final Data'!$A$5:$A$50,'Order By Sequence'!$A$2:$A$9,0)),MATCH('Final Data'!$A$5:$A$50,'Order By Sequence'!$A$2:$A$9,0)),ROW(B29:J29)),IF(ISNUMBER(MATCH('Final Data'!$A$5:$A$50,'Order By Sequence'!$A$2:$A$9,0)),MATCH('Final Data'!$A$5:$A$50,'Order By Sequence'!$A$2:$A$9,0),0),0),COLUMN(B29:J29)))</f>
        <v/>
      </c>
      <c r="C33" s="13" t="str">
        <f t="array" aca="1" ref="C33" ca="1">IF('Final Data'!C33="","",INDEX('Final Data'!$A$5:$I$50,MATCH(SMALL(IF(ISNUMBER(MATCH('Final Data'!$A$5:$A$50,'Order By Sequence'!$A$2:$A$9,0)),MATCH('Final Data'!$A$5:$A$50,'Order By Sequence'!$A$2:$A$9,0)),ROW(C29:K29)),IF(ISNUMBER(MATCH('Final Data'!$A$5:$A$50,'Order By Sequence'!$A$2:$A$9,0)),MATCH('Final Data'!$A$5:$A$50,'Order By Sequence'!$A$2:$A$9,0),0),0),COLUMN(C29:K29)))</f>
        <v/>
      </c>
      <c r="D33" s="13" t="str">
        <f t="array" aca="1" ref="D33" ca="1">IF('Final Data'!D33="","",INDEX('Final Data'!$A$5:$I$50,MATCH(SMALL(IF(ISNUMBER(MATCH('Final Data'!$A$5:$A$50,'Order By Sequence'!$A$2:$A$9,0)),MATCH('Final Data'!$A$5:$A$50,'Order By Sequence'!$A$2:$A$9,0)),ROW(D29:L29)),IF(ISNUMBER(MATCH('Final Data'!$A$5:$A$50,'Order By Sequence'!$A$2:$A$9,0)),MATCH('Final Data'!$A$5:$A$50,'Order By Sequence'!$A$2:$A$9,0),0),0),COLUMN(D29:L29)))</f>
        <v/>
      </c>
      <c r="E33" s="13" t="str">
        <f t="array" aca="1" ref="E33" ca="1">IF('Final Data'!E33="","",INDEX('Final Data'!$A$5:$I$50,MATCH(SMALL(IF(ISNUMBER(MATCH('Final Data'!$A$5:$A$50,'Order By Sequence'!$A$2:$A$9,0)),MATCH('Final Data'!$A$5:$A$50,'Order By Sequence'!$A$2:$A$9,0)),ROW(E29:M29)),IF(ISNUMBER(MATCH('Final Data'!$A$5:$A$50,'Order By Sequence'!$A$2:$A$9,0)),MATCH('Final Data'!$A$5:$A$50,'Order By Sequence'!$A$2:$A$9,0),0),0),COLUMN(E29:M29)))</f>
        <v/>
      </c>
      <c r="F33" s="13" t="str">
        <f t="array" aca="1" ref="F33" ca="1">IF('Final Data'!F33="","",INDEX('Final Data'!$A$5:$I$50,MATCH(SMALL(IF(ISNUMBER(MATCH('Final Data'!$A$5:$A$50,'Order By Sequence'!$A$2:$A$9,0)),MATCH('Final Data'!$A$5:$A$50,'Order By Sequence'!$A$2:$A$9,0)),ROW(F29:N29)),IF(ISNUMBER(MATCH('Final Data'!$A$5:$A$50,'Order By Sequence'!$A$2:$A$9,0)),MATCH('Final Data'!$A$5:$A$50,'Order By Sequence'!$A$2:$A$9,0),0),0),COLUMN(F29:N29)))</f>
        <v/>
      </c>
      <c r="G33" s="13" t="str">
        <f t="array" aca="1" ref="G33" ca="1">IF('Final Data'!G33="","",INDEX('Final Data'!$A$5:$I$50,MATCH(SMALL(IF(ISNUMBER(MATCH('Final Data'!$A$5:$A$50,'Order By Sequence'!$A$2:$A$9,0)),MATCH('Final Data'!$A$5:$A$50,'Order By Sequence'!$A$2:$A$9,0)),ROW(G29:O29)),IF(ISNUMBER(MATCH('Final Data'!$A$5:$A$50,'Order By Sequence'!$A$2:$A$9,0)),MATCH('Final Data'!$A$5:$A$50,'Order By Sequence'!$A$2:$A$9,0),0),0),COLUMN(G29:O29)))</f>
        <v/>
      </c>
      <c r="H33" s="13" t="str">
        <f t="array" aca="1" ref="H33" ca="1">IF('Final Data'!H33="","",INDEX('Final Data'!$A$5:$I$50,MATCH(SMALL(IF(ISNUMBER(MATCH('Final Data'!$A$5:$A$50,'Order By Sequence'!$A$2:$A$9,0)),MATCH('Final Data'!$A$5:$A$50,'Order By Sequence'!$A$2:$A$9,0)),ROW(H29:P29)),IF(ISNUMBER(MATCH('Final Data'!$A$5:$A$50,'Order By Sequence'!$A$2:$A$9,0)),MATCH('Final Data'!$A$5:$A$50,'Order By Sequence'!$A$2:$A$9,0),0),0),COLUMN(H29:P29)))</f>
        <v/>
      </c>
      <c r="I33" s="13" t="str">
        <f t="array" aca="1" ref="I33" ca="1">IF('Final Data'!I33="","",INDEX('Final Data'!$A$5:$I$50,MATCH(SMALL(IF(ISNUMBER(MATCH('Final Data'!$A$5:$A$50,'Order By Sequence'!$A$2:$A$9,0)),MATCH('Final Data'!$A$5:$A$50,'Order By Sequence'!$A$2:$A$9,0)),ROW(I29:Q29)),IF(ISNUMBER(MATCH('Final Data'!$A$5:$A$50,'Order By Sequence'!$A$2:$A$9,0)),MATCH('Final Data'!$A$5:$A$50,'Order By Sequence'!$A$2:$A$9,0),0),0),COLUMN(I29:Q29)))</f>
        <v/>
      </c>
    </row>
    <row r="34" spans="1:9" x14ac:dyDescent="0.35">
      <c r="A34" s="13" t="str">
        <f t="array" aca="1" ref="A34" ca="1">IF('Final Data'!A34="","",INDEX('Final Data'!$A$5:$I$50,MATCH(SMALL(IF(ISNUMBER(MATCH('Final Data'!$A$5:$A$50,'Order By Sequence'!$A$2:$A$9,0)),MATCH('Final Data'!$A$5:$A$50,'Order By Sequence'!$A$2:$A$9,0)),ROW(A30:I30)),IF(ISNUMBER(MATCH('Final Data'!$A$5:$A$50,'Order By Sequence'!$A$2:$A$9,0)),MATCH('Final Data'!$A$5:$A$50,'Order By Sequence'!$A$2:$A$9,0),0),0),COLUMN(A30:I30)))</f>
        <v/>
      </c>
      <c r="B34" s="13" t="str">
        <f t="array" aca="1" ref="B34" ca="1">IF('Final Data'!B34="","",INDEX('Final Data'!$A$5:$I$50,MATCH(SMALL(IF(ISNUMBER(MATCH('Final Data'!$A$5:$A$50,'Order By Sequence'!$A$2:$A$9,0)),MATCH('Final Data'!$A$5:$A$50,'Order By Sequence'!$A$2:$A$9,0)),ROW(B30:J30)),IF(ISNUMBER(MATCH('Final Data'!$A$5:$A$50,'Order By Sequence'!$A$2:$A$9,0)),MATCH('Final Data'!$A$5:$A$50,'Order By Sequence'!$A$2:$A$9,0),0),0),COLUMN(B30:J30)))</f>
        <v/>
      </c>
      <c r="C34" s="13" t="str">
        <f t="array" aca="1" ref="C34" ca="1">IF('Final Data'!C34="","",INDEX('Final Data'!$A$5:$I$50,MATCH(SMALL(IF(ISNUMBER(MATCH('Final Data'!$A$5:$A$50,'Order By Sequence'!$A$2:$A$9,0)),MATCH('Final Data'!$A$5:$A$50,'Order By Sequence'!$A$2:$A$9,0)),ROW(C30:K30)),IF(ISNUMBER(MATCH('Final Data'!$A$5:$A$50,'Order By Sequence'!$A$2:$A$9,0)),MATCH('Final Data'!$A$5:$A$50,'Order By Sequence'!$A$2:$A$9,0),0),0),COLUMN(C30:K30)))</f>
        <v/>
      </c>
      <c r="D34" s="13" t="str">
        <f t="array" aca="1" ref="D34" ca="1">IF('Final Data'!D34="","",INDEX('Final Data'!$A$5:$I$50,MATCH(SMALL(IF(ISNUMBER(MATCH('Final Data'!$A$5:$A$50,'Order By Sequence'!$A$2:$A$9,0)),MATCH('Final Data'!$A$5:$A$50,'Order By Sequence'!$A$2:$A$9,0)),ROW(D30:L30)),IF(ISNUMBER(MATCH('Final Data'!$A$5:$A$50,'Order By Sequence'!$A$2:$A$9,0)),MATCH('Final Data'!$A$5:$A$50,'Order By Sequence'!$A$2:$A$9,0),0),0),COLUMN(D30:L30)))</f>
        <v/>
      </c>
      <c r="E34" s="13" t="str">
        <f t="array" aca="1" ref="E34" ca="1">IF('Final Data'!E34="","",INDEX('Final Data'!$A$5:$I$50,MATCH(SMALL(IF(ISNUMBER(MATCH('Final Data'!$A$5:$A$50,'Order By Sequence'!$A$2:$A$9,0)),MATCH('Final Data'!$A$5:$A$50,'Order By Sequence'!$A$2:$A$9,0)),ROW(E30:M30)),IF(ISNUMBER(MATCH('Final Data'!$A$5:$A$50,'Order By Sequence'!$A$2:$A$9,0)),MATCH('Final Data'!$A$5:$A$50,'Order By Sequence'!$A$2:$A$9,0),0),0),COLUMN(E30:M30)))</f>
        <v/>
      </c>
      <c r="F34" s="13" t="str">
        <f t="array" aca="1" ref="F34" ca="1">IF('Final Data'!F34="","",INDEX('Final Data'!$A$5:$I$50,MATCH(SMALL(IF(ISNUMBER(MATCH('Final Data'!$A$5:$A$50,'Order By Sequence'!$A$2:$A$9,0)),MATCH('Final Data'!$A$5:$A$50,'Order By Sequence'!$A$2:$A$9,0)),ROW(F30:N30)),IF(ISNUMBER(MATCH('Final Data'!$A$5:$A$50,'Order By Sequence'!$A$2:$A$9,0)),MATCH('Final Data'!$A$5:$A$50,'Order By Sequence'!$A$2:$A$9,0),0),0),COLUMN(F30:N30)))</f>
        <v/>
      </c>
      <c r="G34" s="13" t="str">
        <f t="array" aca="1" ref="G34" ca="1">IF('Final Data'!G34="","",INDEX('Final Data'!$A$5:$I$50,MATCH(SMALL(IF(ISNUMBER(MATCH('Final Data'!$A$5:$A$50,'Order By Sequence'!$A$2:$A$9,0)),MATCH('Final Data'!$A$5:$A$50,'Order By Sequence'!$A$2:$A$9,0)),ROW(G30:O30)),IF(ISNUMBER(MATCH('Final Data'!$A$5:$A$50,'Order By Sequence'!$A$2:$A$9,0)),MATCH('Final Data'!$A$5:$A$50,'Order By Sequence'!$A$2:$A$9,0),0),0),COLUMN(G30:O30)))</f>
        <v/>
      </c>
      <c r="H34" s="13" t="str">
        <f t="array" aca="1" ref="H34" ca="1">IF('Final Data'!H34="","",INDEX('Final Data'!$A$5:$I$50,MATCH(SMALL(IF(ISNUMBER(MATCH('Final Data'!$A$5:$A$50,'Order By Sequence'!$A$2:$A$9,0)),MATCH('Final Data'!$A$5:$A$50,'Order By Sequence'!$A$2:$A$9,0)),ROW(H30:P30)),IF(ISNUMBER(MATCH('Final Data'!$A$5:$A$50,'Order By Sequence'!$A$2:$A$9,0)),MATCH('Final Data'!$A$5:$A$50,'Order By Sequence'!$A$2:$A$9,0),0),0),COLUMN(H30:P30)))</f>
        <v/>
      </c>
      <c r="I34" s="13" t="str">
        <f t="array" aca="1" ref="I34" ca="1">IF('Final Data'!I34="","",INDEX('Final Data'!$A$5:$I$50,MATCH(SMALL(IF(ISNUMBER(MATCH('Final Data'!$A$5:$A$50,'Order By Sequence'!$A$2:$A$9,0)),MATCH('Final Data'!$A$5:$A$50,'Order By Sequence'!$A$2:$A$9,0)),ROW(I30:Q30)),IF(ISNUMBER(MATCH('Final Data'!$A$5:$A$50,'Order By Sequence'!$A$2:$A$9,0)),MATCH('Final Data'!$A$5:$A$50,'Order By Sequence'!$A$2:$A$9,0),0),0),COLUMN(I30:Q30)))</f>
        <v/>
      </c>
    </row>
    <row r="35" spans="1:9" x14ac:dyDescent="0.35">
      <c r="A35" s="13" t="str">
        <f t="array" aca="1" ref="A35" ca="1">IF('Final Data'!A35="","",INDEX('Final Data'!$A$5:$I$50,MATCH(SMALL(IF(ISNUMBER(MATCH('Final Data'!$A$5:$A$50,'Order By Sequence'!$A$2:$A$9,0)),MATCH('Final Data'!$A$5:$A$50,'Order By Sequence'!$A$2:$A$9,0)),ROW(A31:I31)),IF(ISNUMBER(MATCH('Final Data'!$A$5:$A$50,'Order By Sequence'!$A$2:$A$9,0)),MATCH('Final Data'!$A$5:$A$50,'Order By Sequence'!$A$2:$A$9,0),0),0),COLUMN(A31:I31)))</f>
        <v/>
      </c>
      <c r="B35" s="13" t="str">
        <f t="array" aca="1" ref="B35" ca="1">IF('Final Data'!B35="","",INDEX('Final Data'!$A$5:$I$50,MATCH(SMALL(IF(ISNUMBER(MATCH('Final Data'!$A$5:$A$50,'Order By Sequence'!$A$2:$A$9,0)),MATCH('Final Data'!$A$5:$A$50,'Order By Sequence'!$A$2:$A$9,0)),ROW(B31:J31)),IF(ISNUMBER(MATCH('Final Data'!$A$5:$A$50,'Order By Sequence'!$A$2:$A$9,0)),MATCH('Final Data'!$A$5:$A$50,'Order By Sequence'!$A$2:$A$9,0),0),0),COLUMN(B31:J31)))</f>
        <v/>
      </c>
      <c r="C35" s="13" t="str">
        <f t="array" aca="1" ref="C35" ca="1">IF('Final Data'!C35="","",INDEX('Final Data'!$A$5:$I$50,MATCH(SMALL(IF(ISNUMBER(MATCH('Final Data'!$A$5:$A$50,'Order By Sequence'!$A$2:$A$9,0)),MATCH('Final Data'!$A$5:$A$50,'Order By Sequence'!$A$2:$A$9,0)),ROW(C31:K31)),IF(ISNUMBER(MATCH('Final Data'!$A$5:$A$50,'Order By Sequence'!$A$2:$A$9,0)),MATCH('Final Data'!$A$5:$A$50,'Order By Sequence'!$A$2:$A$9,0),0),0),COLUMN(C31:K31)))</f>
        <v/>
      </c>
      <c r="D35" s="13" t="str">
        <f t="array" aca="1" ref="D35" ca="1">IF('Final Data'!D35="","",INDEX('Final Data'!$A$5:$I$50,MATCH(SMALL(IF(ISNUMBER(MATCH('Final Data'!$A$5:$A$50,'Order By Sequence'!$A$2:$A$9,0)),MATCH('Final Data'!$A$5:$A$50,'Order By Sequence'!$A$2:$A$9,0)),ROW(D31:L31)),IF(ISNUMBER(MATCH('Final Data'!$A$5:$A$50,'Order By Sequence'!$A$2:$A$9,0)),MATCH('Final Data'!$A$5:$A$50,'Order By Sequence'!$A$2:$A$9,0),0),0),COLUMN(D31:L31)))</f>
        <v/>
      </c>
      <c r="E35" s="13" t="str">
        <f t="array" aca="1" ref="E35" ca="1">IF('Final Data'!E35="","",INDEX('Final Data'!$A$5:$I$50,MATCH(SMALL(IF(ISNUMBER(MATCH('Final Data'!$A$5:$A$50,'Order By Sequence'!$A$2:$A$9,0)),MATCH('Final Data'!$A$5:$A$50,'Order By Sequence'!$A$2:$A$9,0)),ROW(E31:M31)),IF(ISNUMBER(MATCH('Final Data'!$A$5:$A$50,'Order By Sequence'!$A$2:$A$9,0)),MATCH('Final Data'!$A$5:$A$50,'Order By Sequence'!$A$2:$A$9,0),0),0),COLUMN(E31:M31)))</f>
        <v/>
      </c>
      <c r="F35" s="13" t="str">
        <f t="array" aca="1" ref="F35" ca="1">IF('Final Data'!F35="","",INDEX('Final Data'!$A$5:$I$50,MATCH(SMALL(IF(ISNUMBER(MATCH('Final Data'!$A$5:$A$50,'Order By Sequence'!$A$2:$A$9,0)),MATCH('Final Data'!$A$5:$A$50,'Order By Sequence'!$A$2:$A$9,0)),ROW(F31:N31)),IF(ISNUMBER(MATCH('Final Data'!$A$5:$A$50,'Order By Sequence'!$A$2:$A$9,0)),MATCH('Final Data'!$A$5:$A$50,'Order By Sequence'!$A$2:$A$9,0),0),0),COLUMN(F31:N31)))</f>
        <v/>
      </c>
      <c r="G35" s="13" t="str">
        <f t="array" aca="1" ref="G35" ca="1">IF('Final Data'!G35="","",INDEX('Final Data'!$A$5:$I$50,MATCH(SMALL(IF(ISNUMBER(MATCH('Final Data'!$A$5:$A$50,'Order By Sequence'!$A$2:$A$9,0)),MATCH('Final Data'!$A$5:$A$50,'Order By Sequence'!$A$2:$A$9,0)),ROW(G31:O31)),IF(ISNUMBER(MATCH('Final Data'!$A$5:$A$50,'Order By Sequence'!$A$2:$A$9,0)),MATCH('Final Data'!$A$5:$A$50,'Order By Sequence'!$A$2:$A$9,0),0),0),COLUMN(G31:O31)))</f>
        <v/>
      </c>
      <c r="H35" s="13" t="str">
        <f t="array" aca="1" ref="H35" ca="1">IF('Final Data'!H35="","",INDEX('Final Data'!$A$5:$I$50,MATCH(SMALL(IF(ISNUMBER(MATCH('Final Data'!$A$5:$A$50,'Order By Sequence'!$A$2:$A$9,0)),MATCH('Final Data'!$A$5:$A$50,'Order By Sequence'!$A$2:$A$9,0)),ROW(H31:P31)),IF(ISNUMBER(MATCH('Final Data'!$A$5:$A$50,'Order By Sequence'!$A$2:$A$9,0)),MATCH('Final Data'!$A$5:$A$50,'Order By Sequence'!$A$2:$A$9,0),0),0),COLUMN(H31:P31)))</f>
        <v/>
      </c>
      <c r="I35" s="13" t="str">
        <f t="array" aca="1" ref="I35" ca="1">IF('Final Data'!I35="","",INDEX('Final Data'!$A$5:$I$50,MATCH(SMALL(IF(ISNUMBER(MATCH('Final Data'!$A$5:$A$50,'Order By Sequence'!$A$2:$A$9,0)),MATCH('Final Data'!$A$5:$A$50,'Order By Sequence'!$A$2:$A$9,0)),ROW(I31:Q31)),IF(ISNUMBER(MATCH('Final Data'!$A$5:$A$50,'Order By Sequence'!$A$2:$A$9,0)),MATCH('Final Data'!$A$5:$A$50,'Order By Sequence'!$A$2:$A$9,0),0),0),COLUMN(I31:Q31)))</f>
        <v/>
      </c>
    </row>
    <row r="36" spans="1:9" x14ac:dyDescent="0.35">
      <c r="A36" s="13" t="str">
        <f t="array" aca="1" ref="A36" ca="1">IF('Final Data'!A36="","",INDEX('Final Data'!$A$5:$I$50,MATCH(SMALL(IF(ISNUMBER(MATCH('Final Data'!$A$5:$A$50,'Order By Sequence'!$A$2:$A$9,0)),MATCH('Final Data'!$A$5:$A$50,'Order By Sequence'!$A$2:$A$9,0)),ROW(A32:I32)),IF(ISNUMBER(MATCH('Final Data'!$A$5:$A$50,'Order By Sequence'!$A$2:$A$9,0)),MATCH('Final Data'!$A$5:$A$50,'Order By Sequence'!$A$2:$A$9,0),0),0),COLUMN(A32:I32)))</f>
        <v/>
      </c>
      <c r="B36" s="13" t="str">
        <f t="array" aca="1" ref="B36" ca="1">IF('Final Data'!B36="","",INDEX('Final Data'!$A$5:$I$50,MATCH(SMALL(IF(ISNUMBER(MATCH('Final Data'!$A$5:$A$50,'Order By Sequence'!$A$2:$A$9,0)),MATCH('Final Data'!$A$5:$A$50,'Order By Sequence'!$A$2:$A$9,0)),ROW(B32:J32)),IF(ISNUMBER(MATCH('Final Data'!$A$5:$A$50,'Order By Sequence'!$A$2:$A$9,0)),MATCH('Final Data'!$A$5:$A$50,'Order By Sequence'!$A$2:$A$9,0),0),0),COLUMN(B32:J32)))</f>
        <v/>
      </c>
      <c r="C36" s="13" t="str">
        <f t="array" aca="1" ref="C36" ca="1">IF('Final Data'!C36="","",INDEX('Final Data'!$A$5:$I$50,MATCH(SMALL(IF(ISNUMBER(MATCH('Final Data'!$A$5:$A$50,'Order By Sequence'!$A$2:$A$9,0)),MATCH('Final Data'!$A$5:$A$50,'Order By Sequence'!$A$2:$A$9,0)),ROW(C32:K32)),IF(ISNUMBER(MATCH('Final Data'!$A$5:$A$50,'Order By Sequence'!$A$2:$A$9,0)),MATCH('Final Data'!$A$5:$A$50,'Order By Sequence'!$A$2:$A$9,0),0),0),COLUMN(C32:K32)))</f>
        <v/>
      </c>
      <c r="D36" s="13" t="str">
        <f t="array" aca="1" ref="D36" ca="1">IF('Final Data'!D36="","",INDEX('Final Data'!$A$5:$I$50,MATCH(SMALL(IF(ISNUMBER(MATCH('Final Data'!$A$5:$A$50,'Order By Sequence'!$A$2:$A$9,0)),MATCH('Final Data'!$A$5:$A$50,'Order By Sequence'!$A$2:$A$9,0)),ROW(D32:L32)),IF(ISNUMBER(MATCH('Final Data'!$A$5:$A$50,'Order By Sequence'!$A$2:$A$9,0)),MATCH('Final Data'!$A$5:$A$50,'Order By Sequence'!$A$2:$A$9,0),0),0),COLUMN(D32:L32)))</f>
        <v/>
      </c>
      <c r="E36" s="13" t="str">
        <f t="array" aca="1" ref="E36" ca="1">IF('Final Data'!E36="","",INDEX('Final Data'!$A$5:$I$50,MATCH(SMALL(IF(ISNUMBER(MATCH('Final Data'!$A$5:$A$50,'Order By Sequence'!$A$2:$A$9,0)),MATCH('Final Data'!$A$5:$A$50,'Order By Sequence'!$A$2:$A$9,0)),ROW(E32:M32)),IF(ISNUMBER(MATCH('Final Data'!$A$5:$A$50,'Order By Sequence'!$A$2:$A$9,0)),MATCH('Final Data'!$A$5:$A$50,'Order By Sequence'!$A$2:$A$9,0),0),0),COLUMN(E32:M32)))</f>
        <v/>
      </c>
      <c r="F36" s="13" t="str">
        <f t="array" aca="1" ref="F36" ca="1">IF('Final Data'!F36="","",INDEX('Final Data'!$A$5:$I$50,MATCH(SMALL(IF(ISNUMBER(MATCH('Final Data'!$A$5:$A$50,'Order By Sequence'!$A$2:$A$9,0)),MATCH('Final Data'!$A$5:$A$50,'Order By Sequence'!$A$2:$A$9,0)),ROW(F32:N32)),IF(ISNUMBER(MATCH('Final Data'!$A$5:$A$50,'Order By Sequence'!$A$2:$A$9,0)),MATCH('Final Data'!$A$5:$A$50,'Order By Sequence'!$A$2:$A$9,0),0),0),COLUMN(F32:N32)))</f>
        <v/>
      </c>
      <c r="G36" s="13" t="str">
        <f t="array" aca="1" ref="G36" ca="1">IF('Final Data'!G36="","",INDEX('Final Data'!$A$5:$I$50,MATCH(SMALL(IF(ISNUMBER(MATCH('Final Data'!$A$5:$A$50,'Order By Sequence'!$A$2:$A$9,0)),MATCH('Final Data'!$A$5:$A$50,'Order By Sequence'!$A$2:$A$9,0)),ROW(G32:O32)),IF(ISNUMBER(MATCH('Final Data'!$A$5:$A$50,'Order By Sequence'!$A$2:$A$9,0)),MATCH('Final Data'!$A$5:$A$50,'Order By Sequence'!$A$2:$A$9,0),0),0),COLUMN(G32:O32)))</f>
        <v/>
      </c>
      <c r="H36" s="13" t="str">
        <f t="array" aca="1" ref="H36" ca="1">IF('Final Data'!H36="","",INDEX('Final Data'!$A$5:$I$50,MATCH(SMALL(IF(ISNUMBER(MATCH('Final Data'!$A$5:$A$50,'Order By Sequence'!$A$2:$A$9,0)),MATCH('Final Data'!$A$5:$A$50,'Order By Sequence'!$A$2:$A$9,0)),ROW(H32:P32)),IF(ISNUMBER(MATCH('Final Data'!$A$5:$A$50,'Order By Sequence'!$A$2:$A$9,0)),MATCH('Final Data'!$A$5:$A$50,'Order By Sequence'!$A$2:$A$9,0),0),0),COLUMN(H32:P32)))</f>
        <v/>
      </c>
      <c r="I36" s="13" t="str">
        <f t="array" aca="1" ref="I36" ca="1">IF('Final Data'!I36="","",INDEX('Final Data'!$A$5:$I$50,MATCH(SMALL(IF(ISNUMBER(MATCH('Final Data'!$A$5:$A$50,'Order By Sequence'!$A$2:$A$9,0)),MATCH('Final Data'!$A$5:$A$50,'Order By Sequence'!$A$2:$A$9,0)),ROW(I32:Q32)),IF(ISNUMBER(MATCH('Final Data'!$A$5:$A$50,'Order By Sequence'!$A$2:$A$9,0)),MATCH('Final Data'!$A$5:$A$50,'Order By Sequence'!$A$2:$A$9,0),0),0),COLUMN(I32:Q32)))</f>
        <v/>
      </c>
    </row>
    <row r="37" spans="1:9" x14ac:dyDescent="0.35">
      <c r="A37" s="13" t="str">
        <f t="array" aca="1" ref="A37" ca="1">IF('Final Data'!A37="","",INDEX('Final Data'!$A$5:$I$50,MATCH(SMALL(IF(ISNUMBER(MATCH('Final Data'!$A$5:$A$50,'Order By Sequence'!$A$2:$A$9,0)),MATCH('Final Data'!$A$5:$A$50,'Order By Sequence'!$A$2:$A$9,0)),ROW(A33:I33)),IF(ISNUMBER(MATCH('Final Data'!$A$5:$A$50,'Order By Sequence'!$A$2:$A$9,0)),MATCH('Final Data'!$A$5:$A$50,'Order By Sequence'!$A$2:$A$9,0),0),0),COLUMN(A33:I33)))</f>
        <v/>
      </c>
      <c r="B37" s="13" t="str">
        <f t="array" aca="1" ref="B37" ca="1">IF('Final Data'!B37="","",INDEX('Final Data'!$A$5:$I$50,MATCH(SMALL(IF(ISNUMBER(MATCH('Final Data'!$A$5:$A$50,'Order By Sequence'!$A$2:$A$9,0)),MATCH('Final Data'!$A$5:$A$50,'Order By Sequence'!$A$2:$A$9,0)),ROW(B33:J33)),IF(ISNUMBER(MATCH('Final Data'!$A$5:$A$50,'Order By Sequence'!$A$2:$A$9,0)),MATCH('Final Data'!$A$5:$A$50,'Order By Sequence'!$A$2:$A$9,0),0),0),COLUMN(B33:J33)))</f>
        <v/>
      </c>
      <c r="C37" s="13" t="str">
        <f t="array" aca="1" ref="C37" ca="1">IF('Final Data'!C37="","",INDEX('Final Data'!$A$5:$I$50,MATCH(SMALL(IF(ISNUMBER(MATCH('Final Data'!$A$5:$A$50,'Order By Sequence'!$A$2:$A$9,0)),MATCH('Final Data'!$A$5:$A$50,'Order By Sequence'!$A$2:$A$9,0)),ROW(C33:K33)),IF(ISNUMBER(MATCH('Final Data'!$A$5:$A$50,'Order By Sequence'!$A$2:$A$9,0)),MATCH('Final Data'!$A$5:$A$50,'Order By Sequence'!$A$2:$A$9,0),0),0),COLUMN(C33:K33)))</f>
        <v/>
      </c>
      <c r="D37" s="13" t="str">
        <f t="array" aca="1" ref="D37" ca="1">IF('Final Data'!D37="","",INDEX('Final Data'!$A$5:$I$50,MATCH(SMALL(IF(ISNUMBER(MATCH('Final Data'!$A$5:$A$50,'Order By Sequence'!$A$2:$A$9,0)),MATCH('Final Data'!$A$5:$A$50,'Order By Sequence'!$A$2:$A$9,0)),ROW(D33:L33)),IF(ISNUMBER(MATCH('Final Data'!$A$5:$A$50,'Order By Sequence'!$A$2:$A$9,0)),MATCH('Final Data'!$A$5:$A$50,'Order By Sequence'!$A$2:$A$9,0),0),0),COLUMN(D33:L33)))</f>
        <v/>
      </c>
      <c r="E37" s="13" t="str">
        <f t="array" aca="1" ref="E37" ca="1">IF('Final Data'!E37="","",INDEX('Final Data'!$A$5:$I$50,MATCH(SMALL(IF(ISNUMBER(MATCH('Final Data'!$A$5:$A$50,'Order By Sequence'!$A$2:$A$9,0)),MATCH('Final Data'!$A$5:$A$50,'Order By Sequence'!$A$2:$A$9,0)),ROW(E33:M33)),IF(ISNUMBER(MATCH('Final Data'!$A$5:$A$50,'Order By Sequence'!$A$2:$A$9,0)),MATCH('Final Data'!$A$5:$A$50,'Order By Sequence'!$A$2:$A$9,0),0),0),COLUMN(E33:M33)))</f>
        <v/>
      </c>
      <c r="F37" s="13" t="str">
        <f t="array" aca="1" ref="F37" ca="1">IF('Final Data'!F37="","",INDEX('Final Data'!$A$5:$I$50,MATCH(SMALL(IF(ISNUMBER(MATCH('Final Data'!$A$5:$A$50,'Order By Sequence'!$A$2:$A$9,0)),MATCH('Final Data'!$A$5:$A$50,'Order By Sequence'!$A$2:$A$9,0)),ROW(F33:N33)),IF(ISNUMBER(MATCH('Final Data'!$A$5:$A$50,'Order By Sequence'!$A$2:$A$9,0)),MATCH('Final Data'!$A$5:$A$50,'Order By Sequence'!$A$2:$A$9,0),0),0),COLUMN(F33:N33)))</f>
        <v/>
      </c>
      <c r="G37" s="13" t="str">
        <f t="array" aca="1" ref="G37" ca="1">IF('Final Data'!G37="","",INDEX('Final Data'!$A$5:$I$50,MATCH(SMALL(IF(ISNUMBER(MATCH('Final Data'!$A$5:$A$50,'Order By Sequence'!$A$2:$A$9,0)),MATCH('Final Data'!$A$5:$A$50,'Order By Sequence'!$A$2:$A$9,0)),ROW(G33:O33)),IF(ISNUMBER(MATCH('Final Data'!$A$5:$A$50,'Order By Sequence'!$A$2:$A$9,0)),MATCH('Final Data'!$A$5:$A$50,'Order By Sequence'!$A$2:$A$9,0),0),0),COLUMN(G33:O33)))</f>
        <v/>
      </c>
      <c r="H37" s="13" t="str">
        <f t="array" aca="1" ref="H37" ca="1">IF('Final Data'!H37="","",INDEX('Final Data'!$A$5:$I$50,MATCH(SMALL(IF(ISNUMBER(MATCH('Final Data'!$A$5:$A$50,'Order By Sequence'!$A$2:$A$9,0)),MATCH('Final Data'!$A$5:$A$50,'Order By Sequence'!$A$2:$A$9,0)),ROW(H33:P33)),IF(ISNUMBER(MATCH('Final Data'!$A$5:$A$50,'Order By Sequence'!$A$2:$A$9,0)),MATCH('Final Data'!$A$5:$A$50,'Order By Sequence'!$A$2:$A$9,0),0),0),COLUMN(H33:P33)))</f>
        <v/>
      </c>
      <c r="I37" s="13" t="str">
        <f t="array" aca="1" ref="I37" ca="1">IF('Final Data'!I37="","",INDEX('Final Data'!$A$5:$I$50,MATCH(SMALL(IF(ISNUMBER(MATCH('Final Data'!$A$5:$A$50,'Order By Sequence'!$A$2:$A$9,0)),MATCH('Final Data'!$A$5:$A$50,'Order By Sequence'!$A$2:$A$9,0)),ROW(I33:Q33)),IF(ISNUMBER(MATCH('Final Data'!$A$5:$A$50,'Order By Sequence'!$A$2:$A$9,0)),MATCH('Final Data'!$A$5:$A$50,'Order By Sequence'!$A$2:$A$9,0),0),0),COLUMN(I33:Q33)))</f>
        <v/>
      </c>
    </row>
    <row r="38" spans="1:9" x14ac:dyDescent="0.35">
      <c r="A38" s="13" t="str">
        <f t="array" aca="1" ref="A38" ca="1">IF('Final Data'!A38="","",INDEX('Final Data'!$A$5:$I$50,MATCH(SMALL(IF(ISNUMBER(MATCH('Final Data'!$A$5:$A$50,'Order By Sequence'!$A$2:$A$9,0)),MATCH('Final Data'!$A$5:$A$50,'Order By Sequence'!$A$2:$A$9,0)),ROW(A34:I34)),IF(ISNUMBER(MATCH('Final Data'!$A$5:$A$50,'Order By Sequence'!$A$2:$A$9,0)),MATCH('Final Data'!$A$5:$A$50,'Order By Sequence'!$A$2:$A$9,0),0),0),COLUMN(A34:I34)))</f>
        <v/>
      </c>
      <c r="B38" s="13" t="str">
        <f t="array" aca="1" ref="B38" ca="1">IF('Final Data'!B38="","",INDEX('Final Data'!$A$5:$I$50,MATCH(SMALL(IF(ISNUMBER(MATCH('Final Data'!$A$5:$A$50,'Order By Sequence'!$A$2:$A$9,0)),MATCH('Final Data'!$A$5:$A$50,'Order By Sequence'!$A$2:$A$9,0)),ROW(B34:J34)),IF(ISNUMBER(MATCH('Final Data'!$A$5:$A$50,'Order By Sequence'!$A$2:$A$9,0)),MATCH('Final Data'!$A$5:$A$50,'Order By Sequence'!$A$2:$A$9,0),0),0),COLUMN(B34:J34)))</f>
        <v/>
      </c>
      <c r="C38" s="13" t="str">
        <f t="array" aca="1" ref="C38" ca="1">IF('Final Data'!C38="","",INDEX('Final Data'!$A$5:$I$50,MATCH(SMALL(IF(ISNUMBER(MATCH('Final Data'!$A$5:$A$50,'Order By Sequence'!$A$2:$A$9,0)),MATCH('Final Data'!$A$5:$A$50,'Order By Sequence'!$A$2:$A$9,0)),ROW(C34:K34)),IF(ISNUMBER(MATCH('Final Data'!$A$5:$A$50,'Order By Sequence'!$A$2:$A$9,0)),MATCH('Final Data'!$A$5:$A$50,'Order By Sequence'!$A$2:$A$9,0),0),0),COLUMN(C34:K34)))</f>
        <v/>
      </c>
      <c r="D38" s="13" t="str">
        <f t="array" aca="1" ref="D38" ca="1">IF('Final Data'!D38="","",INDEX('Final Data'!$A$5:$I$50,MATCH(SMALL(IF(ISNUMBER(MATCH('Final Data'!$A$5:$A$50,'Order By Sequence'!$A$2:$A$9,0)),MATCH('Final Data'!$A$5:$A$50,'Order By Sequence'!$A$2:$A$9,0)),ROW(D34:L34)),IF(ISNUMBER(MATCH('Final Data'!$A$5:$A$50,'Order By Sequence'!$A$2:$A$9,0)),MATCH('Final Data'!$A$5:$A$50,'Order By Sequence'!$A$2:$A$9,0),0),0),COLUMN(D34:L34)))</f>
        <v/>
      </c>
      <c r="E38" s="13" t="str">
        <f t="array" aca="1" ref="E38" ca="1">IF('Final Data'!E38="","",INDEX('Final Data'!$A$5:$I$50,MATCH(SMALL(IF(ISNUMBER(MATCH('Final Data'!$A$5:$A$50,'Order By Sequence'!$A$2:$A$9,0)),MATCH('Final Data'!$A$5:$A$50,'Order By Sequence'!$A$2:$A$9,0)),ROW(E34:M34)),IF(ISNUMBER(MATCH('Final Data'!$A$5:$A$50,'Order By Sequence'!$A$2:$A$9,0)),MATCH('Final Data'!$A$5:$A$50,'Order By Sequence'!$A$2:$A$9,0),0),0),COLUMN(E34:M34)))</f>
        <v/>
      </c>
      <c r="F38" s="13" t="str">
        <f t="array" aca="1" ref="F38" ca="1">IF('Final Data'!F38="","",INDEX('Final Data'!$A$5:$I$50,MATCH(SMALL(IF(ISNUMBER(MATCH('Final Data'!$A$5:$A$50,'Order By Sequence'!$A$2:$A$9,0)),MATCH('Final Data'!$A$5:$A$50,'Order By Sequence'!$A$2:$A$9,0)),ROW(F34:N34)),IF(ISNUMBER(MATCH('Final Data'!$A$5:$A$50,'Order By Sequence'!$A$2:$A$9,0)),MATCH('Final Data'!$A$5:$A$50,'Order By Sequence'!$A$2:$A$9,0),0),0),COLUMN(F34:N34)))</f>
        <v/>
      </c>
      <c r="G38" s="13" t="str">
        <f t="array" aca="1" ref="G38" ca="1">IF('Final Data'!G38="","",INDEX('Final Data'!$A$5:$I$50,MATCH(SMALL(IF(ISNUMBER(MATCH('Final Data'!$A$5:$A$50,'Order By Sequence'!$A$2:$A$9,0)),MATCH('Final Data'!$A$5:$A$50,'Order By Sequence'!$A$2:$A$9,0)),ROW(G34:O34)),IF(ISNUMBER(MATCH('Final Data'!$A$5:$A$50,'Order By Sequence'!$A$2:$A$9,0)),MATCH('Final Data'!$A$5:$A$50,'Order By Sequence'!$A$2:$A$9,0),0),0),COLUMN(G34:O34)))</f>
        <v/>
      </c>
      <c r="H38" s="13" t="str">
        <f t="array" aca="1" ref="H38" ca="1">IF('Final Data'!H38="","",INDEX('Final Data'!$A$5:$I$50,MATCH(SMALL(IF(ISNUMBER(MATCH('Final Data'!$A$5:$A$50,'Order By Sequence'!$A$2:$A$9,0)),MATCH('Final Data'!$A$5:$A$50,'Order By Sequence'!$A$2:$A$9,0)),ROW(H34:P34)),IF(ISNUMBER(MATCH('Final Data'!$A$5:$A$50,'Order By Sequence'!$A$2:$A$9,0)),MATCH('Final Data'!$A$5:$A$50,'Order By Sequence'!$A$2:$A$9,0),0),0),COLUMN(H34:P34)))</f>
        <v/>
      </c>
      <c r="I38" s="13" t="str">
        <f t="array" aca="1" ref="I38" ca="1">IF('Final Data'!I38="","",INDEX('Final Data'!$A$5:$I$50,MATCH(SMALL(IF(ISNUMBER(MATCH('Final Data'!$A$5:$A$50,'Order By Sequence'!$A$2:$A$9,0)),MATCH('Final Data'!$A$5:$A$50,'Order By Sequence'!$A$2:$A$9,0)),ROW(I34:Q34)),IF(ISNUMBER(MATCH('Final Data'!$A$5:$A$50,'Order By Sequence'!$A$2:$A$9,0)),MATCH('Final Data'!$A$5:$A$50,'Order By Sequence'!$A$2:$A$9,0),0),0),COLUMN(I34:Q34)))</f>
        <v/>
      </c>
    </row>
    <row r="39" spans="1:9" x14ac:dyDescent="0.35">
      <c r="A39" s="13" t="str">
        <f t="array" aca="1" ref="A39" ca="1">IF('Final Data'!A39="","",INDEX('Final Data'!$A$5:$I$50,MATCH(SMALL(IF(ISNUMBER(MATCH('Final Data'!$A$5:$A$50,'Order By Sequence'!$A$2:$A$9,0)),MATCH('Final Data'!$A$5:$A$50,'Order By Sequence'!$A$2:$A$9,0)),ROW(A35:I35)),IF(ISNUMBER(MATCH('Final Data'!$A$5:$A$50,'Order By Sequence'!$A$2:$A$9,0)),MATCH('Final Data'!$A$5:$A$50,'Order By Sequence'!$A$2:$A$9,0),0),0),COLUMN(A35:I35)))</f>
        <v/>
      </c>
      <c r="B39" s="13" t="str">
        <f t="array" aca="1" ref="B39" ca="1">IF('Final Data'!B39="","",INDEX('Final Data'!$A$5:$I$50,MATCH(SMALL(IF(ISNUMBER(MATCH('Final Data'!$A$5:$A$50,'Order By Sequence'!$A$2:$A$9,0)),MATCH('Final Data'!$A$5:$A$50,'Order By Sequence'!$A$2:$A$9,0)),ROW(B35:J35)),IF(ISNUMBER(MATCH('Final Data'!$A$5:$A$50,'Order By Sequence'!$A$2:$A$9,0)),MATCH('Final Data'!$A$5:$A$50,'Order By Sequence'!$A$2:$A$9,0),0),0),COLUMN(B35:J35)))</f>
        <v/>
      </c>
      <c r="C39" s="13" t="str">
        <f t="array" aca="1" ref="C39" ca="1">IF('Final Data'!C39="","",INDEX('Final Data'!$A$5:$I$50,MATCH(SMALL(IF(ISNUMBER(MATCH('Final Data'!$A$5:$A$50,'Order By Sequence'!$A$2:$A$9,0)),MATCH('Final Data'!$A$5:$A$50,'Order By Sequence'!$A$2:$A$9,0)),ROW(C35:K35)),IF(ISNUMBER(MATCH('Final Data'!$A$5:$A$50,'Order By Sequence'!$A$2:$A$9,0)),MATCH('Final Data'!$A$5:$A$50,'Order By Sequence'!$A$2:$A$9,0),0),0),COLUMN(C35:K35)))</f>
        <v/>
      </c>
      <c r="D39" s="13" t="str">
        <f t="array" aca="1" ref="D39" ca="1">IF('Final Data'!D39="","",INDEX('Final Data'!$A$5:$I$50,MATCH(SMALL(IF(ISNUMBER(MATCH('Final Data'!$A$5:$A$50,'Order By Sequence'!$A$2:$A$9,0)),MATCH('Final Data'!$A$5:$A$50,'Order By Sequence'!$A$2:$A$9,0)),ROW(D35:L35)),IF(ISNUMBER(MATCH('Final Data'!$A$5:$A$50,'Order By Sequence'!$A$2:$A$9,0)),MATCH('Final Data'!$A$5:$A$50,'Order By Sequence'!$A$2:$A$9,0),0),0),COLUMN(D35:L35)))</f>
        <v/>
      </c>
      <c r="E39" s="13" t="str">
        <f t="array" aca="1" ref="E39" ca="1">IF('Final Data'!E39="","",INDEX('Final Data'!$A$5:$I$50,MATCH(SMALL(IF(ISNUMBER(MATCH('Final Data'!$A$5:$A$50,'Order By Sequence'!$A$2:$A$9,0)),MATCH('Final Data'!$A$5:$A$50,'Order By Sequence'!$A$2:$A$9,0)),ROW(E35:M35)),IF(ISNUMBER(MATCH('Final Data'!$A$5:$A$50,'Order By Sequence'!$A$2:$A$9,0)),MATCH('Final Data'!$A$5:$A$50,'Order By Sequence'!$A$2:$A$9,0),0),0),COLUMN(E35:M35)))</f>
        <v/>
      </c>
      <c r="F39" s="13" t="str">
        <f t="array" aca="1" ref="F39" ca="1">IF('Final Data'!F39="","",INDEX('Final Data'!$A$5:$I$50,MATCH(SMALL(IF(ISNUMBER(MATCH('Final Data'!$A$5:$A$50,'Order By Sequence'!$A$2:$A$9,0)),MATCH('Final Data'!$A$5:$A$50,'Order By Sequence'!$A$2:$A$9,0)),ROW(F35:N35)),IF(ISNUMBER(MATCH('Final Data'!$A$5:$A$50,'Order By Sequence'!$A$2:$A$9,0)),MATCH('Final Data'!$A$5:$A$50,'Order By Sequence'!$A$2:$A$9,0),0),0),COLUMN(F35:N35)))</f>
        <v/>
      </c>
      <c r="G39" s="13" t="str">
        <f t="array" aca="1" ref="G39" ca="1">IF('Final Data'!G39="","",INDEX('Final Data'!$A$5:$I$50,MATCH(SMALL(IF(ISNUMBER(MATCH('Final Data'!$A$5:$A$50,'Order By Sequence'!$A$2:$A$9,0)),MATCH('Final Data'!$A$5:$A$50,'Order By Sequence'!$A$2:$A$9,0)),ROW(G35:O35)),IF(ISNUMBER(MATCH('Final Data'!$A$5:$A$50,'Order By Sequence'!$A$2:$A$9,0)),MATCH('Final Data'!$A$5:$A$50,'Order By Sequence'!$A$2:$A$9,0),0),0),COLUMN(G35:O35)))</f>
        <v/>
      </c>
      <c r="H39" s="13" t="str">
        <f t="array" aca="1" ref="H39" ca="1">IF('Final Data'!H39="","",INDEX('Final Data'!$A$5:$I$50,MATCH(SMALL(IF(ISNUMBER(MATCH('Final Data'!$A$5:$A$50,'Order By Sequence'!$A$2:$A$9,0)),MATCH('Final Data'!$A$5:$A$50,'Order By Sequence'!$A$2:$A$9,0)),ROW(H35:P35)),IF(ISNUMBER(MATCH('Final Data'!$A$5:$A$50,'Order By Sequence'!$A$2:$A$9,0)),MATCH('Final Data'!$A$5:$A$50,'Order By Sequence'!$A$2:$A$9,0),0),0),COLUMN(H35:P35)))</f>
        <v/>
      </c>
      <c r="I39" s="13" t="str">
        <f t="array" aca="1" ref="I39" ca="1">IF('Final Data'!I39="","",INDEX('Final Data'!$A$5:$I$50,MATCH(SMALL(IF(ISNUMBER(MATCH('Final Data'!$A$5:$A$50,'Order By Sequence'!$A$2:$A$9,0)),MATCH('Final Data'!$A$5:$A$50,'Order By Sequence'!$A$2:$A$9,0)),ROW(I35:Q35)),IF(ISNUMBER(MATCH('Final Data'!$A$5:$A$50,'Order By Sequence'!$A$2:$A$9,0)),MATCH('Final Data'!$A$5:$A$50,'Order By Sequence'!$A$2:$A$9,0),0),0),COLUMN(I35:Q35)))</f>
        <v/>
      </c>
    </row>
    <row r="40" spans="1:9" x14ac:dyDescent="0.35">
      <c r="A40" s="13" t="str">
        <f t="array" aca="1" ref="A40" ca="1">IF('Final Data'!A40="","",INDEX('Final Data'!$A$5:$I$50,MATCH(SMALL(IF(ISNUMBER(MATCH('Final Data'!$A$5:$A$50,'Order By Sequence'!$A$2:$A$9,0)),MATCH('Final Data'!$A$5:$A$50,'Order By Sequence'!$A$2:$A$9,0)),ROW(A36:I36)),IF(ISNUMBER(MATCH('Final Data'!$A$5:$A$50,'Order By Sequence'!$A$2:$A$9,0)),MATCH('Final Data'!$A$5:$A$50,'Order By Sequence'!$A$2:$A$9,0),0),0),COLUMN(A36:I36)))</f>
        <v/>
      </c>
      <c r="B40" s="13" t="str">
        <f t="array" aca="1" ref="B40" ca="1">IF('Final Data'!B40="","",INDEX('Final Data'!$A$5:$I$50,MATCH(SMALL(IF(ISNUMBER(MATCH('Final Data'!$A$5:$A$50,'Order By Sequence'!$A$2:$A$9,0)),MATCH('Final Data'!$A$5:$A$50,'Order By Sequence'!$A$2:$A$9,0)),ROW(B36:J36)),IF(ISNUMBER(MATCH('Final Data'!$A$5:$A$50,'Order By Sequence'!$A$2:$A$9,0)),MATCH('Final Data'!$A$5:$A$50,'Order By Sequence'!$A$2:$A$9,0),0),0),COLUMN(B36:J36)))</f>
        <v/>
      </c>
      <c r="C40" s="13" t="str">
        <f t="array" aca="1" ref="C40" ca="1">IF('Final Data'!C40="","",INDEX('Final Data'!$A$5:$I$50,MATCH(SMALL(IF(ISNUMBER(MATCH('Final Data'!$A$5:$A$50,'Order By Sequence'!$A$2:$A$9,0)),MATCH('Final Data'!$A$5:$A$50,'Order By Sequence'!$A$2:$A$9,0)),ROW(C36:K36)),IF(ISNUMBER(MATCH('Final Data'!$A$5:$A$50,'Order By Sequence'!$A$2:$A$9,0)),MATCH('Final Data'!$A$5:$A$50,'Order By Sequence'!$A$2:$A$9,0),0),0),COLUMN(C36:K36)))</f>
        <v/>
      </c>
      <c r="D40" s="13" t="str">
        <f t="array" aca="1" ref="D40" ca="1">IF('Final Data'!D40="","",INDEX('Final Data'!$A$5:$I$50,MATCH(SMALL(IF(ISNUMBER(MATCH('Final Data'!$A$5:$A$50,'Order By Sequence'!$A$2:$A$9,0)),MATCH('Final Data'!$A$5:$A$50,'Order By Sequence'!$A$2:$A$9,0)),ROW(D36:L36)),IF(ISNUMBER(MATCH('Final Data'!$A$5:$A$50,'Order By Sequence'!$A$2:$A$9,0)),MATCH('Final Data'!$A$5:$A$50,'Order By Sequence'!$A$2:$A$9,0),0),0),COLUMN(D36:L36)))</f>
        <v/>
      </c>
      <c r="E40" s="13" t="str">
        <f t="array" aca="1" ref="E40" ca="1">IF('Final Data'!E40="","",INDEX('Final Data'!$A$5:$I$50,MATCH(SMALL(IF(ISNUMBER(MATCH('Final Data'!$A$5:$A$50,'Order By Sequence'!$A$2:$A$9,0)),MATCH('Final Data'!$A$5:$A$50,'Order By Sequence'!$A$2:$A$9,0)),ROW(E36:M36)),IF(ISNUMBER(MATCH('Final Data'!$A$5:$A$50,'Order By Sequence'!$A$2:$A$9,0)),MATCH('Final Data'!$A$5:$A$50,'Order By Sequence'!$A$2:$A$9,0),0),0),COLUMN(E36:M36)))</f>
        <v/>
      </c>
      <c r="F40" s="13" t="str">
        <f t="array" aca="1" ref="F40" ca="1">IF('Final Data'!F40="","",INDEX('Final Data'!$A$5:$I$50,MATCH(SMALL(IF(ISNUMBER(MATCH('Final Data'!$A$5:$A$50,'Order By Sequence'!$A$2:$A$9,0)),MATCH('Final Data'!$A$5:$A$50,'Order By Sequence'!$A$2:$A$9,0)),ROW(F36:N36)),IF(ISNUMBER(MATCH('Final Data'!$A$5:$A$50,'Order By Sequence'!$A$2:$A$9,0)),MATCH('Final Data'!$A$5:$A$50,'Order By Sequence'!$A$2:$A$9,0),0),0),COLUMN(F36:N36)))</f>
        <v/>
      </c>
      <c r="G40" s="13" t="str">
        <f t="array" aca="1" ref="G40" ca="1">IF('Final Data'!G40="","",INDEX('Final Data'!$A$5:$I$50,MATCH(SMALL(IF(ISNUMBER(MATCH('Final Data'!$A$5:$A$50,'Order By Sequence'!$A$2:$A$9,0)),MATCH('Final Data'!$A$5:$A$50,'Order By Sequence'!$A$2:$A$9,0)),ROW(G36:O36)),IF(ISNUMBER(MATCH('Final Data'!$A$5:$A$50,'Order By Sequence'!$A$2:$A$9,0)),MATCH('Final Data'!$A$5:$A$50,'Order By Sequence'!$A$2:$A$9,0),0),0),COLUMN(G36:O36)))</f>
        <v/>
      </c>
      <c r="H40" s="13" t="str">
        <f t="array" aca="1" ref="H40" ca="1">IF('Final Data'!H40="","",INDEX('Final Data'!$A$5:$I$50,MATCH(SMALL(IF(ISNUMBER(MATCH('Final Data'!$A$5:$A$50,'Order By Sequence'!$A$2:$A$9,0)),MATCH('Final Data'!$A$5:$A$50,'Order By Sequence'!$A$2:$A$9,0)),ROW(H36:P36)),IF(ISNUMBER(MATCH('Final Data'!$A$5:$A$50,'Order By Sequence'!$A$2:$A$9,0)),MATCH('Final Data'!$A$5:$A$50,'Order By Sequence'!$A$2:$A$9,0),0),0),COLUMN(H36:P36)))</f>
        <v/>
      </c>
      <c r="I40" s="13" t="str">
        <f t="array" aca="1" ref="I40" ca="1">IF('Final Data'!I40="","",INDEX('Final Data'!$A$5:$I$50,MATCH(SMALL(IF(ISNUMBER(MATCH('Final Data'!$A$5:$A$50,'Order By Sequence'!$A$2:$A$9,0)),MATCH('Final Data'!$A$5:$A$50,'Order By Sequence'!$A$2:$A$9,0)),ROW(I36:Q36)),IF(ISNUMBER(MATCH('Final Data'!$A$5:$A$50,'Order By Sequence'!$A$2:$A$9,0)),MATCH('Final Data'!$A$5:$A$50,'Order By Sequence'!$A$2:$A$9,0),0),0),COLUMN(I36:Q36)))</f>
        <v/>
      </c>
    </row>
    <row r="41" spans="1:9" x14ac:dyDescent="0.35">
      <c r="A41" s="13" t="str">
        <f t="array" aca="1" ref="A41" ca="1">IF('Final Data'!A41="","",INDEX('Final Data'!$A$5:$I$50,MATCH(SMALL(IF(ISNUMBER(MATCH('Final Data'!$A$5:$A$50,'Order By Sequence'!$A$2:$A$9,0)),MATCH('Final Data'!$A$5:$A$50,'Order By Sequence'!$A$2:$A$9,0)),ROW(A37:I37)),IF(ISNUMBER(MATCH('Final Data'!$A$5:$A$50,'Order By Sequence'!$A$2:$A$9,0)),MATCH('Final Data'!$A$5:$A$50,'Order By Sequence'!$A$2:$A$9,0),0),0),COLUMN(A37:I37)))</f>
        <v/>
      </c>
      <c r="B41" s="13" t="str">
        <f t="array" aca="1" ref="B41" ca="1">IF('Final Data'!B41="","",INDEX('Final Data'!$A$5:$I$50,MATCH(SMALL(IF(ISNUMBER(MATCH('Final Data'!$A$5:$A$50,'Order By Sequence'!$A$2:$A$9,0)),MATCH('Final Data'!$A$5:$A$50,'Order By Sequence'!$A$2:$A$9,0)),ROW(B37:J37)),IF(ISNUMBER(MATCH('Final Data'!$A$5:$A$50,'Order By Sequence'!$A$2:$A$9,0)),MATCH('Final Data'!$A$5:$A$50,'Order By Sequence'!$A$2:$A$9,0),0),0),COLUMN(B37:J37)))</f>
        <v/>
      </c>
      <c r="C41" s="13" t="str">
        <f t="array" aca="1" ref="C41" ca="1">IF('Final Data'!C41="","",INDEX('Final Data'!$A$5:$I$50,MATCH(SMALL(IF(ISNUMBER(MATCH('Final Data'!$A$5:$A$50,'Order By Sequence'!$A$2:$A$9,0)),MATCH('Final Data'!$A$5:$A$50,'Order By Sequence'!$A$2:$A$9,0)),ROW(C37:K37)),IF(ISNUMBER(MATCH('Final Data'!$A$5:$A$50,'Order By Sequence'!$A$2:$A$9,0)),MATCH('Final Data'!$A$5:$A$50,'Order By Sequence'!$A$2:$A$9,0),0),0),COLUMN(C37:K37)))</f>
        <v/>
      </c>
      <c r="D41" s="13" t="str">
        <f t="array" aca="1" ref="D41" ca="1">IF('Final Data'!D41="","",INDEX('Final Data'!$A$5:$I$50,MATCH(SMALL(IF(ISNUMBER(MATCH('Final Data'!$A$5:$A$50,'Order By Sequence'!$A$2:$A$9,0)),MATCH('Final Data'!$A$5:$A$50,'Order By Sequence'!$A$2:$A$9,0)),ROW(D37:L37)),IF(ISNUMBER(MATCH('Final Data'!$A$5:$A$50,'Order By Sequence'!$A$2:$A$9,0)),MATCH('Final Data'!$A$5:$A$50,'Order By Sequence'!$A$2:$A$9,0),0),0),COLUMN(D37:L37)))</f>
        <v/>
      </c>
      <c r="E41" s="13" t="str">
        <f t="array" aca="1" ref="E41" ca="1">IF('Final Data'!E41="","",INDEX('Final Data'!$A$5:$I$50,MATCH(SMALL(IF(ISNUMBER(MATCH('Final Data'!$A$5:$A$50,'Order By Sequence'!$A$2:$A$9,0)),MATCH('Final Data'!$A$5:$A$50,'Order By Sequence'!$A$2:$A$9,0)),ROW(E37:M37)),IF(ISNUMBER(MATCH('Final Data'!$A$5:$A$50,'Order By Sequence'!$A$2:$A$9,0)),MATCH('Final Data'!$A$5:$A$50,'Order By Sequence'!$A$2:$A$9,0),0),0),COLUMN(E37:M37)))</f>
        <v/>
      </c>
      <c r="F41" s="13" t="str">
        <f t="array" aca="1" ref="F41" ca="1">IF('Final Data'!F41="","",INDEX('Final Data'!$A$5:$I$50,MATCH(SMALL(IF(ISNUMBER(MATCH('Final Data'!$A$5:$A$50,'Order By Sequence'!$A$2:$A$9,0)),MATCH('Final Data'!$A$5:$A$50,'Order By Sequence'!$A$2:$A$9,0)),ROW(F37:N37)),IF(ISNUMBER(MATCH('Final Data'!$A$5:$A$50,'Order By Sequence'!$A$2:$A$9,0)),MATCH('Final Data'!$A$5:$A$50,'Order By Sequence'!$A$2:$A$9,0),0),0),COLUMN(F37:N37)))</f>
        <v/>
      </c>
      <c r="G41" s="13" t="str">
        <f t="array" aca="1" ref="G41" ca="1">IF('Final Data'!G41="","",INDEX('Final Data'!$A$5:$I$50,MATCH(SMALL(IF(ISNUMBER(MATCH('Final Data'!$A$5:$A$50,'Order By Sequence'!$A$2:$A$9,0)),MATCH('Final Data'!$A$5:$A$50,'Order By Sequence'!$A$2:$A$9,0)),ROW(G37:O37)),IF(ISNUMBER(MATCH('Final Data'!$A$5:$A$50,'Order By Sequence'!$A$2:$A$9,0)),MATCH('Final Data'!$A$5:$A$50,'Order By Sequence'!$A$2:$A$9,0),0),0),COLUMN(G37:O37)))</f>
        <v/>
      </c>
      <c r="H41" s="13" t="str">
        <f t="array" aca="1" ref="H41" ca="1">IF('Final Data'!H41="","",INDEX('Final Data'!$A$5:$I$50,MATCH(SMALL(IF(ISNUMBER(MATCH('Final Data'!$A$5:$A$50,'Order By Sequence'!$A$2:$A$9,0)),MATCH('Final Data'!$A$5:$A$50,'Order By Sequence'!$A$2:$A$9,0)),ROW(H37:P37)),IF(ISNUMBER(MATCH('Final Data'!$A$5:$A$50,'Order By Sequence'!$A$2:$A$9,0)),MATCH('Final Data'!$A$5:$A$50,'Order By Sequence'!$A$2:$A$9,0),0),0),COLUMN(H37:P37)))</f>
        <v/>
      </c>
      <c r="I41" s="13" t="str">
        <f t="array" aca="1" ref="I41" ca="1">IF('Final Data'!I41="","",INDEX('Final Data'!$A$5:$I$50,MATCH(SMALL(IF(ISNUMBER(MATCH('Final Data'!$A$5:$A$50,'Order By Sequence'!$A$2:$A$9,0)),MATCH('Final Data'!$A$5:$A$50,'Order By Sequence'!$A$2:$A$9,0)),ROW(I37:Q37)),IF(ISNUMBER(MATCH('Final Data'!$A$5:$A$50,'Order By Sequence'!$A$2:$A$9,0)),MATCH('Final Data'!$A$5:$A$50,'Order By Sequence'!$A$2:$A$9,0),0),0),COLUMN(I37:Q37)))</f>
        <v/>
      </c>
    </row>
    <row r="42" spans="1:9" x14ac:dyDescent="0.35">
      <c r="A42" s="13" t="str">
        <f t="array" aca="1" ref="A42" ca="1">IF('Final Data'!A42="","",INDEX('Final Data'!$A$5:$I$50,MATCH(SMALL(IF(ISNUMBER(MATCH('Final Data'!$A$5:$A$50,'Order By Sequence'!$A$2:$A$9,0)),MATCH('Final Data'!$A$5:$A$50,'Order By Sequence'!$A$2:$A$9,0)),ROW(A38:I38)),IF(ISNUMBER(MATCH('Final Data'!$A$5:$A$50,'Order By Sequence'!$A$2:$A$9,0)),MATCH('Final Data'!$A$5:$A$50,'Order By Sequence'!$A$2:$A$9,0),0),0),COLUMN(A38:I38)))</f>
        <v/>
      </c>
      <c r="B42" s="13" t="str">
        <f t="array" aca="1" ref="B42" ca="1">IF('Final Data'!B42="","",INDEX('Final Data'!$A$5:$I$50,MATCH(SMALL(IF(ISNUMBER(MATCH('Final Data'!$A$5:$A$50,'Order By Sequence'!$A$2:$A$9,0)),MATCH('Final Data'!$A$5:$A$50,'Order By Sequence'!$A$2:$A$9,0)),ROW(B38:J38)),IF(ISNUMBER(MATCH('Final Data'!$A$5:$A$50,'Order By Sequence'!$A$2:$A$9,0)),MATCH('Final Data'!$A$5:$A$50,'Order By Sequence'!$A$2:$A$9,0),0),0),COLUMN(B38:J38)))</f>
        <v/>
      </c>
      <c r="C42" s="13" t="str">
        <f t="array" aca="1" ref="C42" ca="1">IF('Final Data'!C42="","",INDEX('Final Data'!$A$5:$I$50,MATCH(SMALL(IF(ISNUMBER(MATCH('Final Data'!$A$5:$A$50,'Order By Sequence'!$A$2:$A$9,0)),MATCH('Final Data'!$A$5:$A$50,'Order By Sequence'!$A$2:$A$9,0)),ROW(C38:K38)),IF(ISNUMBER(MATCH('Final Data'!$A$5:$A$50,'Order By Sequence'!$A$2:$A$9,0)),MATCH('Final Data'!$A$5:$A$50,'Order By Sequence'!$A$2:$A$9,0),0),0),COLUMN(C38:K38)))</f>
        <v/>
      </c>
      <c r="D42" s="13" t="str">
        <f t="array" aca="1" ref="D42" ca="1">IF('Final Data'!D42="","",INDEX('Final Data'!$A$5:$I$50,MATCH(SMALL(IF(ISNUMBER(MATCH('Final Data'!$A$5:$A$50,'Order By Sequence'!$A$2:$A$9,0)),MATCH('Final Data'!$A$5:$A$50,'Order By Sequence'!$A$2:$A$9,0)),ROW(D38:L38)),IF(ISNUMBER(MATCH('Final Data'!$A$5:$A$50,'Order By Sequence'!$A$2:$A$9,0)),MATCH('Final Data'!$A$5:$A$50,'Order By Sequence'!$A$2:$A$9,0),0),0),COLUMN(D38:L38)))</f>
        <v/>
      </c>
      <c r="E42" s="13" t="str">
        <f t="array" aca="1" ref="E42" ca="1">IF('Final Data'!E42="","",INDEX('Final Data'!$A$5:$I$50,MATCH(SMALL(IF(ISNUMBER(MATCH('Final Data'!$A$5:$A$50,'Order By Sequence'!$A$2:$A$9,0)),MATCH('Final Data'!$A$5:$A$50,'Order By Sequence'!$A$2:$A$9,0)),ROW(E38:M38)),IF(ISNUMBER(MATCH('Final Data'!$A$5:$A$50,'Order By Sequence'!$A$2:$A$9,0)),MATCH('Final Data'!$A$5:$A$50,'Order By Sequence'!$A$2:$A$9,0),0),0),COLUMN(E38:M38)))</f>
        <v/>
      </c>
      <c r="F42" s="13" t="str">
        <f t="array" aca="1" ref="F42" ca="1">IF('Final Data'!F42="","",INDEX('Final Data'!$A$5:$I$50,MATCH(SMALL(IF(ISNUMBER(MATCH('Final Data'!$A$5:$A$50,'Order By Sequence'!$A$2:$A$9,0)),MATCH('Final Data'!$A$5:$A$50,'Order By Sequence'!$A$2:$A$9,0)),ROW(F38:N38)),IF(ISNUMBER(MATCH('Final Data'!$A$5:$A$50,'Order By Sequence'!$A$2:$A$9,0)),MATCH('Final Data'!$A$5:$A$50,'Order By Sequence'!$A$2:$A$9,0),0),0),COLUMN(F38:N38)))</f>
        <v/>
      </c>
      <c r="G42" s="13" t="str">
        <f t="array" aca="1" ref="G42" ca="1">IF('Final Data'!G42="","",INDEX('Final Data'!$A$5:$I$50,MATCH(SMALL(IF(ISNUMBER(MATCH('Final Data'!$A$5:$A$50,'Order By Sequence'!$A$2:$A$9,0)),MATCH('Final Data'!$A$5:$A$50,'Order By Sequence'!$A$2:$A$9,0)),ROW(G38:O38)),IF(ISNUMBER(MATCH('Final Data'!$A$5:$A$50,'Order By Sequence'!$A$2:$A$9,0)),MATCH('Final Data'!$A$5:$A$50,'Order By Sequence'!$A$2:$A$9,0),0),0),COLUMN(G38:O38)))</f>
        <v/>
      </c>
      <c r="H42" s="13" t="str">
        <f t="array" aca="1" ref="H42" ca="1">IF('Final Data'!H42="","",INDEX('Final Data'!$A$5:$I$50,MATCH(SMALL(IF(ISNUMBER(MATCH('Final Data'!$A$5:$A$50,'Order By Sequence'!$A$2:$A$9,0)),MATCH('Final Data'!$A$5:$A$50,'Order By Sequence'!$A$2:$A$9,0)),ROW(H38:P38)),IF(ISNUMBER(MATCH('Final Data'!$A$5:$A$50,'Order By Sequence'!$A$2:$A$9,0)),MATCH('Final Data'!$A$5:$A$50,'Order By Sequence'!$A$2:$A$9,0),0),0),COLUMN(H38:P38)))</f>
        <v/>
      </c>
      <c r="I42" s="13" t="str">
        <f t="array" aca="1" ref="I42" ca="1">IF('Final Data'!I42="","",INDEX('Final Data'!$A$5:$I$50,MATCH(SMALL(IF(ISNUMBER(MATCH('Final Data'!$A$5:$A$50,'Order By Sequence'!$A$2:$A$9,0)),MATCH('Final Data'!$A$5:$A$50,'Order By Sequence'!$A$2:$A$9,0)),ROW(I38:Q38)),IF(ISNUMBER(MATCH('Final Data'!$A$5:$A$50,'Order By Sequence'!$A$2:$A$9,0)),MATCH('Final Data'!$A$5:$A$50,'Order By Sequence'!$A$2:$A$9,0),0),0),COLUMN(I38:Q38)))</f>
        <v/>
      </c>
    </row>
    <row r="43" spans="1:9" x14ac:dyDescent="0.35">
      <c r="A43" s="13" t="str">
        <f t="array" aca="1" ref="A43" ca="1">IF('Final Data'!A43="","",INDEX('Final Data'!$A$5:$I$50,MATCH(SMALL(IF(ISNUMBER(MATCH('Final Data'!$A$5:$A$50,'Order By Sequence'!$A$2:$A$9,0)),MATCH('Final Data'!$A$5:$A$50,'Order By Sequence'!$A$2:$A$9,0)),ROW(A39:I39)),IF(ISNUMBER(MATCH('Final Data'!$A$5:$A$50,'Order By Sequence'!$A$2:$A$9,0)),MATCH('Final Data'!$A$5:$A$50,'Order By Sequence'!$A$2:$A$9,0),0),0),COLUMN(A39:I39)))</f>
        <v/>
      </c>
      <c r="B43" s="13" t="str">
        <f t="array" aca="1" ref="B43" ca="1">IF('Final Data'!B43="","",INDEX('Final Data'!$A$5:$I$50,MATCH(SMALL(IF(ISNUMBER(MATCH('Final Data'!$A$5:$A$50,'Order By Sequence'!$A$2:$A$9,0)),MATCH('Final Data'!$A$5:$A$50,'Order By Sequence'!$A$2:$A$9,0)),ROW(B39:J39)),IF(ISNUMBER(MATCH('Final Data'!$A$5:$A$50,'Order By Sequence'!$A$2:$A$9,0)),MATCH('Final Data'!$A$5:$A$50,'Order By Sequence'!$A$2:$A$9,0),0),0),COLUMN(B39:J39)))</f>
        <v/>
      </c>
      <c r="C43" s="13" t="str">
        <f t="array" aca="1" ref="C43" ca="1">IF('Final Data'!C43="","",INDEX('Final Data'!$A$5:$I$50,MATCH(SMALL(IF(ISNUMBER(MATCH('Final Data'!$A$5:$A$50,'Order By Sequence'!$A$2:$A$9,0)),MATCH('Final Data'!$A$5:$A$50,'Order By Sequence'!$A$2:$A$9,0)),ROW(C39:K39)),IF(ISNUMBER(MATCH('Final Data'!$A$5:$A$50,'Order By Sequence'!$A$2:$A$9,0)),MATCH('Final Data'!$A$5:$A$50,'Order By Sequence'!$A$2:$A$9,0),0),0),COLUMN(C39:K39)))</f>
        <v/>
      </c>
      <c r="D43" s="13" t="str">
        <f t="array" aca="1" ref="D43" ca="1">IF('Final Data'!D43="","",INDEX('Final Data'!$A$5:$I$50,MATCH(SMALL(IF(ISNUMBER(MATCH('Final Data'!$A$5:$A$50,'Order By Sequence'!$A$2:$A$9,0)),MATCH('Final Data'!$A$5:$A$50,'Order By Sequence'!$A$2:$A$9,0)),ROW(D39:L39)),IF(ISNUMBER(MATCH('Final Data'!$A$5:$A$50,'Order By Sequence'!$A$2:$A$9,0)),MATCH('Final Data'!$A$5:$A$50,'Order By Sequence'!$A$2:$A$9,0),0),0),COLUMN(D39:L39)))</f>
        <v/>
      </c>
      <c r="E43" s="13" t="str">
        <f t="array" aca="1" ref="E43" ca="1">IF('Final Data'!E43="","",INDEX('Final Data'!$A$5:$I$50,MATCH(SMALL(IF(ISNUMBER(MATCH('Final Data'!$A$5:$A$50,'Order By Sequence'!$A$2:$A$9,0)),MATCH('Final Data'!$A$5:$A$50,'Order By Sequence'!$A$2:$A$9,0)),ROW(E39:M39)),IF(ISNUMBER(MATCH('Final Data'!$A$5:$A$50,'Order By Sequence'!$A$2:$A$9,0)),MATCH('Final Data'!$A$5:$A$50,'Order By Sequence'!$A$2:$A$9,0),0),0),COLUMN(E39:M39)))</f>
        <v/>
      </c>
      <c r="F43" s="13" t="str">
        <f t="array" aca="1" ref="F43" ca="1">IF('Final Data'!F43="","",INDEX('Final Data'!$A$5:$I$50,MATCH(SMALL(IF(ISNUMBER(MATCH('Final Data'!$A$5:$A$50,'Order By Sequence'!$A$2:$A$9,0)),MATCH('Final Data'!$A$5:$A$50,'Order By Sequence'!$A$2:$A$9,0)),ROW(F39:N39)),IF(ISNUMBER(MATCH('Final Data'!$A$5:$A$50,'Order By Sequence'!$A$2:$A$9,0)),MATCH('Final Data'!$A$5:$A$50,'Order By Sequence'!$A$2:$A$9,0),0),0),COLUMN(F39:N39)))</f>
        <v/>
      </c>
      <c r="G43" s="13" t="str">
        <f t="array" aca="1" ref="G43" ca="1">IF('Final Data'!G43="","",INDEX('Final Data'!$A$5:$I$50,MATCH(SMALL(IF(ISNUMBER(MATCH('Final Data'!$A$5:$A$50,'Order By Sequence'!$A$2:$A$9,0)),MATCH('Final Data'!$A$5:$A$50,'Order By Sequence'!$A$2:$A$9,0)),ROW(G39:O39)),IF(ISNUMBER(MATCH('Final Data'!$A$5:$A$50,'Order By Sequence'!$A$2:$A$9,0)),MATCH('Final Data'!$A$5:$A$50,'Order By Sequence'!$A$2:$A$9,0),0),0),COLUMN(G39:O39)))</f>
        <v/>
      </c>
      <c r="H43" s="13" t="str">
        <f t="array" aca="1" ref="H43" ca="1">IF('Final Data'!H43="","",INDEX('Final Data'!$A$5:$I$50,MATCH(SMALL(IF(ISNUMBER(MATCH('Final Data'!$A$5:$A$50,'Order By Sequence'!$A$2:$A$9,0)),MATCH('Final Data'!$A$5:$A$50,'Order By Sequence'!$A$2:$A$9,0)),ROW(H39:P39)),IF(ISNUMBER(MATCH('Final Data'!$A$5:$A$50,'Order By Sequence'!$A$2:$A$9,0)),MATCH('Final Data'!$A$5:$A$50,'Order By Sequence'!$A$2:$A$9,0),0),0),COLUMN(H39:P39)))</f>
        <v/>
      </c>
      <c r="I43" s="13" t="str">
        <f t="array" aca="1" ref="I43" ca="1">IF('Final Data'!I43="","",INDEX('Final Data'!$A$5:$I$50,MATCH(SMALL(IF(ISNUMBER(MATCH('Final Data'!$A$5:$A$50,'Order By Sequence'!$A$2:$A$9,0)),MATCH('Final Data'!$A$5:$A$50,'Order By Sequence'!$A$2:$A$9,0)),ROW(I39:Q39)),IF(ISNUMBER(MATCH('Final Data'!$A$5:$A$50,'Order By Sequence'!$A$2:$A$9,0)),MATCH('Final Data'!$A$5:$A$50,'Order By Sequence'!$A$2:$A$9,0),0),0),COLUMN(I39:Q39)))</f>
        <v/>
      </c>
    </row>
    <row r="44" spans="1:9" x14ac:dyDescent="0.35">
      <c r="A44" s="13" t="str">
        <f t="array" aca="1" ref="A44" ca="1">IF('Final Data'!A44="","",INDEX('Final Data'!$A$5:$I$50,MATCH(SMALL(IF(ISNUMBER(MATCH('Final Data'!$A$5:$A$50,'Order By Sequence'!$A$2:$A$9,0)),MATCH('Final Data'!$A$5:$A$50,'Order By Sequence'!$A$2:$A$9,0)),ROW(A40:I40)),IF(ISNUMBER(MATCH('Final Data'!$A$5:$A$50,'Order By Sequence'!$A$2:$A$9,0)),MATCH('Final Data'!$A$5:$A$50,'Order By Sequence'!$A$2:$A$9,0),0),0),COLUMN(A40:I40)))</f>
        <v/>
      </c>
      <c r="B44" s="13" t="str">
        <f t="array" aca="1" ref="B44" ca="1">IF('Final Data'!B44="","",INDEX('Final Data'!$A$5:$I$50,MATCH(SMALL(IF(ISNUMBER(MATCH('Final Data'!$A$5:$A$50,'Order By Sequence'!$A$2:$A$9,0)),MATCH('Final Data'!$A$5:$A$50,'Order By Sequence'!$A$2:$A$9,0)),ROW(B40:J40)),IF(ISNUMBER(MATCH('Final Data'!$A$5:$A$50,'Order By Sequence'!$A$2:$A$9,0)),MATCH('Final Data'!$A$5:$A$50,'Order By Sequence'!$A$2:$A$9,0),0),0),COLUMN(B40:J40)))</f>
        <v/>
      </c>
      <c r="C44" s="13" t="str">
        <f t="array" aca="1" ref="C44" ca="1">IF('Final Data'!C44="","",INDEX('Final Data'!$A$5:$I$50,MATCH(SMALL(IF(ISNUMBER(MATCH('Final Data'!$A$5:$A$50,'Order By Sequence'!$A$2:$A$9,0)),MATCH('Final Data'!$A$5:$A$50,'Order By Sequence'!$A$2:$A$9,0)),ROW(C40:K40)),IF(ISNUMBER(MATCH('Final Data'!$A$5:$A$50,'Order By Sequence'!$A$2:$A$9,0)),MATCH('Final Data'!$A$5:$A$50,'Order By Sequence'!$A$2:$A$9,0),0),0),COLUMN(C40:K40)))</f>
        <v/>
      </c>
      <c r="D44" s="13" t="str">
        <f t="array" aca="1" ref="D44" ca="1">IF('Final Data'!D44="","",INDEX('Final Data'!$A$5:$I$50,MATCH(SMALL(IF(ISNUMBER(MATCH('Final Data'!$A$5:$A$50,'Order By Sequence'!$A$2:$A$9,0)),MATCH('Final Data'!$A$5:$A$50,'Order By Sequence'!$A$2:$A$9,0)),ROW(D40:L40)),IF(ISNUMBER(MATCH('Final Data'!$A$5:$A$50,'Order By Sequence'!$A$2:$A$9,0)),MATCH('Final Data'!$A$5:$A$50,'Order By Sequence'!$A$2:$A$9,0),0),0),COLUMN(D40:L40)))</f>
        <v/>
      </c>
      <c r="E44" s="13" t="str">
        <f t="array" aca="1" ref="E44" ca="1">IF('Final Data'!E44="","",INDEX('Final Data'!$A$5:$I$50,MATCH(SMALL(IF(ISNUMBER(MATCH('Final Data'!$A$5:$A$50,'Order By Sequence'!$A$2:$A$9,0)),MATCH('Final Data'!$A$5:$A$50,'Order By Sequence'!$A$2:$A$9,0)),ROW(E40:M40)),IF(ISNUMBER(MATCH('Final Data'!$A$5:$A$50,'Order By Sequence'!$A$2:$A$9,0)),MATCH('Final Data'!$A$5:$A$50,'Order By Sequence'!$A$2:$A$9,0),0),0),COLUMN(E40:M40)))</f>
        <v/>
      </c>
      <c r="F44" s="13" t="str">
        <f t="array" aca="1" ref="F44" ca="1">IF('Final Data'!F44="","",INDEX('Final Data'!$A$5:$I$50,MATCH(SMALL(IF(ISNUMBER(MATCH('Final Data'!$A$5:$A$50,'Order By Sequence'!$A$2:$A$9,0)),MATCH('Final Data'!$A$5:$A$50,'Order By Sequence'!$A$2:$A$9,0)),ROW(F40:N40)),IF(ISNUMBER(MATCH('Final Data'!$A$5:$A$50,'Order By Sequence'!$A$2:$A$9,0)),MATCH('Final Data'!$A$5:$A$50,'Order By Sequence'!$A$2:$A$9,0),0),0),COLUMN(F40:N40)))</f>
        <v/>
      </c>
      <c r="G44" s="13" t="str">
        <f t="array" aca="1" ref="G44" ca="1">IF('Final Data'!G44="","",INDEX('Final Data'!$A$5:$I$50,MATCH(SMALL(IF(ISNUMBER(MATCH('Final Data'!$A$5:$A$50,'Order By Sequence'!$A$2:$A$9,0)),MATCH('Final Data'!$A$5:$A$50,'Order By Sequence'!$A$2:$A$9,0)),ROW(G40:O40)),IF(ISNUMBER(MATCH('Final Data'!$A$5:$A$50,'Order By Sequence'!$A$2:$A$9,0)),MATCH('Final Data'!$A$5:$A$50,'Order By Sequence'!$A$2:$A$9,0),0),0),COLUMN(G40:O40)))</f>
        <v/>
      </c>
      <c r="H44" s="13" t="str">
        <f t="array" aca="1" ref="H44" ca="1">IF('Final Data'!H44="","",INDEX('Final Data'!$A$5:$I$50,MATCH(SMALL(IF(ISNUMBER(MATCH('Final Data'!$A$5:$A$50,'Order By Sequence'!$A$2:$A$9,0)),MATCH('Final Data'!$A$5:$A$50,'Order By Sequence'!$A$2:$A$9,0)),ROW(H40:P40)),IF(ISNUMBER(MATCH('Final Data'!$A$5:$A$50,'Order By Sequence'!$A$2:$A$9,0)),MATCH('Final Data'!$A$5:$A$50,'Order By Sequence'!$A$2:$A$9,0),0),0),COLUMN(H40:P40)))</f>
        <v/>
      </c>
      <c r="I44" s="13" t="str">
        <f t="array" aca="1" ref="I44" ca="1">IF('Final Data'!I44="","",INDEX('Final Data'!$A$5:$I$50,MATCH(SMALL(IF(ISNUMBER(MATCH('Final Data'!$A$5:$A$50,'Order By Sequence'!$A$2:$A$9,0)),MATCH('Final Data'!$A$5:$A$50,'Order By Sequence'!$A$2:$A$9,0)),ROW(I40:Q40)),IF(ISNUMBER(MATCH('Final Data'!$A$5:$A$50,'Order By Sequence'!$A$2:$A$9,0)),MATCH('Final Data'!$A$5:$A$50,'Order By Sequence'!$A$2:$A$9,0),0),0),COLUMN(I40:Q40)))</f>
        <v/>
      </c>
    </row>
    <row r="45" spans="1:9" x14ac:dyDescent="0.35">
      <c r="A45" s="13" t="str">
        <f t="array" aca="1" ref="A45" ca="1">IF('Final Data'!A45="","",INDEX('Final Data'!$A$5:$I$50,MATCH(SMALL(IF(ISNUMBER(MATCH('Final Data'!$A$5:$A$50,'Order By Sequence'!$A$2:$A$9,0)),MATCH('Final Data'!$A$5:$A$50,'Order By Sequence'!$A$2:$A$9,0)),ROW(A41:I41)),IF(ISNUMBER(MATCH('Final Data'!$A$5:$A$50,'Order By Sequence'!$A$2:$A$9,0)),MATCH('Final Data'!$A$5:$A$50,'Order By Sequence'!$A$2:$A$9,0),0),0),COLUMN(A41:I41)))</f>
        <v/>
      </c>
      <c r="B45" s="13" t="str">
        <f t="array" aca="1" ref="B45" ca="1">IF('Final Data'!B45="","",INDEX('Final Data'!$A$5:$I$50,MATCH(SMALL(IF(ISNUMBER(MATCH('Final Data'!$A$5:$A$50,'Order By Sequence'!$A$2:$A$9,0)),MATCH('Final Data'!$A$5:$A$50,'Order By Sequence'!$A$2:$A$9,0)),ROW(B41:J41)),IF(ISNUMBER(MATCH('Final Data'!$A$5:$A$50,'Order By Sequence'!$A$2:$A$9,0)),MATCH('Final Data'!$A$5:$A$50,'Order By Sequence'!$A$2:$A$9,0),0),0),COLUMN(B41:J41)))</f>
        <v/>
      </c>
      <c r="C45" s="13" t="str">
        <f t="array" aca="1" ref="C45" ca="1">IF('Final Data'!C45="","",INDEX('Final Data'!$A$5:$I$50,MATCH(SMALL(IF(ISNUMBER(MATCH('Final Data'!$A$5:$A$50,'Order By Sequence'!$A$2:$A$9,0)),MATCH('Final Data'!$A$5:$A$50,'Order By Sequence'!$A$2:$A$9,0)),ROW(C41:K41)),IF(ISNUMBER(MATCH('Final Data'!$A$5:$A$50,'Order By Sequence'!$A$2:$A$9,0)),MATCH('Final Data'!$A$5:$A$50,'Order By Sequence'!$A$2:$A$9,0),0),0),COLUMN(C41:K41)))</f>
        <v/>
      </c>
      <c r="D45" s="13" t="str">
        <f t="array" aca="1" ref="D45" ca="1">IF('Final Data'!D45="","",INDEX('Final Data'!$A$5:$I$50,MATCH(SMALL(IF(ISNUMBER(MATCH('Final Data'!$A$5:$A$50,'Order By Sequence'!$A$2:$A$9,0)),MATCH('Final Data'!$A$5:$A$50,'Order By Sequence'!$A$2:$A$9,0)),ROW(D41:L41)),IF(ISNUMBER(MATCH('Final Data'!$A$5:$A$50,'Order By Sequence'!$A$2:$A$9,0)),MATCH('Final Data'!$A$5:$A$50,'Order By Sequence'!$A$2:$A$9,0),0),0),COLUMN(D41:L41)))</f>
        <v/>
      </c>
      <c r="E45" s="13" t="str">
        <f t="array" aca="1" ref="E45" ca="1">IF('Final Data'!E45="","",INDEX('Final Data'!$A$5:$I$50,MATCH(SMALL(IF(ISNUMBER(MATCH('Final Data'!$A$5:$A$50,'Order By Sequence'!$A$2:$A$9,0)),MATCH('Final Data'!$A$5:$A$50,'Order By Sequence'!$A$2:$A$9,0)),ROW(E41:M41)),IF(ISNUMBER(MATCH('Final Data'!$A$5:$A$50,'Order By Sequence'!$A$2:$A$9,0)),MATCH('Final Data'!$A$5:$A$50,'Order By Sequence'!$A$2:$A$9,0),0),0),COLUMN(E41:M41)))</f>
        <v/>
      </c>
      <c r="F45" s="13" t="str">
        <f t="array" aca="1" ref="F45" ca="1">IF('Final Data'!F45="","",INDEX('Final Data'!$A$5:$I$50,MATCH(SMALL(IF(ISNUMBER(MATCH('Final Data'!$A$5:$A$50,'Order By Sequence'!$A$2:$A$9,0)),MATCH('Final Data'!$A$5:$A$50,'Order By Sequence'!$A$2:$A$9,0)),ROW(F41:N41)),IF(ISNUMBER(MATCH('Final Data'!$A$5:$A$50,'Order By Sequence'!$A$2:$A$9,0)),MATCH('Final Data'!$A$5:$A$50,'Order By Sequence'!$A$2:$A$9,0),0),0),COLUMN(F41:N41)))</f>
        <v/>
      </c>
      <c r="G45" s="13" t="str">
        <f t="array" aca="1" ref="G45" ca="1">IF('Final Data'!G45="","",INDEX('Final Data'!$A$5:$I$50,MATCH(SMALL(IF(ISNUMBER(MATCH('Final Data'!$A$5:$A$50,'Order By Sequence'!$A$2:$A$9,0)),MATCH('Final Data'!$A$5:$A$50,'Order By Sequence'!$A$2:$A$9,0)),ROW(G41:O41)),IF(ISNUMBER(MATCH('Final Data'!$A$5:$A$50,'Order By Sequence'!$A$2:$A$9,0)),MATCH('Final Data'!$A$5:$A$50,'Order By Sequence'!$A$2:$A$9,0),0),0),COLUMN(G41:O41)))</f>
        <v/>
      </c>
      <c r="H45" s="13" t="str">
        <f t="array" aca="1" ref="H45" ca="1">IF('Final Data'!H45="","",INDEX('Final Data'!$A$5:$I$50,MATCH(SMALL(IF(ISNUMBER(MATCH('Final Data'!$A$5:$A$50,'Order By Sequence'!$A$2:$A$9,0)),MATCH('Final Data'!$A$5:$A$50,'Order By Sequence'!$A$2:$A$9,0)),ROW(H41:P41)),IF(ISNUMBER(MATCH('Final Data'!$A$5:$A$50,'Order By Sequence'!$A$2:$A$9,0)),MATCH('Final Data'!$A$5:$A$50,'Order By Sequence'!$A$2:$A$9,0),0),0),COLUMN(H41:P41)))</f>
        <v/>
      </c>
      <c r="I45" s="13" t="str">
        <f t="array" aca="1" ref="I45" ca="1">IF('Final Data'!I45="","",INDEX('Final Data'!$A$5:$I$50,MATCH(SMALL(IF(ISNUMBER(MATCH('Final Data'!$A$5:$A$50,'Order By Sequence'!$A$2:$A$9,0)),MATCH('Final Data'!$A$5:$A$50,'Order By Sequence'!$A$2:$A$9,0)),ROW(I41:Q41)),IF(ISNUMBER(MATCH('Final Data'!$A$5:$A$50,'Order By Sequence'!$A$2:$A$9,0)),MATCH('Final Data'!$A$5:$A$50,'Order By Sequence'!$A$2:$A$9,0),0),0),COLUMN(I41:Q41)))</f>
        <v/>
      </c>
    </row>
    <row r="46" spans="1:9" x14ac:dyDescent="0.35">
      <c r="A46" s="13" t="str">
        <f t="array" aca="1" ref="A46" ca="1">IF('Final Data'!A46="","",INDEX('Final Data'!$A$5:$I$50,MATCH(SMALL(IF(ISNUMBER(MATCH('Final Data'!$A$5:$A$50,'Order By Sequence'!$A$2:$A$9,0)),MATCH('Final Data'!$A$5:$A$50,'Order By Sequence'!$A$2:$A$9,0)),ROW(A42:I42)),IF(ISNUMBER(MATCH('Final Data'!$A$5:$A$50,'Order By Sequence'!$A$2:$A$9,0)),MATCH('Final Data'!$A$5:$A$50,'Order By Sequence'!$A$2:$A$9,0),0),0),COLUMN(A42:I42)))</f>
        <v/>
      </c>
      <c r="B46" s="13" t="str">
        <f t="array" aca="1" ref="B46" ca="1">IF('Final Data'!B46="","",INDEX('Final Data'!$A$5:$I$50,MATCH(SMALL(IF(ISNUMBER(MATCH('Final Data'!$A$5:$A$50,'Order By Sequence'!$A$2:$A$9,0)),MATCH('Final Data'!$A$5:$A$50,'Order By Sequence'!$A$2:$A$9,0)),ROW(B42:J42)),IF(ISNUMBER(MATCH('Final Data'!$A$5:$A$50,'Order By Sequence'!$A$2:$A$9,0)),MATCH('Final Data'!$A$5:$A$50,'Order By Sequence'!$A$2:$A$9,0),0),0),COLUMN(B42:J42)))</f>
        <v/>
      </c>
      <c r="C46" s="13" t="str">
        <f t="array" aca="1" ref="C46" ca="1">IF('Final Data'!C46="","",INDEX('Final Data'!$A$5:$I$50,MATCH(SMALL(IF(ISNUMBER(MATCH('Final Data'!$A$5:$A$50,'Order By Sequence'!$A$2:$A$9,0)),MATCH('Final Data'!$A$5:$A$50,'Order By Sequence'!$A$2:$A$9,0)),ROW(C42:K42)),IF(ISNUMBER(MATCH('Final Data'!$A$5:$A$50,'Order By Sequence'!$A$2:$A$9,0)),MATCH('Final Data'!$A$5:$A$50,'Order By Sequence'!$A$2:$A$9,0),0),0),COLUMN(C42:K42)))</f>
        <v/>
      </c>
      <c r="D46" s="13" t="str">
        <f t="array" aca="1" ref="D46" ca="1">IF('Final Data'!D46="","",INDEX('Final Data'!$A$5:$I$50,MATCH(SMALL(IF(ISNUMBER(MATCH('Final Data'!$A$5:$A$50,'Order By Sequence'!$A$2:$A$9,0)),MATCH('Final Data'!$A$5:$A$50,'Order By Sequence'!$A$2:$A$9,0)),ROW(D42:L42)),IF(ISNUMBER(MATCH('Final Data'!$A$5:$A$50,'Order By Sequence'!$A$2:$A$9,0)),MATCH('Final Data'!$A$5:$A$50,'Order By Sequence'!$A$2:$A$9,0),0),0),COLUMN(D42:L42)))</f>
        <v/>
      </c>
      <c r="E46" s="13" t="str">
        <f t="array" aca="1" ref="E46" ca="1">IF('Final Data'!E46="","",INDEX('Final Data'!$A$5:$I$50,MATCH(SMALL(IF(ISNUMBER(MATCH('Final Data'!$A$5:$A$50,'Order By Sequence'!$A$2:$A$9,0)),MATCH('Final Data'!$A$5:$A$50,'Order By Sequence'!$A$2:$A$9,0)),ROW(E42:M42)),IF(ISNUMBER(MATCH('Final Data'!$A$5:$A$50,'Order By Sequence'!$A$2:$A$9,0)),MATCH('Final Data'!$A$5:$A$50,'Order By Sequence'!$A$2:$A$9,0),0),0),COLUMN(E42:M42)))</f>
        <v/>
      </c>
      <c r="F46" s="13" t="str">
        <f t="array" aca="1" ref="F46" ca="1">IF('Final Data'!F46="","",INDEX('Final Data'!$A$5:$I$50,MATCH(SMALL(IF(ISNUMBER(MATCH('Final Data'!$A$5:$A$50,'Order By Sequence'!$A$2:$A$9,0)),MATCH('Final Data'!$A$5:$A$50,'Order By Sequence'!$A$2:$A$9,0)),ROW(F42:N42)),IF(ISNUMBER(MATCH('Final Data'!$A$5:$A$50,'Order By Sequence'!$A$2:$A$9,0)),MATCH('Final Data'!$A$5:$A$50,'Order By Sequence'!$A$2:$A$9,0),0),0),COLUMN(F42:N42)))</f>
        <v/>
      </c>
      <c r="G46" s="13" t="str">
        <f t="array" aca="1" ref="G46" ca="1">IF('Final Data'!G46="","",INDEX('Final Data'!$A$5:$I$50,MATCH(SMALL(IF(ISNUMBER(MATCH('Final Data'!$A$5:$A$50,'Order By Sequence'!$A$2:$A$9,0)),MATCH('Final Data'!$A$5:$A$50,'Order By Sequence'!$A$2:$A$9,0)),ROW(G42:O42)),IF(ISNUMBER(MATCH('Final Data'!$A$5:$A$50,'Order By Sequence'!$A$2:$A$9,0)),MATCH('Final Data'!$A$5:$A$50,'Order By Sequence'!$A$2:$A$9,0),0),0),COLUMN(G42:O42)))</f>
        <v/>
      </c>
      <c r="H46" s="13" t="str">
        <f t="array" aca="1" ref="H46" ca="1">IF('Final Data'!H46="","",INDEX('Final Data'!$A$5:$I$50,MATCH(SMALL(IF(ISNUMBER(MATCH('Final Data'!$A$5:$A$50,'Order By Sequence'!$A$2:$A$9,0)),MATCH('Final Data'!$A$5:$A$50,'Order By Sequence'!$A$2:$A$9,0)),ROW(H42:P42)),IF(ISNUMBER(MATCH('Final Data'!$A$5:$A$50,'Order By Sequence'!$A$2:$A$9,0)),MATCH('Final Data'!$A$5:$A$50,'Order By Sequence'!$A$2:$A$9,0),0),0),COLUMN(H42:P42)))</f>
        <v/>
      </c>
      <c r="I46" s="13" t="str">
        <f t="array" aca="1" ref="I46" ca="1">IF('Final Data'!I46="","",INDEX('Final Data'!$A$5:$I$50,MATCH(SMALL(IF(ISNUMBER(MATCH('Final Data'!$A$5:$A$50,'Order By Sequence'!$A$2:$A$9,0)),MATCH('Final Data'!$A$5:$A$50,'Order By Sequence'!$A$2:$A$9,0)),ROW(I42:Q42)),IF(ISNUMBER(MATCH('Final Data'!$A$5:$A$50,'Order By Sequence'!$A$2:$A$9,0)),MATCH('Final Data'!$A$5:$A$50,'Order By Sequence'!$A$2:$A$9,0),0),0),COLUMN(I42:Q42)))</f>
        <v/>
      </c>
    </row>
    <row r="47" spans="1:9" x14ac:dyDescent="0.35">
      <c r="A47" s="13" t="str">
        <f t="array" aca="1" ref="A47" ca="1">IF('Final Data'!A47="","",INDEX('Final Data'!$A$5:$I$50,MATCH(SMALL(IF(ISNUMBER(MATCH('Final Data'!$A$5:$A$50,'Order By Sequence'!$A$2:$A$9,0)),MATCH('Final Data'!$A$5:$A$50,'Order By Sequence'!$A$2:$A$9,0)),ROW(A43:I43)),IF(ISNUMBER(MATCH('Final Data'!$A$5:$A$50,'Order By Sequence'!$A$2:$A$9,0)),MATCH('Final Data'!$A$5:$A$50,'Order By Sequence'!$A$2:$A$9,0),0),0),COLUMN(A43:I43)))</f>
        <v/>
      </c>
      <c r="B47" s="13" t="str">
        <f t="array" aca="1" ref="B47" ca="1">IF('Final Data'!B47="","",INDEX('Final Data'!$A$5:$I$50,MATCH(SMALL(IF(ISNUMBER(MATCH('Final Data'!$A$5:$A$50,'Order By Sequence'!$A$2:$A$9,0)),MATCH('Final Data'!$A$5:$A$50,'Order By Sequence'!$A$2:$A$9,0)),ROW(B43:J43)),IF(ISNUMBER(MATCH('Final Data'!$A$5:$A$50,'Order By Sequence'!$A$2:$A$9,0)),MATCH('Final Data'!$A$5:$A$50,'Order By Sequence'!$A$2:$A$9,0),0),0),COLUMN(B43:J43)))</f>
        <v/>
      </c>
      <c r="C47" s="13" t="str">
        <f t="array" aca="1" ref="C47" ca="1">IF('Final Data'!C47="","",INDEX('Final Data'!$A$5:$I$50,MATCH(SMALL(IF(ISNUMBER(MATCH('Final Data'!$A$5:$A$50,'Order By Sequence'!$A$2:$A$9,0)),MATCH('Final Data'!$A$5:$A$50,'Order By Sequence'!$A$2:$A$9,0)),ROW(C43:K43)),IF(ISNUMBER(MATCH('Final Data'!$A$5:$A$50,'Order By Sequence'!$A$2:$A$9,0)),MATCH('Final Data'!$A$5:$A$50,'Order By Sequence'!$A$2:$A$9,0),0),0),COLUMN(C43:K43)))</f>
        <v/>
      </c>
      <c r="D47" s="13" t="str">
        <f t="array" aca="1" ref="D47" ca="1">IF('Final Data'!D47="","",INDEX('Final Data'!$A$5:$I$50,MATCH(SMALL(IF(ISNUMBER(MATCH('Final Data'!$A$5:$A$50,'Order By Sequence'!$A$2:$A$9,0)),MATCH('Final Data'!$A$5:$A$50,'Order By Sequence'!$A$2:$A$9,0)),ROW(D43:L43)),IF(ISNUMBER(MATCH('Final Data'!$A$5:$A$50,'Order By Sequence'!$A$2:$A$9,0)),MATCH('Final Data'!$A$5:$A$50,'Order By Sequence'!$A$2:$A$9,0),0),0),COLUMN(D43:L43)))</f>
        <v/>
      </c>
      <c r="E47" s="13" t="str">
        <f t="array" aca="1" ref="E47" ca="1">IF('Final Data'!E47="","",INDEX('Final Data'!$A$5:$I$50,MATCH(SMALL(IF(ISNUMBER(MATCH('Final Data'!$A$5:$A$50,'Order By Sequence'!$A$2:$A$9,0)),MATCH('Final Data'!$A$5:$A$50,'Order By Sequence'!$A$2:$A$9,0)),ROW(E43:M43)),IF(ISNUMBER(MATCH('Final Data'!$A$5:$A$50,'Order By Sequence'!$A$2:$A$9,0)),MATCH('Final Data'!$A$5:$A$50,'Order By Sequence'!$A$2:$A$9,0),0),0),COLUMN(E43:M43)))</f>
        <v/>
      </c>
      <c r="F47" s="13" t="str">
        <f t="array" aca="1" ref="F47" ca="1">IF('Final Data'!F47="","",INDEX('Final Data'!$A$5:$I$50,MATCH(SMALL(IF(ISNUMBER(MATCH('Final Data'!$A$5:$A$50,'Order By Sequence'!$A$2:$A$9,0)),MATCH('Final Data'!$A$5:$A$50,'Order By Sequence'!$A$2:$A$9,0)),ROW(F43:N43)),IF(ISNUMBER(MATCH('Final Data'!$A$5:$A$50,'Order By Sequence'!$A$2:$A$9,0)),MATCH('Final Data'!$A$5:$A$50,'Order By Sequence'!$A$2:$A$9,0),0),0),COLUMN(F43:N43)))</f>
        <v/>
      </c>
      <c r="G47" s="13" t="str">
        <f t="array" aca="1" ref="G47" ca="1">IF('Final Data'!G47="","",INDEX('Final Data'!$A$5:$I$50,MATCH(SMALL(IF(ISNUMBER(MATCH('Final Data'!$A$5:$A$50,'Order By Sequence'!$A$2:$A$9,0)),MATCH('Final Data'!$A$5:$A$50,'Order By Sequence'!$A$2:$A$9,0)),ROW(G43:O43)),IF(ISNUMBER(MATCH('Final Data'!$A$5:$A$50,'Order By Sequence'!$A$2:$A$9,0)),MATCH('Final Data'!$A$5:$A$50,'Order By Sequence'!$A$2:$A$9,0),0),0),COLUMN(G43:O43)))</f>
        <v/>
      </c>
      <c r="H47" s="13" t="str">
        <f t="array" aca="1" ref="H47" ca="1">IF('Final Data'!H47="","",INDEX('Final Data'!$A$5:$I$50,MATCH(SMALL(IF(ISNUMBER(MATCH('Final Data'!$A$5:$A$50,'Order By Sequence'!$A$2:$A$9,0)),MATCH('Final Data'!$A$5:$A$50,'Order By Sequence'!$A$2:$A$9,0)),ROW(H43:P43)),IF(ISNUMBER(MATCH('Final Data'!$A$5:$A$50,'Order By Sequence'!$A$2:$A$9,0)),MATCH('Final Data'!$A$5:$A$50,'Order By Sequence'!$A$2:$A$9,0),0),0),COLUMN(H43:P43)))</f>
        <v/>
      </c>
      <c r="I47" s="13" t="str">
        <f t="array" aca="1" ref="I47" ca="1">IF('Final Data'!I47="","",INDEX('Final Data'!$A$5:$I$50,MATCH(SMALL(IF(ISNUMBER(MATCH('Final Data'!$A$5:$A$50,'Order By Sequence'!$A$2:$A$9,0)),MATCH('Final Data'!$A$5:$A$50,'Order By Sequence'!$A$2:$A$9,0)),ROW(I43:Q43)),IF(ISNUMBER(MATCH('Final Data'!$A$5:$A$50,'Order By Sequence'!$A$2:$A$9,0)),MATCH('Final Data'!$A$5:$A$50,'Order By Sequence'!$A$2:$A$9,0),0),0),COLUMN(I43:Q43)))</f>
        <v/>
      </c>
    </row>
    <row r="48" spans="1:9" x14ac:dyDescent="0.35">
      <c r="A48" s="13" t="str">
        <f t="array" aca="1" ref="A48" ca="1">IF('Final Data'!A48="","",INDEX('Final Data'!$A$5:$I$50,MATCH(SMALL(IF(ISNUMBER(MATCH('Final Data'!$A$5:$A$50,'Order By Sequence'!$A$2:$A$9,0)),MATCH('Final Data'!$A$5:$A$50,'Order By Sequence'!$A$2:$A$9,0)),ROW(A44:I44)),IF(ISNUMBER(MATCH('Final Data'!$A$5:$A$50,'Order By Sequence'!$A$2:$A$9,0)),MATCH('Final Data'!$A$5:$A$50,'Order By Sequence'!$A$2:$A$9,0),0),0),COLUMN(A44:I44)))</f>
        <v/>
      </c>
      <c r="B48" s="13" t="str">
        <f t="array" aca="1" ref="B48" ca="1">IF('Final Data'!B48="","",INDEX('Final Data'!$A$5:$I$50,MATCH(SMALL(IF(ISNUMBER(MATCH('Final Data'!$A$5:$A$50,'Order By Sequence'!$A$2:$A$9,0)),MATCH('Final Data'!$A$5:$A$50,'Order By Sequence'!$A$2:$A$9,0)),ROW(B44:J44)),IF(ISNUMBER(MATCH('Final Data'!$A$5:$A$50,'Order By Sequence'!$A$2:$A$9,0)),MATCH('Final Data'!$A$5:$A$50,'Order By Sequence'!$A$2:$A$9,0),0),0),COLUMN(B44:J44)))</f>
        <v/>
      </c>
      <c r="C48" s="13" t="str">
        <f t="array" aca="1" ref="C48" ca="1">IF('Final Data'!C48="","",INDEX('Final Data'!$A$5:$I$50,MATCH(SMALL(IF(ISNUMBER(MATCH('Final Data'!$A$5:$A$50,'Order By Sequence'!$A$2:$A$9,0)),MATCH('Final Data'!$A$5:$A$50,'Order By Sequence'!$A$2:$A$9,0)),ROW(C44:K44)),IF(ISNUMBER(MATCH('Final Data'!$A$5:$A$50,'Order By Sequence'!$A$2:$A$9,0)),MATCH('Final Data'!$A$5:$A$50,'Order By Sequence'!$A$2:$A$9,0),0),0),COLUMN(C44:K44)))</f>
        <v/>
      </c>
      <c r="D48" s="13" t="str">
        <f t="array" aca="1" ref="D48" ca="1">IF('Final Data'!D48="","",INDEX('Final Data'!$A$5:$I$50,MATCH(SMALL(IF(ISNUMBER(MATCH('Final Data'!$A$5:$A$50,'Order By Sequence'!$A$2:$A$9,0)),MATCH('Final Data'!$A$5:$A$50,'Order By Sequence'!$A$2:$A$9,0)),ROW(D44:L44)),IF(ISNUMBER(MATCH('Final Data'!$A$5:$A$50,'Order By Sequence'!$A$2:$A$9,0)),MATCH('Final Data'!$A$5:$A$50,'Order By Sequence'!$A$2:$A$9,0),0),0),COLUMN(D44:L44)))</f>
        <v/>
      </c>
      <c r="E48" s="13" t="str">
        <f t="array" aca="1" ref="E48" ca="1">IF('Final Data'!E48="","",INDEX('Final Data'!$A$5:$I$50,MATCH(SMALL(IF(ISNUMBER(MATCH('Final Data'!$A$5:$A$50,'Order By Sequence'!$A$2:$A$9,0)),MATCH('Final Data'!$A$5:$A$50,'Order By Sequence'!$A$2:$A$9,0)),ROW(E44:M44)),IF(ISNUMBER(MATCH('Final Data'!$A$5:$A$50,'Order By Sequence'!$A$2:$A$9,0)),MATCH('Final Data'!$A$5:$A$50,'Order By Sequence'!$A$2:$A$9,0),0),0),COLUMN(E44:M44)))</f>
        <v/>
      </c>
      <c r="F48" s="13" t="str">
        <f t="array" aca="1" ref="F48" ca="1">IF('Final Data'!F48="","",INDEX('Final Data'!$A$5:$I$50,MATCH(SMALL(IF(ISNUMBER(MATCH('Final Data'!$A$5:$A$50,'Order By Sequence'!$A$2:$A$9,0)),MATCH('Final Data'!$A$5:$A$50,'Order By Sequence'!$A$2:$A$9,0)),ROW(F44:N44)),IF(ISNUMBER(MATCH('Final Data'!$A$5:$A$50,'Order By Sequence'!$A$2:$A$9,0)),MATCH('Final Data'!$A$5:$A$50,'Order By Sequence'!$A$2:$A$9,0),0),0),COLUMN(F44:N44)))</f>
        <v/>
      </c>
      <c r="G48" s="13" t="str">
        <f t="array" aca="1" ref="G48" ca="1">IF('Final Data'!G48="","",INDEX('Final Data'!$A$5:$I$50,MATCH(SMALL(IF(ISNUMBER(MATCH('Final Data'!$A$5:$A$50,'Order By Sequence'!$A$2:$A$9,0)),MATCH('Final Data'!$A$5:$A$50,'Order By Sequence'!$A$2:$A$9,0)),ROW(G44:O44)),IF(ISNUMBER(MATCH('Final Data'!$A$5:$A$50,'Order By Sequence'!$A$2:$A$9,0)),MATCH('Final Data'!$A$5:$A$50,'Order By Sequence'!$A$2:$A$9,0),0),0),COLUMN(G44:O44)))</f>
        <v/>
      </c>
      <c r="H48" s="13" t="str">
        <f t="array" aca="1" ref="H48" ca="1">IF('Final Data'!H48="","",INDEX('Final Data'!$A$5:$I$50,MATCH(SMALL(IF(ISNUMBER(MATCH('Final Data'!$A$5:$A$50,'Order By Sequence'!$A$2:$A$9,0)),MATCH('Final Data'!$A$5:$A$50,'Order By Sequence'!$A$2:$A$9,0)),ROW(H44:P44)),IF(ISNUMBER(MATCH('Final Data'!$A$5:$A$50,'Order By Sequence'!$A$2:$A$9,0)),MATCH('Final Data'!$A$5:$A$50,'Order By Sequence'!$A$2:$A$9,0),0),0),COLUMN(H44:P44)))</f>
        <v/>
      </c>
      <c r="I48" s="13" t="str">
        <f t="array" aca="1" ref="I48" ca="1">IF('Final Data'!I48="","",INDEX('Final Data'!$A$5:$I$50,MATCH(SMALL(IF(ISNUMBER(MATCH('Final Data'!$A$5:$A$50,'Order By Sequence'!$A$2:$A$9,0)),MATCH('Final Data'!$A$5:$A$50,'Order By Sequence'!$A$2:$A$9,0)),ROW(I44:Q44)),IF(ISNUMBER(MATCH('Final Data'!$A$5:$A$50,'Order By Sequence'!$A$2:$A$9,0)),MATCH('Final Data'!$A$5:$A$50,'Order By Sequence'!$A$2:$A$9,0),0),0),COLUMN(I44:Q44)))</f>
        <v/>
      </c>
    </row>
    <row r="49" spans="1:9" x14ac:dyDescent="0.35">
      <c r="A49" s="13" t="str">
        <f t="array" aca="1" ref="A49" ca="1">IF('Final Data'!A49="","",INDEX('Final Data'!$A$5:$I$50,MATCH(SMALL(IF(ISNUMBER(MATCH('Final Data'!$A$5:$A$50,'Order By Sequence'!$A$2:$A$9,0)),MATCH('Final Data'!$A$5:$A$50,'Order By Sequence'!$A$2:$A$9,0)),ROW(A45:I45)),IF(ISNUMBER(MATCH('Final Data'!$A$5:$A$50,'Order By Sequence'!$A$2:$A$9,0)),MATCH('Final Data'!$A$5:$A$50,'Order By Sequence'!$A$2:$A$9,0),0),0),COLUMN(A45:I45)))</f>
        <v/>
      </c>
      <c r="B49" s="13" t="str">
        <f t="array" aca="1" ref="B49" ca="1">IF('Final Data'!B49="","",INDEX('Final Data'!$A$5:$I$50,MATCH(SMALL(IF(ISNUMBER(MATCH('Final Data'!$A$5:$A$50,'Order By Sequence'!$A$2:$A$9,0)),MATCH('Final Data'!$A$5:$A$50,'Order By Sequence'!$A$2:$A$9,0)),ROW(B45:J45)),IF(ISNUMBER(MATCH('Final Data'!$A$5:$A$50,'Order By Sequence'!$A$2:$A$9,0)),MATCH('Final Data'!$A$5:$A$50,'Order By Sequence'!$A$2:$A$9,0),0),0),COLUMN(B45:J45)))</f>
        <v/>
      </c>
      <c r="C49" s="13" t="str">
        <f t="array" aca="1" ref="C49" ca="1">IF('Final Data'!C49="","",INDEX('Final Data'!$A$5:$I$50,MATCH(SMALL(IF(ISNUMBER(MATCH('Final Data'!$A$5:$A$50,'Order By Sequence'!$A$2:$A$9,0)),MATCH('Final Data'!$A$5:$A$50,'Order By Sequence'!$A$2:$A$9,0)),ROW(C45:K45)),IF(ISNUMBER(MATCH('Final Data'!$A$5:$A$50,'Order By Sequence'!$A$2:$A$9,0)),MATCH('Final Data'!$A$5:$A$50,'Order By Sequence'!$A$2:$A$9,0),0),0),COLUMN(C45:K45)))</f>
        <v/>
      </c>
      <c r="D49" s="13" t="str">
        <f t="array" aca="1" ref="D49" ca="1">IF('Final Data'!D49="","",INDEX('Final Data'!$A$5:$I$50,MATCH(SMALL(IF(ISNUMBER(MATCH('Final Data'!$A$5:$A$50,'Order By Sequence'!$A$2:$A$9,0)),MATCH('Final Data'!$A$5:$A$50,'Order By Sequence'!$A$2:$A$9,0)),ROW(D45:L45)),IF(ISNUMBER(MATCH('Final Data'!$A$5:$A$50,'Order By Sequence'!$A$2:$A$9,0)),MATCH('Final Data'!$A$5:$A$50,'Order By Sequence'!$A$2:$A$9,0),0),0),COLUMN(D45:L45)))</f>
        <v/>
      </c>
      <c r="E49" s="13" t="str">
        <f t="array" aca="1" ref="E49" ca="1">IF('Final Data'!E49="","",INDEX('Final Data'!$A$5:$I$50,MATCH(SMALL(IF(ISNUMBER(MATCH('Final Data'!$A$5:$A$50,'Order By Sequence'!$A$2:$A$9,0)),MATCH('Final Data'!$A$5:$A$50,'Order By Sequence'!$A$2:$A$9,0)),ROW(E45:M45)),IF(ISNUMBER(MATCH('Final Data'!$A$5:$A$50,'Order By Sequence'!$A$2:$A$9,0)),MATCH('Final Data'!$A$5:$A$50,'Order By Sequence'!$A$2:$A$9,0),0),0),COLUMN(E45:M45)))</f>
        <v/>
      </c>
      <c r="F49" s="13" t="str">
        <f t="array" aca="1" ref="F49" ca="1">IF('Final Data'!F49="","",INDEX('Final Data'!$A$5:$I$50,MATCH(SMALL(IF(ISNUMBER(MATCH('Final Data'!$A$5:$A$50,'Order By Sequence'!$A$2:$A$9,0)),MATCH('Final Data'!$A$5:$A$50,'Order By Sequence'!$A$2:$A$9,0)),ROW(F45:N45)),IF(ISNUMBER(MATCH('Final Data'!$A$5:$A$50,'Order By Sequence'!$A$2:$A$9,0)),MATCH('Final Data'!$A$5:$A$50,'Order By Sequence'!$A$2:$A$9,0),0),0),COLUMN(F45:N45)))</f>
        <v/>
      </c>
      <c r="G49" s="13" t="str">
        <f t="array" aca="1" ref="G49" ca="1">IF('Final Data'!G49="","",INDEX('Final Data'!$A$5:$I$50,MATCH(SMALL(IF(ISNUMBER(MATCH('Final Data'!$A$5:$A$50,'Order By Sequence'!$A$2:$A$9,0)),MATCH('Final Data'!$A$5:$A$50,'Order By Sequence'!$A$2:$A$9,0)),ROW(G45:O45)),IF(ISNUMBER(MATCH('Final Data'!$A$5:$A$50,'Order By Sequence'!$A$2:$A$9,0)),MATCH('Final Data'!$A$5:$A$50,'Order By Sequence'!$A$2:$A$9,0),0),0),COLUMN(G45:O45)))</f>
        <v/>
      </c>
      <c r="H49" s="13" t="str">
        <f t="array" aca="1" ref="H49" ca="1">IF('Final Data'!H49="","",INDEX('Final Data'!$A$5:$I$50,MATCH(SMALL(IF(ISNUMBER(MATCH('Final Data'!$A$5:$A$50,'Order By Sequence'!$A$2:$A$9,0)),MATCH('Final Data'!$A$5:$A$50,'Order By Sequence'!$A$2:$A$9,0)),ROW(H45:P45)),IF(ISNUMBER(MATCH('Final Data'!$A$5:$A$50,'Order By Sequence'!$A$2:$A$9,0)),MATCH('Final Data'!$A$5:$A$50,'Order By Sequence'!$A$2:$A$9,0),0),0),COLUMN(H45:P45)))</f>
        <v/>
      </c>
      <c r="I49" s="13" t="str">
        <f t="array" aca="1" ref="I49" ca="1">IF('Final Data'!I49="","",INDEX('Final Data'!$A$5:$I$50,MATCH(SMALL(IF(ISNUMBER(MATCH('Final Data'!$A$5:$A$50,'Order By Sequence'!$A$2:$A$9,0)),MATCH('Final Data'!$A$5:$A$50,'Order By Sequence'!$A$2:$A$9,0)),ROW(I45:Q45)),IF(ISNUMBER(MATCH('Final Data'!$A$5:$A$50,'Order By Sequence'!$A$2:$A$9,0)),MATCH('Final Data'!$A$5:$A$50,'Order By Sequence'!$A$2:$A$9,0),0),0),COLUMN(I45:Q45)))</f>
        <v/>
      </c>
    </row>
    <row r="50" spans="1:9" x14ac:dyDescent="0.35">
      <c r="A50" s="13" t="str">
        <f t="array" aca="1" ref="A50" ca="1">IF('Final Data'!A50="","",INDEX('Final Data'!$A$5:$I$50,MATCH(SMALL(IF(ISNUMBER(MATCH('Final Data'!$A$5:$A$50,'Order By Sequence'!$A$2:$A$9,0)),MATCH('Final Data'!$A$5:$A$50,'Order By Sequence'!$A$2:$A$9,0)),ROW(A46:I46)),IF(ISNUMBER(MATCH('Final Data'!$A$5:$A$50,'Order By Sequence'!$A$2:$A$9,0)),MATCH('Final Data'!$A$5:$A$50,'Order By Sequence'!$A$2:$A$9,0),0),0),COLUMN(A46:I46)))</f>
        <v/>
      </c>
      <c r="B50" s="13" t="str">
        <f t="array" aca="1" ref="B50" ca="1">IF('Final Data'!B50="","",INDEX('Final Data'!$A$5:$I$50,MATCH(SMALL(IF(ISNUMBER(MATCH('Final Data'!$A$5:$A$50,'Order By Sequence'!$A$2:$A$9,0)),MATCH('Final Data'!$A$5:$A$50,'Order By Sequence'!$A$2:$A$9,0)),ROW(B46:J46)),IF(ISNUMBER(MATCH('Final Data'!$A$5:$A$50,'Order By Sequence'!$A$2:$A$9,0)),MATCH('Final Data'!$A$5:$A$50,'Order By Sequence'!$A$2:$A$9,0),0),0),COLUMN(B46:J46)))</f>
        <v/>
      </c>
      <c r="C50" s="13" t="str">
        <f t="array" aca="1" ref="C50" ca="1">IF('Final Data'!C50="","",INDEX('Final Data'!$A$5:$I$50,MATCH(SMALL(IF(ISNUMBER(MATCH('Final Data'!$A$5:$A$50,'Order By Sequence'!$A$2:$A$9,0)),MATCH('Final Data'!$A$5:$A$50,'Order By Sequence'!$A$2:$A$9,0)),ROW(C46:K46)),IF(ISNUMBER(MATCH('Final Data'!$A$5:$A$50,'Order By Sequence'!$A$2:$A$9,0)),MATCH('Final Data'!$A$5:$A$50,'Order By Sequence'!$A$2:$A$9,0),0),0),COLUMN(C46:K46)))</f>
        <v/>
      </c>
      <c r="D50" s="13" t="str">
        <f t="array" aca="1" ref="D50" ca="1">IF('Final Data'!D50="","",INDEX('Final Data'!$A$5:$I$50,MATCH(SMALL(IF(ISNUMBER(MATCH('Final Data'!$A$5:$A$50,'Order By Sequence'!$A$2:$A$9,0)),MATCH('Final Data'!$A$5:$A$50,'Order By Sequence'!$A$2:$A$9,0)),ROW(D46:L46)),IF(ISNUMBER(MATCH('Final Data'!$A$5:$A$50,'Order By Sequence'!$A$2:$A$9,0)),MATCH('Final Data'!$A$5:$A$50,'Order By Sequence'!$A$2:$A$9,0),0),0),COLUMN(D46:L46)))</f>
        <v/>
      </c>
      <c r="E50" s="13" t="str">
        <f t="array" aca="1" ref="E50" ca="1">IF('Final Data'!E50="","",INDEX('Final Data'!$A$5:$I$50,MATCH(SMALL(IF(ISNUMBER(MATCH('Final Data'!$A$5:$A$50,'Order By Sequence'!$A$2:$A$9,0)),MATCH('Final Data'!$A$5:$A$50,'Order By Sequence'!$A$2:$A$9,0)),ROW(E46:M46)),IF(ISNUMBER(MATCH('Final Data'!$A$5:$A$50,'Order By Sequence'!$A$2:$A$9,0)),MATCH('Final Data'!$A$5:$A$50,'Order By Sequence'!$A$2:$A$9,0),0),0),COLUMN(E46:M46)))</f>
        <v/>
      </c>
      <c r="F50" s="13" t="str">
        <f t="array" aca="1" ref="F50" ca="1">IF('Final Data'!F50="","",INDEX('Final Data'!$A$5:$I$50,MATCH(SMALL(IF(ISNUMBER(MATCH('Final Data'!$A$5:$A$50,'Order By Sequence'!$A$2:$A$9,0)),MATCH('Final Data'!$A$5:$A$50,'Order By Sequence'!$A$2:$A$9,0)),ROW(F46:N46)),IF(ISNUMBER(MATCH('Final Data'!$A$5:$A$50,'Order By Sequence'!$A$2:$A$9,0)),MATCH('Final Data'!$A$5:$A$50,'Order By Sequence'!$A$2:$A$9,0),0),0),COLUMN(F46:N46)))</f>
        <v/>
      </c>
      <c r="G50" s="13" t="str">
        <f t="array" aca="1" ref="G50" ca="1">IF('Final Data'!G50="","",INDEX('Final Data'!$A$5:$I$50,MATCH(SMALL(IF(ISNUMBER(MATCH('Final Data'!$A$5:$A$50,'Order By Sequence'!$A$2:$A$9,0)),MATCH('Final Data'!$A$5:$A$50,'Order By Sequence'!$A$2:$A$9,0)),ROW(G46:O46)),IF(ISNUMBER(MATCH('Final Data'!$A$5:$A$50,'Order By Sequence'!$A$2:$A$9,0)),MATCH('Final Data'!$A$5:$A$50,'Order By Sequence'!$A$2:$A$9,0),0),0),COLUMN(G46:O46)))</f>
        <v/>
      </c>
      <c r="H50" s="13" t="str">
        <f t="array" aca="1" ref="H50" ca="1">IF('Final Data'!H50="","",INDEX('Final Data'!$A$5:$I$50,MATCH(SMALL(IF(ISNUMBER(MATCH('Final Data'!$A$5:$A$50,'Order By Sequence'!$A$2:$A$9,0)),MATCH('Final Data'!$A$5:$A$50,'Order By Sequence'!$A$2:$A$9,0)),ROW(H46:P46)),IF(ISNUMBER(MATCH('Final Data'!$A$5:$A$50,'Order By Sequence'!$A$2:$A$9,0)),MATCH('Final Data'!$A$5:$A$50,'Order By Sequence'!$A$2:$A$9,0),0),0),COLUMN(H46:P46)))</f>
        <v/>
      </c>
      <c r="I50" s="13" t="str">
        <f t="array" aca="1" ref="I50" ca="1">IF('Final Data'!I50="","",INDEX('Final Data'!$A$5:$I$50,MATCH(SMALL(IF(ISNUMBER(MATCH('Final Data'!$A$5:$A$50,'Order By Sequence'!$A$2:$A$9,0)),MATCH('Final Data'!$A$5:$A$50,'Order By Sequence'!$A$2:$A$9,0)),ROW(I46:Q46)),IF(ISNUMBER(MATCH('Final Data'!$A$5:$A$50,'Order By Sequence'!$A$2:$A$9,0)),MATCH('Final Data'!$A$5:$A$50,'Order By Sequence'!$A$2:$A$9,0),0),0),COLUMN(I46:Q46)))</f>
        <v/>
      </c>
    </row>
  </sheetData>
  <mergeCells count="4"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22</vt:i4>
      </vt:variant>
    </vt:vector>
  </HeadingPairs>
  <TitlesOfParts>
    <vt:vector size="27" baseType="lpstr">
      <vt:lpstr>SalesforceData</vt:lpstr>
      <vt:lpstr>DataTransformation</vt:lpstr>
      <vt:lpstr>Final Data</vt:lpstr>
      <vt:lpstr>Order By Sequence</vt:lpstr>
      <vt:lpstr>Final Preview Data</vt:lpstr>
      <vt:lpstr>MassTableRange</vt:lpstr>
      <vt:lpstr>No_of_Periods</vt:lpstr>
      <vt:lpstr>Period_1</vt:lpstr>
      <vt:lpstr>Period_2</vt:lpstr>
      <vt:lpstr>Period_3</vt:lpstr>
      <vt:lpstr>Period_4</vt:lpstr>
      <vt:lpstr>Spec_Mass_and_Balance_Period</vt:lpstr>
      <vt:lpstr>Spec_Mass_and_Balance_Start</vt:lpstr>
      <vt:lpstr>Spec_Mass_and_Balance_Unit</vt:lpstr>
      <vt:lpstr>Spec_Mass_and_Balance_Unit_Alt</vt:lpstr>
      <vt:lpstr>Spec_Mass_and_Balance_Weight</vt:lpstr>
      <vt:lpstr>Spec_Mass_and_Balance_Weight_Alt</vt:lpstr>
      <vt:lpstr>Spec_Mass_and_Balance_Weight_Type</vt:lpstr>
      <vt:lpstr>Weight_Table_Data</vt:lpstr>
      <vt:lpstr>WeightAltUnit_1</vt:lpstr>
      <vt:lpstr>WeightAltUnit_2</vt:lpstr>
      <vt:lpstr>WeightAltUnit_3</vt:lpstr>
      <vt:lpstr>WeightAltUnit_4</vt:lpstr>
      <vt:lpstr>WeightUnit_1</vt:lpstr>
      <vt:lpstr>WeightUnit_2</vt:lpstr>
      <vt:lpstr>WeightUnit_3</vt:lpstr>
      <vt:lpstr>WeightUnit_4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lwadmin</dc:creator>
  <cp:lastModifiedBy>Kartik Jain</cp:lastModifiedBy>
  <dcterms:created xsi:type="dcterms:W3CDTF">2020-09-29T08:10:04Z</dcterms:created>
  <dcterms:modified xsi:type="dcterms:W3CDTF">2025-03-17T10:08:27Z</dcterms:modified>
</cp:coreProperties>
</file>