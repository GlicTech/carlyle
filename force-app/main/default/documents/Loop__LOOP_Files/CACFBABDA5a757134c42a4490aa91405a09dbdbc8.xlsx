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7CCA8605-4931-440B-A176-95ED0DD72DE4}" xr6:coauthVersionLast="47" xr6:coauthVersionMax="47" xr10:uidLastSave="{00000000-0000-0000-0000-000000000000}"/>
  <bookViews>
    <workbookView xWindow="-90" yWindow="-90" windowWidth="19380" windowHeight="1146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2" i="6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G17" i="4"/>
  <c r="G25" i="4"/>
  <c r="G33" i="4"/>
  <c r="G41" i="4"/>
  <c r="G49" i="4"/>
  <c r="G57" i="4"/>
  <c r="G65" i="4"/>
  <c r="G73" i="4"/>
  <c r="G81" i="4"/>
  <c r="G89" i="4"/>
  <c r="G97" i="4"/>
  <c r="F22" i="4"/>
  <c r="F30" i="4"/>
  <c r="F38" i="4"/>
  <c r="F46" i="4"/>
  <c r="F54" i="4"/>
  <c r="F62" i="4"/>
  <c r="F70" i="4"/>
  <c r="F78" i="4"/>
  <c r="F86" i="4"/>
  <c r="F94" i="4"/>
  <c r="E18" i="4"/>
  <c r="E26" i="4"/>
  <c r="E34" i="4"/>
  <c r="E42" i="4"/>
  <c r="E50" i="4"/>
  <c r="E58" i="4"/>
  <c r="E66" i="4"/>
  <c r="E74" i="4"/>
  <c r="E82" i="4"/>
  <c r="E90" i="4"/>
  <c r="E98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B9" i="4"/>
  <c r="C9" i="4" s="1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A3" i="4"/>
  <c r="G3" i="4" s="1"/>
  <c r="A4" i="4"/>
  <c r="A5" i="4"/>
  <c r="H5" i="4" s="1"/>
  <c r="A6" i="4"/>
  <c r="A7" i="4"/>
  <c r="A8" i="4"/>
  <c r="A9" i="4"/>
  <c r="A10" i="4"/>
  <c r="A11" i="4"/>
  <c r="G11" i="4" s="1"/>
  <c r="A12" i="4"/>
  <c r="H12" i="4" s="1"/>
  <c r="A13" i="4"/>
  <c r="A14" i="4"/>
  <c r="A15" i="4"/>
  <c r="A16" i="4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H2" i="4" s="1"/>
  <c r="B5" i="4" l="1"/>
  <c r="C5" i="4" s="1"/>
  <c r="F10" i="4"/>
  <c r="F8" i="4"/>
  <c r="E4" i="4"/>
  <c r="B6" i="4"/>
  <c r="E6" i="4" s="1"/>
  <c r="B2" i="4"/>
  <c r="F2" i="4" s="1"/>
  <c r="H11" i="4"/>
  <c r="H16" i="4"/>
  <c r="F9" i="4"/>
  <c r="H10" i="4"/>
  <c r="H15" i="4"/>
  <c r="H9" i="4"/>
  <c r="H8" i="4"/>
  <c r="B14" i="4"/>
  <c r="F14" i="4" s="1"/>
  <c r="H7" i="4"/>
  <c r="E5" i="4"/>
  <c r="D5" i="4" s="1"/>
  <c r="B13" i="4"/>
  <c r="C13" i="4" s="1"/>
  <c r="H6" i="4"/>
  <c r="H4" i="4"/>
  <c r="H3" i="4"/>
  <c r="G9" i="4"/>
  <c r="H14" i="4"/>
  <c r="E12" i="4"/>
  <c r="H13" i="4"/>
  <c r="B95" i="4"/>
  <c r="B87" i="4"/>
  <c r="B79" i="4"/>
  <c r="B71" i="4"/>
  <c r="B63" i="4"/>
  <c r="B55" i="4"/>
  <c r="B47" i="4"/>
  <c r="B39" i="4"/>
  <c r="B31" i="4"/>
  <c r="B23" i="4"/>
  <c r="B15" i="4"/>
  <c r="E15" i="4" s="1"/>
  <c r="B7" i="4"/>
  <c r="E7" i="4" s="1"/>
  <c r="C99" i="4"/>
  <c r="C91" i="4"/>
  <c r="C83" i="4"/>
  <c r="C75" i="4"/>
  <c r="C67" i="4"/>
  <c r="C59" i="4"/>
  <c r="C51" i="4"/>
  <c r="C43" i="4"/>
  <c r="C35" i="4"/>
  <c r="C27" i="4"/>
  <c r="C19" i="4"/>
  <c r="E99" i="4"/>
  <c r="E91" i="4"/>
  <c r="E83" i="4"/>
  <c r="E75" i="4"/>
  <c r="E67" i="4"/>
  <c r="E59" i="4"/>
  <c r="E51" i="4"/>
  <c r="E43" i="4"/>
  <c r="E35" i="4"/>
  <c r="E27" i="4"/>
  <c r="E19" i="4"/>
  <c r="F95" i="4"/>
  <c r="F87" i="4"/>
  <c r="F79" i="4"/>
  <c r="F71" i="4"/>
  <c r="F63" i="4"/>
  <c r="F55" i="4"/>
  <c r="F47" i="4"/>
  <c r="F39" i="4"/>
  <c r="F31" i="4"/>
  <c r="F23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D9" i="4" s="1"/>
  <c r="I9" i="4" s="1"/>
  <c r="F93" i="4"/>
  <c r="F85" i="4"/>
  <c r="F77" i="4"/>
  <c r="F69" i="4"/>
  <c r="F61" i="4"/>
  <c r="F53" i="4"/>
  <c r="F45" i="4"/>
  <c r="F37" i="4"/>
  <c r="F29" i="4"/>
  <c r="F21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F4" i="4" s="1"/>
  <c r="C96" i="4"/>
  <c r="C88" i="4"/>
  <c r="C80" i="4"/>
  <c r="C72" i="4"/>
  <c r="C64" i="4"/>
  <c r="C56" i="4"/>
  <c r="C48" i="4"/>
  <c r="C40" i="4"/>
  <c r="C32" i="4"/>
  <c r="C24" i="4"/>
  <c r="E96" i="4"/>
  <c r="E88" i="4"/>
  <c r="E80" i="4"/>
  <c r="E72" i="4"/>
  <c r="E64" i="4"/>
  <c r="E56" i="4"/>
  <c r="E48" i="4"/>
  <c r="E40" i="4"/>
  <c r="E32" i="4"/>
  <c r="E24" i="4"/>
  <c r="F100" i="4"/>
  <c r="F92" i="4"/>
  <c r="F84" i="4"/>
  <c r="F76" i="4"/>
  <c r="F68" i="4"/>
  <c r="F60" i="4"/>
  <c r="F52" i="4"/>
  <c r="F44" i="4"/>
  <c r="F36" i="4"/>
  <c r="F28" i="4"/>
  <c r="F20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E3" i="4" s="1"/>
  <c r="C95" i="4"/>
  <c r="C87" i="4"/>
  <c r="C79" i="4"/>
  <c r="C71" i="4"/>
  <c r="C63" i="4"/>
  <c r="C55" i="4"/>
  <c r="C47" i="4"/>
  <c r="C39" i="4"/>
  <c r="C31" i="4"/>
  <c r="C23" i="4"/>
  <c r="F99" i="4"/>
  <c r="F91" i="4"/>
  <c r="F83" i="4"/>
  <c r="F75" i="4"/>
  <c r="F67" i="4"/>
  <c r="F59" i="4"/>
  <c r="F51" i="4"/>
  <c r="F43" i="4"/>
  <c r="F35" i="4"/>
  <c r="F27" i="4"/>
  <c r="F19" i="4"/>
  <c r="F11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10" i="4" s="1"/>
  <c r="C94" i="4"/>
  <c r="C86" i="4"/>
  <c r="C78" i="4"/>
  <c r="C70" i="4"/>
  <c r="C62" i="4"/>
  <c r="C54" i="4"/>
  <c r="C46" i="4"/>
  <c r="C38" i="4"/>
  <c r="C30" i="4"/>
  <c r="C22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F16" i="4" s="1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I5" i="4" l="1"/>
  <c r="E10" i="4"/>
  <c r="D10" i="4" s="1"/>
  <c r="F6" i="4"/>
  <c r="F5" i="4"/>
  <c r="C4" i="4"/>
  <c r="I4" i="4" s="1"/>
  <c r="C14" i="4"/>
  <c r="C15" i="4"/>
  <c r="I10" i="4"/>
  <c r="C7" i="4"/>
  <c r="C6" i="4"/>
  <c r="F3" i="4"/>
  <c r="C2" i="4"/>
  <c r="E2" i="4"/>
  <c r="D2" i="4" s="1"/>
  <c r="D12" i="4"/>
  <c r="F7" i="4"/>
  <c r="D4" i="4"/>
  <c r="C8" i="4"/>
  <c r="E11" i="4"/>
  <c r="D11" i="4" s="1"/>
  <c r="F12" i="4"/>
  <c r="E8" i="4"/>
  <c r="D8" i="4" s="1"/>
  <c r="F15" i="4"/>
  <c r="D6" i="4"/>
  <c r="I15" i="4"/>
  <c r="E14" i="4"/>
  <c r="D14" i="4" s="1"/>
  <c r="I14" i="4" s="1"/>
  <c r="E16" i="4"/>
  <c r="C16" i="4"/>
  <c r="F13" i="4"/>
  <c r="C3" i="4"/>
  <c r="C11" i="4"/>
  <c r="D3" i="4"/>
  <c r="D7" i="4"/>
  <c r="D15" i="4"/>
  <c r="D16" i="4"/>
  <c r="E13" i="4"/>
  <c r="D13" i="4" s="1"/>
  <c r="I13" i="4" s="1"/>
  <c r="I7" i="4" l="1"/>
  <c r="I12" i="4"/>
  <c r="I2" i="4"/>
  <c r="J2" i="4" s="1"/>
  <c r="K2" i="4" s="1"/>
  <c r="I8" i="4"/>
  <c r="I11" i="4"/>
  <c r="I3" i="4"/>
  <c r="I16" i="4"/>
  <c r="I6" i="4"/>
  <c r="J11" i="4" l="1"/>
  <c r="K11" i="4" s="1"/>
  <c r="J4" i="4"/>
  <c r="K4" i="4" s="1"/>
  <c r="J5" i="4"/>
  <c r="K5" i="4" s="1"/>
  <c r="J9" i="4"/>
  <c r="K9" i="4" s="1"/>
  <c r="J6" i="4"/>
  <c r="K6" i="4" s="1"/>
  <c r="J14" i="4"/>
  <c r="K14" i="4" s="1"/>
  <c r="J15" i="4"/>
  <c r="K15" i="4" s="1"/>
  <c r="J8" i="4"/>
  <c r="K8" i="4" s="1"/>
  <c r="J3" i="4"/>
  <c r="K3" i="4" s="1"/>
  <c r="J16" i="4"/>
  <c r="K16" i="4" s="1"/>
  <c r="J10" i="4"/>
  <c r="K10" i="4" s="1"/>
  <c r="J12" i="4"/>
  <c r="K12" i="4" s="1"/>
  <c r="J7" i="4"/>
  <c r="K7" i="4" s="1"/>
  <c r="J13" i="4"/>
  <c r="K13" i="4" s="1"/>
  <c r="A63" i="5" l="1"/>
  <c r="A37" i="5"/>
  <c r="A46" i="5"/>
  <c r="A57" i="5"/>
  <c r="A50" i="5"/>
  <c r="H50" i="5" s="1" a="1"/>
  <c r="H50" i="5" s="1"/>
  <c r="A49" i="5"/>
  <c r="A87" i="5"/>
  <c r="I87" i="5" s="1" a="1"/>
  <c r="I87" i="5" s="1"/>
  <c r="A92" i="5"/>
  <c r="I92" i="5" s="1" a="1"/>
  <c r="I92" i="5" s="1"/>
  <c r="A12" i="5"/>
  <c r="A47" i="5"/>
  <c r="B47" i="5" s="1" a="1"/>
  <c r="B47" i="5" s="1"/>
  <c r="A19" i="5"/>
  <c r="A59" i="5"/>
  <c r="E59" i="5" s="1" a="1"/>
  <c r="E59" i="5" s="1"/>
  <c r="A13" i="5"/>
  <c r="A79" i="5"/>
  <c r="A3" i="5"/>
  <c r="E3" i="5" s="1" a="1"/>
  <c r="E3" i="5" s="1"/>
  <c r="A90" i="5"/>
  <c r="A31" i="5"/>
  <c r="I31" i="5" s="1" a="1"/>
  <c r="I31" i="5" s="1"/>
  <c r="A55" i="5"/>
  <c r="G55" i="5" s="1" a="1"/>
  <c r="G55" i="5" s="1"/>
  <c r="A14" i="5"/>
  <c r="E14" i="5" s="1" a="1"/>
  <c r="E14" i="5" s="1"/>
  <c r="A16" i="5"/>
  <c r="D16" i="5" s="1" a="1"/>
  <c r="D16" i="5" s="1"/>
  <c r="A88" i="5"/>
  <c r="A30" i="5"/>
  <c r="B30" i="5" s="1" a="1"/>
  <c r="B30" i="5" s="1"/>
  <c r="A4" i="5"/>
  <c r="I4" i="5" s="1" a="1"/>
  <c r="I4" i="5" s="1"/>
  <c r="A32" i="5"/>
  <c r="H32" i="5" s="1" a="1"/>
  <c r="H32" i="5" s="1"/>
  <c r="A36" i="5"/>
  <c r="A45" i="5"/>
  <c r="A85" i="5"/>
  <c r="E85" i="5" s="1" a="1"/>
  <c r="E85" i="5" s="1"/>
  <c r="A9" i="5"/>
  <c r="A72" i="5"/>
  <c r="E72" i="5" s="1" a="1"/>
  <c r="E72" i="5" s="1"/>
  <c r="A48" i="5"/>
  <c r="G48" i="5" s="1" a="1"/>
  <c r="G48" i="5" s="1"/>
  <c r="A40" i="5"/>
  <c r="I40" i="5" s="1" a="1"/>
  <c r="I40" i="5" s="1"/>
  <c r="A97" i="5"/>
  <c r="G97" i="5" s="1" a="1"/>
  <c r="G97" i="5" s="1"/>
  <c r="A73" i="5"/>
  <c r="A94" i="5"/>
  <c r="F94" i="5" s="1" a="1"/>
  <c r="F94" i="5" s="1"/>
  <c r="A21" i="5"/>
  <c r="F21" i="5" s="1" a="1"/>
  <c r="F21" i="5" s="1"/>
  <c r="A22" i="5"/>
  <c r="I22" i="5" s="1" a="1"/>
  <c r="I22" i="5" s="1"/>
  <c r="A76" i="5"/>
  <c r="A61" i="5"/>
  <c r="A11" i="5"/>
  <c r="G11" i="5" s="1" a="1"/>
  <c r="G11" i="5" s="1"/>
  <c r="A34" i="5"/>
  <c r="H34" i="5" s="1" a="1"/>
  <c r="H34" i="5" s="1"/>
  <c r="A39" i="5"/>
  <c r="C39" i="5" s="1" a="1"/>
  <c r="C39" i="5" s="1"/>
  <c r="A91" i="5"/>
  <c r="H91" i="5" s="1" a="1"/>
  <c r="H91" i="5" s="1"/>
  <c r="A86" i="5"/>
  <c r="F86" i="5" s="1" a="1"/>
  <c r="F86" i="5" s="1"/>
  <c r="A10" i="5"/>
  <c r="E10" i="5" s="1" a="1"/>
  <c r="E10" i="5" s="1"/>
  <c r="A44" i="5"/>
  <c r="A26" i="5"/>
  <c r="C26" i="5" s="1" a="1"/>
  <c r="C26" i="5" s="1"/>
  <c r="A84" i="5"/>
  <c r="A54" i="5"/>
  <c r="E54" i="5" s="1" a="1"/>
  <c r="E54" i="5" s="1"/>
  <c r="A64" i="5"/>
  <c r="A51" i="5"/>
  <c r="A60" i="5"/>
  <c r="G60" i="5" s="1" a="1"/>
  <c r="G60" i="5" s="1"/>
  <c r="A28" i="5"/>
  <c r="H28" i="5" s="1" a="1"/>
  <c r="H28" i="5" s="1"/>
  <c r="A53" i="5"/>
  <c r="H53" i="5" s="1" a="1"/>
  <c r="H53" i="5" s="1"/>
  <c r="A83" i="5"/>
  <c r="E83" i="5" s="1" a="1"/>
  <c r="E83" i="5" s="1"/>
  <c r="A58" i="5"/>
  <c r="D58" i="5" s="1" a="1"/>
  <c r="D58" i="5" s="1"/>
  <c r="A18" i="5"/>
  <c r="C18" i="5" s="1" a="1"/>
  <c r="C18" i="5" s="1"/>
  <c r="A98" i="5"/>
  <c r="A78" i="5"/>
  <c r="F78" i="5" s="1" a="1"/>
  <c r="F78" i="5" s="1"/>
  <c r="A24" i="5"/>
  <c r="C24" i="5" s="1" a="1"/>
  <c r="C24" i="5" s="1"/>
  <c r="A70" i="5"/>
  <c r="I70" i="5" s="1" a="1"/>
  <c r="I70" i="5" s="1"/>
  <c r="A38" i="5"/>
  <c r="C38" i="5" s="1" a="1"/>
  <c r="C38" i="5" s="1"/>
  <c r="A77" i="5"/>
  <c r="E77" i="5" s="1" a="1"/>
  <c r="E77" i="5" s="1"/>
  <c r="A74" i="5"/>
  <c r="G74" i="5" s="1" a="1"/>
  <c r="G74" i="5" s="1"/>
  <c r="A62" i="5"/>
  <c r="B62" i="5" s="1" a="1"/>
  <c r="B62" i="5" s="1"/>
  <c r="A81" i="5"/>
  <c r="F81" i="5" s="1" a="1"/>
  <c r="F81" i="5" s="1"/>
  <c r="A80" i="5"/>
  <c r="F80" i="5" s="1" a="1"/>
  <c r="F80" i="5" s="1"/>
  <c r="A99" i="5"/>
  <c r="I99" i="5" s="1" a="1"/>
  <c r="I99" i="5" s="1"/>
  <c r="A33" i="5"/>
  <c r="H33" i="5" s="1" a="1"/>
  <c r="H33" i="5" s="1"/>
  <c r="A68" i="5"/>
  <c r="A71" i="5"/>
  <c r="I71" i="5" s="1" a="1"/>
  <c r="I71" i="5" s="1"/>
  <c r="A75" i="5"/>
  <c r="A43" i="5"/>
  <c r="I43" i="5" s="1" a="1"/>
  <c r="I43" i="5" s="1"/>
  <c r="A2" i="5"/>
  <c r="H2" i="5" s="1" a="1"/>
  <c r="H2" i="5" s="1"/>
  <c r="A15" i="5"/>
  <c r="A66" i="5"/>
  <c r="F66" i="5" s="1" a="1"/>
  <c r="F66" i="5" s="1"/>
  <c r="A52" i="5"/>
  <c r="A25" i="5"/>
  <c r="B25" i="5" s="1" a="1"/>
  <c r="B25" i="5" s="1"/>
  <c r="A5" i="5"/>
  <c r="G5" i="5" s="1" a="1"/>
  <c r="G5" i="5" s="1"/>
  <c r="A41" i="5"/>
  <c r="C41" i="5" s="1" a="1"/>
  <c r="C41" i="5" s="1"/>
  <c r="A35" i="5"/>
  <c r="D35" i="5" s="1" a="1"/>
  <c r="D35" i="5" s="1"/>
  <c r="A56" i="5"/>
  <c r="A96" i="5"/>
  <c r="F96" i="5" s="1" a="1"/>
  <c r="F96" i="5" s="1"/>
  <c r="A95" i="5"/>
  <c r="A67" i="5"/>
  <c r="I67" i="5" s="1" a="1"/>
  <c r="I67" i="5" s="1"/>
  <c r="A8" i="5"/>
  <c r="A65" i="5"/>
  <c r="A23" i="5"/>
  <c r="F23" i="5" s="1" a="1"/>
  <c r="F23" i="5" s="1"/>
  <c r="A29" i="5"/>
  <c r="A17" i="5"/>
  <c r="C17" i="5" s="1" a="1"/>
  <c r="C17" i="5" s="1"/>
  <c r="A89" i="5"/>
  <c r="D89" i="5" s="1" a="1"/>
  <c r="D89" i="5" s="1"/>
  <c r="A6" i="5"/>
  <c r="B6" i="5" s="1" a="1"/>
  <c r="B6" i="5" s="1"/>
  <c r="A82" i="5"/>
  <c r="I82" i="5" s="1" a="1"/>
  <c r="I82" i="5" s="1"/>
  <c r="A27" i="5"/>
  <c r="A20" i="5"/>
  <c r="F20" i="5" s="1" a="1"/>
  <c r="F20" i="5" s="1"/>
  <c r="A93" i="5"/>
  <c r="A42" i="5"/>
  <c r="H42" i="5" s="1" a="1"/>
  <c r="H42" i="5" s="1"/>
  <c r="A7" i="5"/>
  <c r="A100" i="5"/>
  <c r="A69" i="5"/>
  <c r="E69" i="5" s="1" a="1"/>
  <c r="E69" i="5" s="1"/>
  <c r="I47" i="5" a="1"/>
  <c r="I47" i="5" s="1"/>
  <c r="F47" i="5" a="1"/>
  <c r="F47" i="5" s="1"/>
  <c r="C47" i="5" a="1"/>
  <c r="C47" i="5" s="1"/>
  <c r="I79" i="5" a="1"/>
  <c r="I7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B79" i="5" a="1"/>
  <c r="B79" i="5" s="1"/>
  <c r="C79" i="5" a="1"/>
  <c r="C79" i="5" s="1"/>
  <c r="G4" i="5" a="1"/>
  <c r="G4" i="5" s="1"/>
  <c r="B4" i="5" a="1"/>
  <c r="B4" i="5" s="1"/>
  <c r="E4" i="5" a="1"/>
  <c r="E4" i="5" s="1"/>
  <c r="C4" i="5" a="1"/>
  <c r="C4" i="5" s="1"/>
  <c r="D38" i="5" a="1"/>
  <c r="D38" i="5" s="1"/>
  <c r="G38" i="5" a="1"/>
  <c r="G38" i="5" s="1"/>
  <c r="H38" i="5" a="1"/>
  <c r="H38" i="5" s="1"/>
  <c r="B38" i="5" a="1"/>
  <c r="B38" i="5" s="1"/>
  <c r="F38" i="5" a="1"/>
  <c r="F38" i="5" s="1"/>
  <c r="E38" i="5" a="1"/>
  <c r="E38" i="5" s="1"/>
  <c r="I12" i="5" a="1"/>
  <c r="I12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I88" i="5" a="1"/>
  <c r="I88" i="5" s="1"/>
  <c r="H88" i="5" a="1"/>
  <c r="H88" i="5" s="1"/>
  <c r="D88" i="5" a="1"/>
  <c r="D88" i="5" s="1"/>
  <c r="F88" i="5" a="1"/>
  <c r="F88" i="5" s="1"/>
  <c r="E88" i="5" a="1"/>
  <c r="E88" i="5" s="1"/>
  <c r="G88" i="5" a="1"/>
  <c r="G88" i="5" s="1"/>
  <c r="B88" i="5" a="1"/>
  <c r="B88" i="5" s="1"/>
  <c r="I19" i="5" a="1"/>
  <c r="I19" i="5" s="1"/>
  <c r="G19" i="5" a="1"/>
  <c r="G19" i="5" s="1"/>
  <c r="D19" i="5" a="1"/>
  <c r="D19" i="5" s="1"/>
  <c r="E19" i="5" a="1"/>
  <c r="E19" i="5" s="1"/>
  <c r="H19" i="5" a="1"/>
  <c r="H19" i="5" s="1"/>
  <c r="C19" i="5" a="1"/>
  <c r="C19" i="5" s="1"/>
  <c r="F19" i="5" a="1"/>
  <c r="F19" i="5" s="1"/>
  <c r="B19" i="5" a="1"/>
  <c r="B19" i="5" s="1"/>
  <c r="G94" i="5" a="1"/>
  <c r="G94" i="5" s="1"/>
  <c r="I73" i="5" a="1"/>
  <c r="I73" i="5" s="1"/>
  <c r="G73" i="5" a="1"/>
  <c r="G73" i="5" s="1"/>
  <c r="F73" i="5" a="1"/>
  <c r="F73" i="5" s="1"/>
  <c r="C73" i="5" a="1"/>
  <c r="C73" i="5" s="1"/>
  <c r="B73" i="5" a="1"/>
  <c r="B73" i="5" s="1"/>
  <c r="H73" i="5" a="1"/>
  <c r="H73" i="5" s="1"/>
  <c r="E73" i="5" a="1"/>
  <c r="E73" i="5" s="1"/>
  <c r="D73" i="5" a="1"/>
  <c r="D73" i="5" s="1"/>
  <c r="H92" i="5" a="1"/>
  <c r="H92" i="5" s="1"/>
  <c r="F92" i="5" a="1"/>
  <c r="F92" i="5" s="1"/>
  <c r="E92" i="5" a="1"/>
  <c r="E92" i="5" s="1"/>
  <c r="I13" i="5" a="1"/>
  <c r="I13" i="5" s="1"/>
  <c r="C13" i="5" a="1"/>
  <c r="C13" i="5" s="1"/>
  <c r="F13" i="5" a="1"/>
  <c r="F13" i="5" s="1"/>
  <c r="H13" i="5" a="1"/>
  <c r="H13" i="5" s="1"/>
  <c r="B13" i="5" a="1"/>
  <c r="B13" i="5" s="1"/>
  <c r="E13" i="5" a="1"/>
  <c r="E13" i="5" s="1"/>
  <c r="G13" i="5" a="1"/>
  <c r="G13" i="5" s="1"/>
  <c r="D13" i="5" a="1"/>
  <c r="D13" i="5" s="1"/>
  <c r="E62" i="5" a="1"/>
  <c r="E62" i="5" s="1"/>
  <c r="F62" i="5" a="1"/>
  <c r="F62" i="5" s="1"/>
  <c r="I77" i="5" a="1"/>
  <c r="I77" i="5" s="1"/>
  <c r="D77" i="5" a="1"/>
  <c r="D77" i="5" s="1"/>
  <c r="F77" i="5" a="1"/>
  <c r="F77" i="5" s="1"/>
  <c r="G77" i="5" a="1"/>
  <c r="G77" i="5" s="1"/>
  <c r="H77" i="5" a="1"/>
  <c r="H77" i="5" s="1"/>
  <c r="B77" i="5" a="1"/>
  <c r="B77" i="5" s="1"/>
  <c r="F59" i="5" a="1"/>
  <c r="F59" i="5" s="1"/>
  <c r="I21" i="5" a="1"/>
  <c r="I21" i="5" s="1"/>
  <c r="H21" i="5" a="1"/>
  <c r="H21" i="5" s="1"/>
  <c r="E21" i="5" a="1"/>
  <c r="E21" i="5" s="1"/>
  <c r="G21" i="5" a="1"/>
  <c r="G21" i="5" s="1"/>
  <c r="C21" i="5" a="1"/>
  <c r="C21" i="5" s="1"/>
  <c r="D21" i="5" a="1"/>
  <c r="D21" i="5" s="1"/>
  <c r="I78" i="5" a="1"/>
  <c r="I78" i="5" s="1"/>
  <c r="G78" i="5" a="1"/>
  <c r="G78" i="5" s="1"/>
  <c r="H78" i="5" a="1"/>
  <c r="H78" i="5" s="1"/>
  <c r="C14" i="5" a="1"/>
  <c r="C14" i="5" s="1"/>
  <c r="D72" i="5" a="1"/>
  <c r="D72" i="5" s="1"/>
  <c r="B72" i="5" a="1"/>
  <c r="B72" i="5" s="1"/>
  <c r="I24" i="5" a="1"/>
  <c r="I24" i="5" s="1"/>
  <c r="B24" i="5" a="1"/>
  <c r="B24" i="5" s="1"/>
  <c r="G24" i="5" a="1"/>
  <c r="G24" i="5" s="1"/>
  <c r="D24" i="5" a="1"/>
  <c r="D24" i="5" s="1"/>
  <c r="E24" i="5" a="1"/>
  <c r="E24" i="5" s="1"/>
  <c r="H24" i="5" a="1"/>
  <c r="H24" i="5" s="1"/>
  <c r="F24" i="5" a="1"/>
  <c r="F24" i="5" s="1"/>
  <c r="E2" i="5" a="1"/>
  <c r="E2" i="5" s="1"/>
  <c r="D2" i="5" a="1"/>
  <c r="D2" i="5" s="1"/>
  <c r="I2" i="5" a="1"/>
  <c r="I2" i="5" s="1"/>
  <c r="J2" i="5" s="1"/>
  <c r="F2" i="5" a="1"/>
  <c r="F2" i="5" s="1"/>
  <c r="G2" i="5" a="1"/>
  <c r="G2" i="5" s="1"/>
  <c r="B2" i="5" a="1"/>
  <c r="B2" i="5" s="1"/>
  <c r="E32" i="5" a="1"/>
  <c r="E32" i="5" s="1"/>
  <c r="I76" i="5" a="1"/>
  <c r="I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76" i="5" a="1"/>
  <c r="H76" i="5" s="1"/>
  <c r="I36" i="5" a="1"/>
  <c r="I36" i="5" s="1"/>
  <c r="H36" i="5" a="1"/>
  <c r="H36" i="5" s="1"/>
  <c r="B36" i="5" a="1"/>
  <c r="B36" i="5" s="1"/>
  <c r="E36" i="5" a="1"/>
  <c r="E36" i="5" s="1"/>
  <c r="F36" i="5" a="1"/>
  <c r="F36" i="5" s="1"/>
  <c r="C36" i="5" a="1"/>
  <c r="C36" i="5" s="1"/>
  <c r="D36" i="5" a="1"/>
  <c r="D36" i="5" s="1"/>
  <c r="G36" i="5" a="1"/>
  <c r="G36" i="5" s="1"/>
  <c r="I61" i="5" a="1"/>
  <c r="I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61" i="5" a="1"/>
  <c r="H61" i="5" s="1"/>
  <c r="E61" i="5" a="1"/>
  <c r="E61" i="5" s="1"/>
  <c r="I11" i="5" a="1"/>
  <c r="I11" i="5" s="1"/>
  <c r="D11" i="5" a="1"/>
  <c r="D11" i="5" s="1"/>
  <c r="B11" i="5" a="1"/>
  <c r="B11" i="5" s="1"/>
  <c r="C11" i="5" a="1"/>
  <c r="C11" i="5" s="1"/>
  <c r="F11" i="5" a="1"/>
  <c r="F11" i="5" s="1"/>
  <c r="I34" i="5" a="1"/>
  <c r="I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I39" i="5" a="1"/>
  <c r="I39" i="5" s="1"/>
  <c r="G39" i="5" a="1"/>
  <c r="G39" i="5" s="1"/>
  <c r="I91" i="5" a="1"/>
  <c r="I91" i="5" s="1"/>
  <c r="F91" i="5" a="1"/>
  <c r="F91" i="5" s="1"/>
  <c r="G91" i="5" a="1"/>
  <c r="G91" i="5" s="1"/>
  <c r="I86" i="5" a="1"/>
  <c r="I86" i="5" s="1"/>
  <c r="I10" i="5" a="1"/>
  <c r="I10" i="5" s="1"/>
  <c r="G10" i="5" a="1"/>
  <c r="G10" i="5" s="1"/>
  <c r="H10" i="5" a="1"/>
  <c r="H10" i="5" s="1"/>
  <c r="D10" i="5" a="1"/>
  <c r="D10" i="5" s="1"/>
  <c r="I45" i="5" a="1"/>
  <c r="I45" i="5" s="1"/>
  <c r="E45" i="5" a="1"/>
  <c r="E45" i="5" s="1"/>
  <c r="D45" i="5" a="1"/>
  <c r="D45" i="5" s="1"/>
  <c r="G45" i="5" a="1"/>
  <c r="G45" i="5" s="1"/>
  <c r="H45" i="5" a="1"/>
  <c r="H45" i="5" s="1"/>
  <c r="B45" i="5" a="1"/>
  <c r="B45" i="5" s="1"/>
  <c r="C45" i="5" a="1"/>
  <c r="C45" i="5" s="1"/>
  <c r="F45" i="5" a="1"/>
  <c r="F45" i="5" s="1"/>
  <c r="I44" i="5" a="1"/>
  <c r="I44" i="5" s="1"/>
  <c r="F44" i="5" a="1"/>
  <c r="F44" i="5" s="1"/>
  <c r="D44" i="5" a="1"/>
  <c r="D44" i="5" s="1"/>
  <c r="E44" i="5" a="1"/>
  <c r="E44" i="5" s="1"/>
  <c r="G44" i="5" a="1"/>
  <c r="G44" i="5" s="1"/>
  <c r="C44" i="5" a="1"/>
  <c r="C44" i="5" s="1"/>
  <c r="H44" i="5" a="1"/>
  <c r="H44" i="5" s="1"/>
  <c r="B44" i="5" a="1"/>
  <c r="B44" i="5" s="1"/>
  <c r="I26" i="5" a="1"/>
  <c r="I26" i="5" s="1"/>
  <c r="E26" i="5" a="1"/>
  <c r="E26" i="5" s="1"/>
  <c r="F26" i="5" a="1"/>
  <c r="F26" i="5" s="1"/>
  <c r="D26" i="5" a="1"/>
  <c r="D26" i="5" s="1"/>
  <c r="I84" i="5" a="1"/>
  <c r="I84" i="5" s="1"/>
  <c r="G84" i="5" a="1"/>
  <c r="G84" i="5" s="1"/>
  <c r="C84" i="5" a="1"/>
  <c r="C84" i="5" s="1"/>
  <c r="F84" i="5" a="1"/>
  <c r="F84" i="5" s="1"/>
  <c r="H84" i="5" a="1"/>
  <c r="H84" i="5" s="1"/>
  <c r="D84" i="5" a="1"/>
  <c r="D84" i="5" s="1"/>
  <c r="E84" i="5" a="1"/>
  <c r="E84" i="5" s="1"/>
  <c r="B84" i="5" a="1"/>
  <c r="B84" i="5" s="1"/>
  <c r="H54" i="5" a="1"/>
  <c r="H54" i="5" s="1"/>
  <c r="I64" i="5" a="1"/>
  <c r="I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D64" i="5" a="1"/>
  <c r="D64" i="5" s="1"/>
  <c r="C64" i="5" a="1"/>
  <c r="C64" i="5" s="1"/>
  <c r="I51" i="5" a="1"/>
  <c r="I51" i="5" s="1"/>
  <c r="G51" i="5" a="1"/>
  <c r="G51" i="5" s="1"/>
  <c r="F51" i="5" a="1"/>
  <c r="F51" i="5" s="1"/>
  <c r="B51" i="5" a="1"/>
  <c r="B51" i="5" s="1"/>
  <c r="H51" i="5" a="1"/>
  <c r="H51" i="5" s="1"/>
  <c r="E51" i="5" a="1"/>
  <c r="E51" i="5" s="1"/>
  <c r="C51" i="5" a="1"/>
  <c r="C51" i="5" s="1"/>
  <c r="D51" i="5" a="1"/>
  <c r="D51" i="5" s="1"/>
  <c r="I60" i="5" a="1"/>
  <c r="I60" i="5" s="1"/>
  <c r="H60" i="5" a="1"/>
  <c r="H60" i="5" s="1"/>
  <c r="I28" i="5" a="1"/>
  <c r="I28" i="5" s="1"/>
  <c r="B28" i="5" a="1"/>
  <c r="B28" i="5" s="1"/>
  <c r="C28" i="5" a="1"/>
  <c r="C28" i="5" s="1"/>
  <c r="G28" i="5" a="1"/>
  <c r="G28" i="5" s="1"/>
  <c r="F28" i="5" a="1"/>
  <c r="F28" i="5" s="1"/>
  <c r="E28" i="5" a="1"/>
  <c r="E28" i="5" s="1"/>
  <c r="D28" i="5" a="1"/>
  <c r="D28" i="5" s="1"/>
  <c r="B81" i="5" a="1"/>
  <c r="B81" i="5" s="1"/>
  <c r="C81" i="5" a="1"/>
  <c r="C81" i="5" s="1"/>
  <c r="E81" i="5" a="1"/>
  <c r="E81" i="5" s="1"/>
  <c r="D81" i="5" a="1"/>
  <c r="D81" i="5" s="1"/>
  <c r="I80" i="5" a="1"/>
  <c r="I80" i="5" s="1"/>
  <c r="G80" i="5" a="1"/>
  <c r="G80" i="5" s="1"/>
  <c r="H99" i="5" a="1"/>
  <c r="H99" i="5" s="1"/>
  <c r="F99" i="5" a="1"/>
  <c r="F99" i="5" s="1"/>
  <c r="D33" i="5" a="1"/>
  <c r="D33" i="5" s="1"/>
  <c r="E33" i="5" a="1"/>
  <c r="E33" i="5" s="1"/>
  <c r="C33" i="5" a="1"/>
  <c r="C33" i="5" s="1"/>
  <c r="I68" i="5" a="1"/>
  <c r="I68" i="5" s="1"/>
  <c r="E68" i="5" a="1"/>
  <c r="E68" i="5" s="1"/>
  <c r="F68" i="5" a="1"/>
  <c r="F68" i="5" s="1"/>
  <c r="C68" i="5" a="1"/>
  <c r="C68" i="5" s="1"/>
  <c r="B68" i="5" a="1"/>
  <c r="B68" i="5" s="1"/>
  <c r="H68" i="5" a="1"/>
  <c r="H68" i="5" s="1"/>
  <c r="G68" i="5" a="1"/>
  <c r="G68" i="5" s="1"/>
  <c r="D68" i="5" a="1"/>
  <c r="D68" i="5" s="1"/>
  <c r="H71" i="5" a="1"/>
  <c r="H71" i="5" s="1"/>
  <c r="D71" i="5" a="1"/>
  <c r="D71" i="5" s="1"/>
  <c r="B71" i="5" a="1"/>
  <c r="B71" i="5" s="1"/>
  <c r="F71" i="5" a="1"/>
  <c r="F71" i="5" s="1"/>
  <c r="I75" i="5" a="1"/>
  <c r="I75" i="5" s="1"/>
  <c r="D75" i="5" a="1"/>
  <c r="D75" i="5" s="1"/>
  <c r="H75" i="5" a="1"/>
  <c r="H75" i="5" s="1"/>
  <c r="E75" i="5" a="1"/>
  <c r="E75" i="5" s="1"/>
  <c r="B75" i="5" a="1"/>
  <c r="B75" i="5" s="1"/>
  <c r="G75" i="5" a="1"/>
  <c r="G75" i="5" s="1"/>
  <c r="C75" i="5" a="1"/>
  <c r="C75" i="5" s="1"/>
  <c r="F75" i="5" a="1"/>
  <c r="F75" i="5" s="1"/>
  <c r="I53" i="5" a="1"/>
  <c r="I53" i="5" s="1"/>
  <c r="G53" i="5" a="1"/>
  <c r="G53" i="5" s="1"/>
  <c r="B53" i="5" a="1"/>
  <c r="B53" i="5" s="1"/>
  <c r="D53" i="5" a="1"/>
  <c r="D53" i="5" s="1"/>
  <c r="I57" i="5" a="1"/>
  <c r="I57" i="5" s="1"/>
  <c r="D57" i="5" a="1"/>
  <c r="D57" i="5" s="1"/>
  <c r="C57" i="5" a="1"/>
  <c r="C57" i="5" s="1"/>
  <c r="B57" i="5" a="1"/>
  <c r="B57" i="5" s="1"/>
  <c r="H57" i="5" a="1"/>
  <c r="H57" i="5" s="1"/>
  <c r="E57" i="5" a="1"/>
  <c r="E57" i="5" s="1"/>
  <c r="F57" i="5" a="1"/>
  <c r="F57" i="5" s="1"/>
  <c r="G57" i="5" a="1"/>
  <c r="G57" i="5" s="1"/>
  <c r="I3" i="5" a="1"/>
  <c r="I3" i="5" s="1"/>
  <c r="F3" i="5" a="1"/>
  <c r="F3" i="5" s="1"/>
  <c r="D3" i="5" a="1"/>
  <c r="D3" i="5" s="1"/>
  <c r="I15" i="5" a="1"/>
  <c r="I15" i="5" s="1"/>
  <c r="C15" i="5" a="1"/>
  <c r="C15" i="5" s="1"/>
  <c r="B15" i="5" a="1"/>
  <c r="B15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H83" i="5" a="1"/>
  <c r="H83" i="5" s="1"/>
  <c r="B83" i="5" a="1"/>
  <c r="B83" i="5" s="1"/>
  <c r="D83" i="5" a="1"/>
  <c r="D83" i="5" s="1"/>
  <c r="C83" i="5" a="1"/>
  <c r="C83" i="5" s="1"/>
  <c r="I50" i="5" a="1"/>
  <c r="I50" i="5" s="1"/>
  <c r="B50" i="5" a="1"/>
  <c r="B50" i="5" s="1"/>
  <c r="F50" i="5" a="1"/>
  <c r="F50" i="5" s="1"/>
  <c r="C50" i="5" a="1"/>
  <c r="C50" i="5" s="1"/>
  <c r="D50" i="5" a="1"/>
  <c r="D50" i="5" s="1"/>
  <c r="E50" i="5" a="1"/>
  <c r="E50" i="5" s="1"/>
  <c r="I90" i="5" a="1"/>
  <c r="I90" i="5" s="1"/>
  <c r="G90" i="5" a="1"/>
  <c r="G90" i="5" s="1"/>
  <c r="D90" i="5" a="1"/>
  <c r="D90" i="5" s="1"/>
  <c r="F90" i="5" a="1"/>
  <c r="F90" i="5" s="1"/>
  <c r="E90" i="5" a="1"/>
  <c r="E90" i="5" s="1"/>
  <c r="H90" i="5" a="1"/>
  <c r="H90" i="5" s="1"/>
  <c r="B90" i="5" a="1"/>
  <c r="B90" i="5" s="1"/>
  <c r="H58" i="5" a="1"/>
  <c r="H58" i="5" s="1"/>
  <c r="I66" i="5" a="1"/>
  <c r="I66" i="5" s="1"/>
  <c r="H66" i="5" a="1"/>
  <c r="H66" i="5" s="1"/>
  <c r="E66" i="5" a="1"/>
  <c r="E66" i="5" s="1"/>
  <c r="D66" i="5" a="1"/>
  <c r="D66" i="5" s="1"/>
  <c r="H31" i="5" a="1"/>
  <c r="H31" i="5" s="1"/>
  <c r="F31" i="5" a="1"/>
  <c r="F31" i="5" s="1"/>
  <c r="E31" i="5" a="1"/>
  <c r="E31" i="5" s="1"/>
  <c r="G31" i="5" a="1"/>
  <c r="G31" i="5" s="1"/>
  <c r="D31" i="5" a="1"/>
  <c r="D31" i="5" s="1"/>
  <c r="C31" i="5" a="1"/>
  <c r="C31" i="5" s="1"/>
  <c r="F18" i="5" a="1"/>
  <c r="F18" i="5" s="1"/>
  <c r="B18" i="5" a="1"/>
  <c r="B18" i="5" s="1"/>
  <c r="E18" i="5" a="1"/>
  <c r="E18" i="5" s="1"/>
  <c r="I85" i="5" a="1"/>
  <c r="I85" i="5" s="1"/>
  <c r="B85" i="5" a="1"/>
  <c r="B85" i="5" s="1"/>
  <c r="C85" i="5" a="1"/>
  <c r="C85" i="5" s="1"/>
  <c r="G85" i="5" a="1"/>
  <c r="G85" i="5" s="1"/>
  <c r="I98" i="5" a="1"/>
  <c r="I98" i="5" s="1"/>
  <c r="D98" i="5" a="1"/>
  <c r="D98" i="5" s="1"/>
  <c r="H98" i="5" a="1"/>
  <c r="H98" i="5" s="1"/>
  <c r="F98" i="5" a="1"/>
  <c r="F98" i="5" s="1"/>
  <c r="E98" i="5" a="1"/>
  <c r="E98" i="5" s="1"/>
  <c r="G98" i="5" a="1"/>
  <c r="G98" i="5" s="1"/>
  <c r="B98" i="5" a="1"/>
  <c r="B98" i="5" s="1"/>
  <c r="H55" i="5" a="1"/>
  <c r="H55" i="5" s="1"/>
  <c r="E55" i="5" a="1"/>
  <c r="E55" i="5" s="1"/>
  <c r="D55" i="5" a="1"/>
  <c r="D55" i="5" s="1"/>
  <c r="F55" i="5" a="1"/>
  <c r="F55" i="5" s="1"/>
  <c r="B55" i="5" a="1"/>
  <c r="B55" i="5" s="1"/>
  <c r="C55" i="5" a="1"/>
  <c r="C55" i="5" s="1"/>
  <c r="I9" i="5" a="1"/>
  <c r="I9" i="5" s="1"/>
  <c r="E9" i="5" a="1"/>
  <c r="E9" i="5" s="1"/>
  <c r="D9" i="5" a="1"/>
  <c r="D9" i="5" s="1"/>
  <c r="G9" i="5" a="1"/>
  <c r="G9" i="5" s="1"/>
  <c r="F9" i="5" a="1"/>
  <c r="F9" i="5" s="1"/>
  <c r="H9" i="5" a="1"/>
  <c r="H9" i="5" s="1"/>
  <c r="B9" i="5" a="1"/>
  <c r="B9" i="5" s="1"/>
  <c r="C9" i="5" a="1"/>
  <c r="C9" i="5" s="1"/>
  <c r="I49" i="5" a="1"/>
  <c r="I49" i="5" s="1"/>
  <c r="C49" i="5" a="1"/>
  <c r="C49" i="5" s="1"/>
  <c r="E49" i="5" a="1"/>
  <c r="E49" i="5" s="1"/>
  <c r="F49" i="5" a="1"/>
  <c r="F49" i="5" s="1"/>
  <c r="B49" i="5" a="1"/>
  <c r="B49" i="5" s="1"/>
  <c r="D49" i="5" a="1"/>
  <c r="D49" i="5" s="1"/>
  <c r="G49" i="5" a="1"/>
  <c r="G49" i="5" s="1"/>
  <c r="H49" i="5" a="1"/>
  <c r="H49" i="5" s="1"/>
  <c r="H48" i="5" a="1"/>
  <c r="H48" i="5" s="1"/>
  <c r="F48" i="5" a="1"/>
  <c r="F48" i="5" s="1"/>
  <c r="E48" i="5" a="1"/>
  <c r="E48" i="5" s="1"/>
  <c r="D48" i="5" a="1"/>
  <c r="D48" i="5" s="1"/>
  <c r="B48" i="5" a="1"/>
  <c r="B48" i="5" s="1"/>
  <c r="C48" i="5" a="1"/>
  <c r="C48" i="5" s="1"/>
  <c r="I16" i="5" a="1"/>
  <c r="I16" i="5" s="1"/>
  <c r="F16" i="5" a="1"/>
  <c r="F16" i="5" s="1"/>
  <c r="H16" i="5" a="1"/>
  <c r="H16" i="5" s="1"/>
  <c r="E16" i="5" a="1"/>
  <c r="E16" i="5" s="1"/>
  <c r="I52" i="5" a="1"/>
  <c r="I52" i="5" s="1"/>
  <c r="C52" i="5" a="1"/>
  <c r="C52" i="5" s="1"/>
  <c r="B52" i="5" a="1"/>
  <c r="B52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25" i="5" a="1"/>
  <c r="C25" i="5" s="1"/>
  <c r="E25" i="5" a="1"/>
  <c r="E25" i="5" s="1"/>
  <c r="I5" i="5" a="1"/>
  <c r="I5" i="5" s="1"/>
  <c r="H5" i="5" a="1"/>
  <c r="H5" i="5" s="1"/>
  <c r="E5" i="5" a="1"/>
  <c r="E5" i="5" s="1"/>
  <c r="F5" i="5" a="1"/>
  <c r="F5" i="5" s="1"/>
  <c r="D5" i="5" a="1"/>
  <c r="D5" i="5" s="1"/>
  <c r="E41" i="5" a="1"/>
  <c r="E41" i="5" s="1"/>
  <c r="D41" i="5" a="1"/>
  <c r="D41" i="5" s="1"/>
  <c r="G41" i="5" a="1"/>
  <c r="G41" i="5" s="1"/>
  <c r="F35" i="5" a="1"/>
  <c r="F35" i="5" s="1"/>
  <c r="I56" i="5" a="1"/>
  <c r="I56" i="5" s="1"/>
  <c r="D56" i="5" a="1"/>
  <c r="D56" i="5" s="1"/>
  <c r="F56" i="5" a="1"/>
  <c r="F56" i="5" s="1"/>
  <c r="H56" i="5" a="1"/>
  <c r="H56" i="5" s="1"/>
  <c r="G56" i="5" a="1"/>
  <c r="G56" i="5" s="1"/>
  <c r="E56" i="5" a="1"/>
  <c r="E56" i="5" s="1"/>
  <c r="B56" i="5" a="1"/>
  <c r="B56" i="5" s="1"/>
  <c r="C56" i="5" a="1"/>
  <c r="C56" i="5" s="1"/>
  <c r="I96" i="5" a="1"/>
  <c r="I96" i="5" s="1"/>
  <c r="B96" i="5" a="1"/>
  <c r="B96" i="5" s="1"/>
  <c r="E96" i="5" a="1"/>
  <c r="E96" i="5" s="1"/>
  <c r="D96" i="5" a="1"/>
  <c r="D96" i="5" s="1"/>
  <c r="I95" i="5" a="1"/>
  <c r="I95" i="5" s="1"/>
  <c r="D95" i="5" a="1"/>
  <c r="D95" i="5" s="1"/>
  <c r="B95" i="5" a="1"/>
  <c r="B95" i="5" s="1"/>
  <c r="H95" i="5" a="1"/>
  <c r="H95" i="5" s="1"/>
  <c r="F95" i="5" a="1"/>
  <c r="F95" i="5" s="1"/>
  <c r="G95" i="5" a="1"/>
  <c r="G95" i="5" s="1"/>
  <c r="E95" i="5" a="1"/>
  <c r="E95" i="5" s="1"/>
  <c r="I63" i="5" a="1"/>
  <c r="I63" i="5" s="1"/>
  <c r="F63" i="5" a="1"/>
  <c r="F63" i="5" s="1"/>
  <c r="H63" i="5" a="1"/>
  <c r="H63" i="5" s="1"/>
  <c r="E63" i="5" a="1"/>
  <c r="E63" i="5" s="1"/>
  <c r="C63" i="5" a="1"/>
  <c r="C63" i="5" s="1"/>
  <c r="B63" i="5" a="1"/>
  <c r="B63" i="5" s="1"/>
  <c r="D63" i="5" a="1"/>
  <c r="D63" i="5" s="1"/>
  <c r="G63" i="5" a="1"/>
  <c r="G63" i="5" s="1"/>
  <c r="I8" i="5" a="1"/>
  <c r="I8" i="5" s="1"/>
  <c r="H8" i="5" a="1"/>
  <c r="H8" i="5" s="1"/>
  <c r="E8" i="5" a="1"/>
  <c r="E8" i="5" s="1"/>
  <c r="B8" i="5" a="1"/>
  <c r="B8" i="5" s="1"/>
  <c r="C8" i="5" a="1"/>
  <c r="C8" i="5" s="1"/>
  <c r="F8" i="5" a="1"/>
  <c r="F8" i="5" s="1"/>
  <c r="G8" i="5" a="1"/>
  <c r="G8" i="5" s="1"/>
  <c r="D8" i="5" a="1"/>
  <c r="D8" i="5" s="1"/>
  <c r="I65" i="5" a="1"/>
  <c r="I65" i="5" s="1"/>
  <c r="B65" i="5" a="1"/>
  <c r="B65" i="5" s="1"/>
  <c r="C65" i="5" a="1"/>
  <c r="C65" i="5" s="1"/>
  <c r="D65" i="5" a="1"/>
  <c r="D65" i="5" s="1"/>
  <c r="G65" i="5" a="1"/>
  <c r="G65" i="5" s="1"/>
  <c r="F65" i="5" a="1"/>
  <c r="F65" i="5" s="1"/>
  <c r="H65" i="5" a="1"/>
  <c r="H65" i="5" s="1"/>
  <c r="E65" i="5" a="1"/>
  <c r="E65" i="5" s="1"/>
  <c r="I23" i="5" a="1"/>
  <c r="I23" i="5" s="1"/>
  <c r="B23" i="5" a="1"/>
  <c r="B23" i="5" s="1"/>
  <c r="H23" i="5" a="1"/>
  <c r="H23" i="5" s="1"/>
  <c r="D23" i="5" a="1"/>
  <c r="D23" i="5" s="1"/>
  <c r="C23" i="5" a="1"/>
  <c r="C23" i="5" s="1"/>
  <c r="I29" i="5" a="1"/>
  <c r="I29" i="5" s="1"/>
  <c r="D29" i="5" a="1"/>
  <c r="D29" i="5" s="1"/>
  <c r="B29" i="5" a="1"/>
  <c r="B29" i="5" s="1"/>
  <c r="G29" i="5" a="1"/>
  <c r="G29" i="5" s="1"/>
  <c r="C29" i="5" a="1"/>
  <c r="C29" i="5" s="1"/>
  <c r="E29" i="5" a="1"/>
  <c r="E29" i="5" s="1"/>
  <c r="F29" i="5" a="1"/>
  <c r="F29" i="5" s="1"/>
  <c r="H29" i="5" a="1"/>
  <c r="H29" i="5" s="1"/>
  <c r="I17" i="5" a="1"/>
  <c r="I17" i="5" s="1"/>
  <c r="G17" i="5" a="1"/>
  <c r="G17" i="5" s="1"/>
  <c r="B17" i="5" a="1"/>
  <c r="B17" i="5" s="1"/>
  <c r="E89" i="5" a="1"/>
  <c r="E89" i="5" s="1"/>
  <c r="F89" i="5" a="1"/>
  <c r="F89" i="5" s="1"/>
  <c r="G89" i="5" a="1"/>
  <c r="G89" i="5" s="1"/>
  <c r="H89" i="5" a="1"/>
  <c r="H89" i="5" s="1"/>
  <c r="B89" i="5" a="1"/>
  <c r="B89" i="5" s="1"/>
  <c r="H6" i="5" a="1"/>
  <c r="H6" i="5" s="1"/>
  <c r="I46" i="5" a="1"/>
  <c r="I46" i="5" s="1"/>
  <c r="F46" i="5" a="1"/>
  <c r="F46" i="5" s="1"/>
  <c r="B46" i="5" a="1"/>
  <c r="B46" i="5" s="1"/>
  <c r="D46" i="5" a="1"/>
  <c r="D46" i="5" s="1"/>
  <c r="C46" i="5" a="1"/>
  <c r="C46" i="5" s="1"/>
  <c r="E46" i="5" a="1"/>
  <c r="E46" i="5" s="1"/>
  <c r="G46" i="5" a="1"/>
  <c r="G46" i="5" s="1"/>
  <c r="H46" i="5" a="1"/>
  <c r="H46" i="5" s="1"/>
  <c r="D82" i="5" a="1"/>
  <c r="D82" i="5" s="1"/>
  <c r="B82" i="5" a="1"/>
  <c r="B82" i="5" s="1"/>
  <c r="H82" i="5" a="1"/>
  <c r="H82" i="5" s="1"/>
  <c r="G82" i="5" a="1"/>
  <c r="G82" i="5" s="1"/>
  <c r="F82" i="5" a="1"/>
  <c r="F82" i="5" s="1"/>
  <c r="I27" i="5" a="1"/>
  <c r="I27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C27" i="5" a="1"/>
  <c r="C27" i="5" s="1"/>
  <c r="B27" i="5" a="1"/>
  <c r="B27" i="5" s="1"/>
  <c r="I20" i="5" a="1"/>
  <c r="I20" i="5" s="1"/>
  <c r="J20" i="5" s="1"/>
  <c r="K20" i="5" s="1"/>
  <c r="A20" i="6" s="1"/>
  <c r="H20" i="5" a="1"/>
  <c r="H20" i="5" s="1"/>
  <c r="G20" i="5" a="1"/>
  <c r="G20" i="5" s="1"/>
  <c r="B20" i="5" a="1"/>
  <c r="B20" i="5" s="1"/>
  <c r="I93" i="5" a="1"/>
  <c r="I93" i="5" s="1"/>
  <c r="E93" i="5" a="1"/>
  <c r="E93" i="5" s="1"/>
  <c r="H93" i="5" a="1"/>
  <c r="H93" i="5" s="1"/>
  <c r="D93" i="5" a="1"/>
  <c r="D93" i="5" s="1"/>
  <c r="B93" i="5" a="1"/>
  <c r="B93" i="5" s="1"/>
  <c r="F93" i="5" a="1"/>
  <c r="F93" i="5" s="1"/>
  <c r="G93" i="5" a="1"/>
  <c r="G93" i="5" s="1"/>
  <c r="F42" i="5" a="1"/>
  <c r="F42" i="5" s="1"/>
  <c r="I7" i="5" a="1"/>
  <c r="I7" i="5" s="1"/>
  <c r="G7" i="5" a="1"/>
  <c r="G7" i="5" s="1"/>
  <c r="F7" i="5" a="1"/>
  <c r="F7" i="5" s="1"/>
  <c r="B7" i="5" a="1"/>
  <c r="B7" i="5" s="1"/>
  <c r="E7" i="5" a="1"/>
  <c r="E7" i="5" s="1"/>
  <c r="D7" i="5" a="1"/>
  <c r="D7" i="5" s="1"/>
  <c r="H7" i="5" a="1"/>
  <c r="H7" i="5" s="1"/>
  <c r="C7" i="5" a="1"/>
  <c r="C7" i="5" s="1"/>
  <c r="I100" i="5" a="1"/>
  <c r="I100" i="5" s="1"/>
  <c r="H100" i="5" a="1"/>
  <c r="H100" i="5" s="1"/>
  <c r="B100" i="5" a="1"/>
  <c r="B100" i="5" s="1"/>
  <c r="F100" i="5" a="1"/>
  <c r="F100" i="5" s="1"/>
  <c r="D100" i="5" a="1"/>
  <c r="D100" i="5" s="1"/>
  <c r="G100" i="5" a="1"/>
  <c r="G100" i="5" s="1"/>
  <c r="E100" i="5" a="1"/>
  <c r="E100" i="5" s="1"/>
  <c r="I69" i="5" a="1"/>
  <c r="I69" i="5" s="1"/>
  <c r="G69" i="5" a="1"/>
  <c r="G69" i="5" s="1"/>
  <c r="F69" i="5" a="1"/>
  <c r="F69" i="5" s="1"/>
  <c r="I37" i="5" a="1"/>
  <c r="I37" i="5" s="1"/>
  <c r="J37" i="5" s="1"/>
  <c r="K37" i="5" s="1"/>
  <c r="A37" i="6" s="1"/>
  <c r="H37" i="5" a="1"/>
  <c r="H37" i="5" s="1"/>
  <c r="E37" i="5" a="1"/>
  <c r="E37" i="5" s="1"/>
  <c r="F37" i="5" a="1"/>
  <c r="F37" i="5" s="1"/>
  <c r="G37" i="5" a="1"/>
  <c r="G37" i="5" s="1"/>
  <c r="D37" i="5" a="1"/>
  <c r="D37" i="5" s="1"/>
  <c r="B37" i="5" a="1"/>
  <c r="B37" i="5" s="1"/>
  <c r="C37" i="5" a="1"/>
  <c r="C37" i="5" s="1"/>
  <c r="G42" i="5" l="1" a="1"/>
  <c r="G42" i="5" s="1"/>
  <c r="D54" i="5" a="1"/>
  <c r="D54" i="5" s="1"/>
  <c r="I32" i="5" a="1"/>
  <c r="I32" i="5" s="1"/>
  <c r="H59" i="5" a="1"/>
  <c r="H59" i="5" s="1"/>
  <c r="B42" i="5" a="1"/>
  <c r="B42" i="5" s="1"/>
  <c r="G54" i="5" a="1"/>
  <c r="G54" i="5" s="1"/>
  <c r="E70" i="5" a="1"/>
  <c r="E70" i="5" s="1"/>
  <c r="D59" i="5" a="1"/>
  <c r="D59" i="5" s="1"/>
  <c r="C42" i="5" a="1"/>
  <c r="C42" i="5" s="1"/>
  <c r="I54" i="5" a="1"/>
  <c r="I54" i="5" s="1"/>
  <c r="C70" i="5" a="1"/>
  <c r="C70" i="5" s="1"/>
  <c r="G59" i="5" a="1"/>
  <c r="G59" i="5" s="1"/>
  <c r="C67" i="5" a="1"/>
  <c r="C67" i="5" s="1"/>
  <c r="D43" i="5" a="1"/>
  <c r="D43" i="5" s="1"/>
  <c r="B70" i="5" a="1"/>
  <c r="B70" i="5" s="1"/>
  <c r="C59" i="5" a="1"/>
  <c r="C59" i="5" s="1"/>
  <c r="E22" i="5" a="1"/>
  <c r="E22" i="5" s="1"/>
  <c r="B67" i="5" a="1"/>
  <c r="B67" i="5" s="1"/>
  <c r="D42" i="5" a="1"/>
  <c r="D42" i="5" s="1"/>
  <c r="E42" i="5" a="1"/>
  <c r="E42" i="5" s="1"/>
  <c r="H43" i="5" a="1"/>
  <c r="H43" i="5" s="1"/>
  <c r="D70" i="5" a="1"/>
  <c r="D70" i="5" s="1"/>
  <c r="B59" i="5" a="1"/>
  <c r="B59" i="5" s="1"/>
  <c r="F22" i="5" a="1"/>
  <c r="F22" i="5" s="1"/>
  <c r="D67" i="5" a="1"/>
  <c r="D67" i="5" s="1"/>
  <c r="B43" i="5" a="1"/>
  <c r="B43" i="5" s="1"/>
  <c r="F32" i="5" a="1"/>
  <c r="F32" i="5" s="1"/>
  <c r="H70" i="5" a="1"/>
  <c r="H70" i="5" s="1"/>
  <c r="I59" i="5" a="1"/>
  <c r="I59" i="5" s="1"/>
  <c r="H22" i="5" a="1"/>
  <c r="H22" i="5" s="1"/>
  <c r="E67" i="5" a="1"/>
  <c r="E67" i="5" s="1"/>
  <c r="G43" i="5" a="1"/>
  <c r="G43" i="5" s="1"/>
  <c r="B32" i="5" a="1"/>
  <c r="B32" i="5" s="1"/>
  <c r="G70" i="5" a="1"/>
  <c r="G70" i="5" s="1"/>
  <c r="D22" i="5" a="1"/>
  <c r="D22" i="5" s="1"/>
  <c r="G67" i="5" a="1"/>
  <c r="G67" i="5" s="1"/>
  <c r="I42" i="5" a="1"/>
  <c r="I42" i="5" s="1"/>
  <c r="J43" i="5" s="1"/>
  <c r="K43" i="5" s="1"/>
  <c r="A43" i="6" s="1"/>
  <c r="E43" i="5" a="1"/>
  <c r="E43" i="5" s="1"/>
  <c r="C54" i="5" a="1"/>
  <c r="C54" i="5" s="1"/>
  <c r="C32" i="5" a="1"/>
  <c r="C32" i="5" s="1"/>
  <c r="F70" i="5" a="1"/>
  <c r="F70" i="5" s="1"/>
  <c r="B22" i="5" a="1"/>
  <c r="B22" i="5" s="1"/>
  <c r="F67" i="5" a="1"/>
  <c r="F67" i="5" s="1"/>
  <c r="C43" i="5" a="1"/>
  <c r="C43" i="5" s="1"/>
  <c r="B54" i="5" a="1"/>
  <c r="B54" i="5" s="1"/>
  <c r="D32" i="5" a="1"/>
  <c r="D32" i="5" s="1"/>
  <c r="G22" i="5" a="1"/>
  <c r="G22" i="5" s="1"/>
  <c r="F43" i="5" a="1"/>
  <c r="F43" i="5" s="1"/>
  <c r="F54" i="5" a="1"/>
  <c r="F54" i="5" s="1"/>
  <c r="G32" i="5" a="1"/>
  <c r="G32" i="5" s="1"/>
  <c r="C22" i="5" a="1"/>
  <c r="C22" i="5" s="1"/>
  <c r="H80" i="5" a="1"/>
  <c r="H80" i="5" s="1"/>
  <c r="B21" i="5" a="1"/>
  <c r="B21" i="5" s="1"/>
  <c r="I62" i="5" a="1"/>
  <c r="I62" i="5" s="1"/>
  <c r="J63" i="5" s="1"/>
  <c r="K63" i="5" s="1"/>
  <c r="A63" i="6" s="1"/>
  <c r="D4" i="5" a="1"/>
  <c r="D4" i="5" s="1"/>
  <c r="G81" i="5" a="1"/>
  <c r="G81" i="5" s="1"/>
  <c r="E60" i="5" a="1"/>
  <c r="E60" i="5" s="1"/>
  <c r="B91" i="5" a="1"/>
  <c r="B91" i="5" s="1"/>
  <c r="C72" i="5" a="1"/>
  <c r="C72" i="5" s="1"/>
  <c r="C77" i="5" a="1"/>
  <c r="C77" i="5" s="1"/>
  <c r="H4" i="5" a="1"/>
  <c r="H4" i="5" s="1"/>
  <c r="K2" i="5"/>
  <c r="J91" i="5"/>
  <c r="K91" i="5" s="1"/>
  <c r="A91" i="6" s="1"/>
  <c r="H62" i="5" a="1"/>
  <c r="H62" i="5" s="1"/>
  <c r="J5" i="5"/>
  <c r="I89" i="5" a="1"/>
  <c r="I89" i="5" s="1"/>
  <c r="H25" i="5" a="1"/>
  <c r="H25" i="5" s="1"/>
  <c r="G83" i="5" a="1"/>
  <c r="G83" i="5" s="1"/>
  <c r="C53" i="5" a="1"/>
  <c r="C53" i="5" s="1"/>
  <c r="D99" i="5" a="1"/>
  <c r="D99" i="5" s="1"/>
  <c r="H81" i="5" a="1"/>
  <c r="H81" i="5" s="1"/>
  <c r="D91" i="5" a="1"/>
  <c r="D91" i="5" s="1"/>
  <c r="C2" i="5" a="1"/>
  <c r="C2" i="5" s="1"/>
  <c r="G62" i="5" a="1"/>
  <c r="G62" i="5" s="1"/>
  <c r="F4" i="5" a="1"/>
  <c r="F4" i="5" s="1"/>
  <c r="D62" i="5" a="1"/>
  <c r="D62" i="5" s="1"/>
  <c r="D74" i="5" a="1"/>
  <c r="D74" i="5" s="1"/>
  <c r="C62" i="5" a="1"/>
  <c r="C62" i="5" s="1"/>
  <c r="I74" i="5" a="1"/>
  <c r="I74" i="5" s="1"/>
  <c r="J71" i="5"/>
  <c r="K71" i="5" s="1"/>
  <c r="A71" i="6" s="1"/>
  <c r="J3" i="5"/>
  <c r="D17" i="5" a="1"/>
  <c r="D17" i="5" s="1"/>
  <c r="E23" i="5" a="1"/>
  <c r="E23" i="5" s="1"/>
  <c r="G35" i="5" a="1"/>
  <c r="G35" i="5" s="1"/>
  <c r="D25" i="5" a="1"/>
  <c r="D25" i="5" s="1"/>
  <c r="J16" i="5"/>
  <c r="K16" i="5" s="1"/>
  <c r="I83" i="5" a="1"/>
  <c r="I83" i="5" s="1"/>
  <c r="E53" i="5" a="1"/>
  <c r="E53" i="5" s="1"/>
  <c r="D80" i="5" a="1"/>
  <c r="D80" i="5" s="1"/>
  <c r="E39" i="5" a="1"/>
  <c r="E39" i="5" s="1"/>
  <c r="H11" i="5" a="1"/>
  <c r="H11" i="5" s="1"/>
  <c r="H94" i="5" a="1"/>
  <c r="H94" i="5" s="1"/>
  <c r="J76" i="5"/>
  <c r="K76" i="5" s="1"/>
  <c r="A76" i="6" s="1"/>
  <c r="J22" i="5"/>
  <c r="K22" i="5" s="1"/>
  <c r="A22" i="6" s="1"/>
  <c r="J52" i="5"/>
  <c r="K52" i="5" s="1"/>
  <c r="A52" i="6" s="1"/>
  <c r="E91" i="5" a="1"/>
  <c r="E91" i="5" s="1"/>
  <c r="D40" i="5" a="1"/>
  <c r="D40" i="5" s="1"/>
  <c r="C86" i="5" a="1"/>
  <c r="C86" i="5" s="1"/>
  <c r="G30" i="5" a="1"/>
  <c r="G30" i="5" s="1"/>
  <c r="G58" i="5" a="1"/>
  <c r="G58" i="5" s="1"/>
  <c r="J11" i="5"/>
  <c r="K11" i="5" s="1"/>
  <c r="J88" i="5"/>
  <c r="K88" i="5" s="1"/>
  <c r="A88" i="6" s="1"/>
  <c r="J79" i="5"/>
  <c r="K79" i="5" s="1"/>
  <c r="A79" i="6" s="1"/>
  <c r="B69" i="5" a="1"/>
  <c r="B69" i="5" s="1"/>
  <c r="M69" i="5" s="1"/>
  <c r="C69" i="6" s="1"/>
  <c r="C20" i="5" a="1"/>
  <c r="C20" i="5" s="1"/>
  <c r="D6" i="5" a="1"/>
  <c r="D6" i="5" s="1"/>
  <c r="F17" i="5" a="1"/>
  <c r="F17" i="5" s="1"/>
  <c r="C35" i="5" a="1"/>
  <c r="C35" i="5" s="1"/>
  <c r="B5" i="5" a="1"/>
  <c r="B5" i="5" s="1"/>
  <c r="O5" i="5" s="1"/>
  <c r="G25" i="5" a="1"/>
  <c r="G25" i="5" s="1"/>
  <c r="G16" i="5" a="1"/>
  <c r="G16" i="5" s="1"/>
  <c r="D85" i="5" a="1"/>
  <c r="D85" i="5" s="1"/>
  <c r="D18" i="5" a="1"/>
  <c r="D18" i="5" s="1"/>
  <c r="C66" i="5" a="1"/>
  <c r="C66" i="5" s="1"/>
  <c r="B58" i="5" a="1"/>
  <c r="B58" i="5" s="1"/>
  <c r="F83" i="5" a="1"/>
  <c r="F83" i="5" s="1"/>
  <c r="G3" i="5" a="1"/>
  <c r="G3" i="5" s="1"/>
  <c r="F33" i="5" a="1"/>
  <c r="F33" i="5" s="1"/>
  <c r="B80" i="5" a="1"/>
  <c r="B80" i="5" s="1"/>
  <c r="N80" i="5" s="1"/>
  <c r="I81" i="5" a="1"/>
  <c r="I81" i="5" s="1"/>
  <c r="J81" i="5" s="1"/>
  <c r="K81" i="5" s="1"/>
  <c r="A81" i="6" s="1"/>
  <c r="D60" i="5" a="1"/>
  <c r="D60" i="5" s="1"/>
  <c r="J45" i="5"/>
  <c r="K45" i="5" s="1"/>
  <c r="A45" i="6" s="1"/>
  <c r="H86" i="5" a="1"/>
  <c r="H86" i="5" s="1"/>
  <c r="F39" i="5" a="1"/>
  <c r="F39" i="5" s="1"/>
  <c r="F72" i="5" a="1"/>
  <c r="F72" i="5" s="1"/>
  <c r="C78" i="5" a="1"/>
  <c r="C78" i="5" s="1"/>
  <c r="E87" i="5" a="1"/>
  <c r="E87" i="5" s="1"/>
  <c r="I94" i="5" a="1"/>
  <c r="I94" i="5" s="1"/>
  <c r="J94" i="5" s="1"/>
  <c r="K94" i="5" s="1"/>
  <c r="A94" i="6" s="1"/>
  <c r="E74" i="5" a="1"/>
  <c r="E74" i="5" s="1"/>
  <c r="D30" i="5" a="1"/>
  <c r="D30" i="5" s="1"/>
  <c r="G47" i="5" a="1"/>
  <c r="G47" i="5" s="1"/>
  <c r="H97" i="5" a="1"/>
  <c r="H97" i="5" s="1"/>
  <c r="F97" i="5" a="1"/>
  <c r="F97" i="5" s="1"/>
  <c r="C69" i="5" a="1"/>
  <c r="C69" i="5" s="1"/>
  <c r="B66" i="5" a="1"/>
  <c r="B66" i="5" s="1"/>
  <c r="M66" i="5" s="1"/>
  <c r="C66" i="6" s="1"/>
  <c r="H3" i="5" a="1"/>
  <c r="H3" i="5" s="1"/>
  <c r="I33" i="5" a="1"/>
  <c r="I33" i="5" s="1"/>
  <c r="J33" i="5" s="1"/>
  <c r="K33" i="5" s="1"/>
  <c r="A33" i="6" s="1"/>
  <c r="C60" i="5" a="1"/>
  <c r="C60" i="5" s="1"/>
  <c r="B26" i="5" a="1"/>
  <c r="B26" i="5" s="1"/>
  <c r="N26" i="5" s="1"/>
  <c r="B10" i="5" a="1"/>
  <c r="B10" i="5" s="1"/>
  <c r="L10" i="5" s="1"/>
  <c r="E86" i="5" a="1"/>
  <c r="E86" i="5" s="1"/>
  <c r="H39" i="5" a="1"/>
  <c r="H39" i="5" s="1"/>
  <c r="H72" i="5" a="1"/>
  <c r="H72" i="5" s="1"/>
  <c r="E78" i="5" a="1"/>
  <c r="E78" i="5" s="1"/>
  <c r="D87" i="5" a="1"/>
  <c r="D87" i="5" s="1"/>
  <c r="F74" i="5" a="1"/>
  <c r="F74" i="5" s="1"/>
  <c r="H30" i="5" a="1"/>
  <c r="H30" i="5" s="1"/>
  <c r="D47" i="5" a="1"/>
  <c r="D47" i="5" s="1"/>
  <c r="E97" i="5" a="1"/>
  <c r="E97" i="5" s="1"/>
  <c r="J100" i="5"/>
  <c r="K100" i="5" s="1"/>
  <c r="A100" i="6" s="1"/>
  <c r="G33" i="5" a="1"/>
  <c r="G33" i="5" s="1"/>
  <c r="F6" i="5" a="1"/>
  <c r="F6" i="5" s="1"/>
  <c r="B16" i="5" a="1"/>
  <c r="B16" i="5" s="1"/>
  <c r="N16" i="5" s="1"/>
  <c r="F85" i="5" a="1"/>
  <c r="F85" i="5" s="1"/>
  <c r="G18" i="5" a="1"/>
  <c r="G18" i="5" s="1"/>
  <c r="C58" i="5" a="1"/>
  <c r="C58" i="5" s="1"/>
  <c r="D69" i="5" a="1"/>
  <c r="D69" i="5" s="1"/>
  <c r="D20" i="5" a="1"/>
  <c r="D20" i="5" s="1"/>
  <c r="E17" i="5" a="1"/>
  <c r="E17" i="5" s="1"/>
  <c r="G23" i="5" a="1"/>
  <c r="G23" i="5" s="1"/>
  <c r="E35" i="5" a="1"/>
  <c r="E35" i="5" s="1"/>
  <c r="C5" i="5" a="1"/>
  <c r="C5" i="5" s="1"/>
  <c r="F25" i="5" a="1"/>
  <c r="F25" i="5" s="1"/>
  <c r="C16" i="5" a="1"/>
  <c r="C16" i="5" s="1"/>
  <c r="H85" i="5" a="1"/>
  <c r="H85" i="5" s="1"/>
  <c r="I18" i="5" a="1"/>
  <c r="I18" i="5" s="1"/>
  <c r="G66" i="5" a="1"/>
  <c r="G66" i="5" s="1"/>
  <c r="I58" i="5" a="1"/>
  <c r="I58" i="5" s="1"/>
  <c r="J58" i="5" s="1"/>
  <c r="K58" i="5" s="1"/>
  <c r="A58" i="6" s="1"/>
  <c r="C3" i="5" a="1"/>
  <c r="C3" i="5" s="1"/>
  <c r="F53" i="5" a="1"/>
  <c r="F53" i="5" s="1"/>
  <c r="E71" i="5" a="1"/>
  <c r="E71" i="5" s="1"/>
  <c r="B99" i="5" a="1"/>
  <c r="B99" i="5" s="1"/>
  <c r="L99" i="5" s="1"/>
  <c r="E80" i="5" a="1"/>
  <c r="E80" i="5" s="1"/>
  <c r="B60" i="5" a="1"/>
  <c r="B60" i="5" s="1"/>
  <c r="P60" i="5" s="1"/>
  <c r="G26" i="5" a="1"/>
  <c r="G26" i="5" s="1"/>
  <c r="C10" i="5" a="1"/>
  <c r="C10" i="5" s="1"/>
  <c r="D86" i="5" a="1"/>
  <c r="D86" i="5" s="1"/>
  <c r="D39" i="5" a="1"/>
  <c r="D39" i="5" s="1"/>
  <c r="G72" i="5" a="1"/>
  <c r="G72" i="5" s="1"/>
  <c r="D78" i="5" a="1"/>
  <c r="D78" i="5" s="1"/>
  <c r="H87" i="5" a="1"/>
  <c r="H87" i="5" s="1"/>
  <c r="J13" i="5"/>
  <c r="K13" i="5" s="1"/>
  <c r="B74" i="5" a="1"/>
  <c r="B74" i="5" s="1"/>
  <c r="N74" i="5" s="1"/>
  <c r="E30" i="5" a="1"/>
  <c r="E30" i="5" s="1"/>
  <c r="E47" i="5" a="1"/>
  <c r="E47" i="5" s="1"/>
  <c r="I97" i="5" a="1"/>
  <c r="I97" i="5" s="1"/>
  <c r="J98" i="5" s="1"/>
  <c r="K98" i="5" s="1"/>
  <c r="A98" i="6" s="1"/>
  <c r="H41" i="5" a="1"/>
  <c r="H41" i="5" s="1"/>
  <c r="E6" i="5" a="1"/>
  <c r="E6" i="5" s="1"/>
  <c r="J96" i="5"/>
  <c r="K96" i="5" s="1"/>
  <c r="A96" i="6" s="1"/>
  <c r="I41" i="5" a="1"/>
  <c r="I41" i="5" s="1"/>
  <c r="J41" i="5" s="1"/>
  <c r="K41" i="5" s="1"/>
  <c r="A41" i="6" s="1"/>
  <c r="I14" i="5" a="1"/>
  <c r="I14" i="5" s="1"/>
  <c r="J14" i="5" s="1"/>
  <c r="K14" i="5" s="1"/>
  <c r="D94" i="5" a="1"/>
  <c r="D94" i="5" s="1"/>
  <c r="E20" i="5" a="1"/>
  <c r="E20" i="5" s="1"/>
  <c r="J29" i="5"/>
  <c r="K29" i="5" s="1"/>
  <c r="A29" i="6" s="1"/>
  <c r="B35" i="5" a="1"/>
  <c r="B35" i="5" s="1"/>
  <c r="P35" i="5" s="1"/>
  <c r="J75" i="5"/>
  <c r="K75" i="5" s="1"/>
  <c r="A75" i="6" s="1"/>
  <c r="J27" i="5"/>
  <c r="K27" i="5" s="1"/>
  <c r="A27" i="6" s="1"/>
  <c r="I6" i="5" a="1"/>
  <c r="I6" i="5" s="1"/>
  <c r="J7" i="5" s="1"/>
  <c r="K7" i="5" s="1"/>
  <c r="H69" i="5" a="1"/>
  <c r="H69" i="5" s="1"/>
  <c r="C82" i="5" a="1"/>
  <c r="C82" i="5" s="1"/>
  <c r="H17" i="5" a="1"/>
  <c r="H17" i="5" s="1"/>
  <c r="I35" i="5" a="1"/>
  <c r="I35" i="5" s="1"/>
  <c r="J35" i="5" s="1"/>
  <c r="K35" i="5" s="1"/>
  <c r="A35" i="6" s="1"/>
  <c r="I25" i="5" a="1"/>
  <c r="I25" i="5" s="1"/>
  <c r="J25" i="5" s="1"/>
  <c r="K25" i="5" s="1"/>
  <c r="A25" i="6" s="1"/>
  <c r="I48" i="5" a="1"/>
  <c r="I48" i="5" s="1"/>
  <c r="J48" i="5" s="1"/>
  <c r="K48" i="5" s="1"/>
  <c r="A48" i="6" s="1"/>
  <c r="I55" i="5" a="1"/>
  <c r="I55" i="5" s="1"/>
  <c r="J55" i="5" s="1"/>
  <c r="K55" i="5" s="1"/>
  <c r="A55" i="6" s="1"/>
  <c r="B31" i="5" a="1"/>
  <c r="B31" i="5" s="1"/>
  <c r="O31" i="5" s="1"/>
  <c r="G50" i="5" a="1"/>
  <c r="G50" i="5" s="1"/>
  <c r="B3" i="5" a="1"/>
  <c r="B3" i="5" s="1"/>
  <c r="N3" i="5" s="1"/>
  <c r="G71" i="5" a="1"/>
  <c r="G71" i="5" s="1"/>
  <c r="E99" i="5" a="1"/>
  <c r="E99" i="5" s="1"/>
  <c r="C80" i="5" a="1"/>
  <c r="C80" i="5" s="1"/>
  <c r="F60" i="5" a="1"/>
  <c r="F60" i="5" s="1"/>
  <c r="H26" i="5" a="1"/>
  <c r="H26" i="5" s="1"/>
  <c r="F10" i="5" a="1"/>
  <c r="F10" i="5" s="1"/>
  <c r="G86" i="5" a="1"/>
  <c r="G86" i="5" s="1"/>
  <c r="B39" i="5" a="1"/>
  <c r="B39" i="5" s="1"/>
  <c r="N39" i="5" s="1"/>
  <c r="I72" i="5" a="1"/>
  <c r="I72" i="5" s="1"/>
  <c r="J73" i="5" s="1"/>
  <c r="K73" i="5" s="1"/>
  <c r="A73" i="6" s="1"/>
  <c r="B78" i="5" a="1"/>
  <c r="B78" i="5" s="1"/>
  <c r="N78" i="5" s="1"/>
  <c r="F87" i="5" a="1"/>
  <c r="F87" i="5" s="1"/>
  <c r="C40" i="5" a="1"/>
  <c r="C40" i="5" s="1"/>
  <c r="B92" i="5" a="1"/>
  <c r="B92" i="5" s="1"/>
  <c r="P92" i="5" s="1"/>
  <c r="C74" i="5" a="1"/>
  <c r="C74" i="5" s="1"/>
  <c r="I38" i="5" a="1"/>
  <c r="I38" i="5" s="1"/>
  <c r="J39" i="5" s="1"/>
  <c r="K39" i="5" s="1"/>
  <c r="A39" i="6" s="1"/>
  <c r="I30" i="5" a="1"/>
  <c r="I30" i="5" s="1"/>
  <c r="J31" i="5" s="1"/>
  <c r="K31" i="5" s="1"/>
  <c r="A31" i="6" s="1"/>
  <c r="H47" i="5" a="1"/>
  <c r="H47" i="5" s="1"/>
  <c r="H67" i="5" a="1"/>
  <c r="H67" i="5" s="1"/>
  <c r="G14" i="5" a="1"/>
  <c r="G14" i="5" s="1"/>
  <c r="B87" i="5" a="1"/>
  <c r="B87" i="5" s="1"/>
  <c r="O87" i="5" s="1"/>
  <c r="B40" i="5" a="1"/>
  <c r="B40" i="5" s="1"/>
  <c r="N40" i="5" s="1"/>
  <c r="J17" i="5"/>
  <c r="K17" i="5" s="1"/>
  <c r="A17" i="6" s="1"/>
  <c r="J65" i="5"/>
  <c r="K65" i="5" s="1"/>
  <c r="A65" i="6" s="1"/>
  <c r="H96" i="5" a="1"/>
  <c r="H96" i="5" s="1"/>
  <c r="F41" i="5" a="1"/>
  <c r="F41" i="5" s="1"/>
  <c r="C71" i="5" a="1"/>
  <c r="C71" i="5" s="1"/>
  <c r="J68" i="5"/>
  <c r="K68" i="5" s="1"/>
  <c r="A68" i="6" s="1"/>
  <c r="G99" i="5" a="1"/>
  <c r="G99" i="5" s="1"/>
  <c r="E11" i="5" a="1"/>
  <c r="E11" i="5" s="1"/>
  <c r="M11" i="5" s="1"/>
  <c r="C11" i="6" s="1"/>
  <c r="D14" i="5" a="1"/>
  <c r="D14" i="5" s="1"/>
  <c r="G87" i="5" a="1"/>
  <c r="G87" i="5" s="1"/>
  <c r="E40" i="5" a="1"/>
  <c r="E40" i="5" s="1"/>
  <c r="G92" i="5" a="1"/>
  <c r="G92" i="5" s="1"/>
  <c r="F14" i="5" a="1"/>
  <c r="F14" i="5" s="1"/>
  <c r="G40" i="5" a="1"/>
  <c r="G40" i="5" s="1"/>
  <c r="G6" i="5" a="1"/>
  <c r="G6" i="5" s="1"/>
  <c r="H14" i="5" a="1"/>
  <c r="H14" i="5" s="1"/>
  <c r="F40" i="5" a="1"/>
  <c r="F40" i="5" s="1"/>
  <c r="D92" i="5" a="1"/>
  <c r="D92" i="5" s="1"/>
  <c r="E94" i="5" a="1"/>
  <c r="E94" i="5" s="1"/>
  <c r="C30" i="5" a="1"/>
  <c r="C30" i="5" s="1"/>
  <c r="D97" i="5" a="1"/>
  <c r="D97" i="5" s="1"/>
  <c r="F58" i="5" a="1"/>
  <c r="F58" i="5" s="1"/>
  <c r="H40" i="5" a="1"/>
  <c r="H40" i="5" s="1"/>
  <c r="H74" i="5" a="1"/>
  <c r="H74" i="5" s="1"/>
  <c r="B97" i="5" a="1"/>
  <c r="B97" i="5" s="1"/>
  <c r="L97" i="5" s="1"/>
  <c r="E82" i="5" a="1"/>
  <c r="E82" i="5" s="1"/>
  <c r="C6" i="5" a="1"/>
  <c r="C6" i="5" s="1"/>
  <c r="G96" i="5" a="1"/>
  <c r="G96" i="5" s="1"/>
  <c r="H35" i="5" a="1"/>
  <c r="H35" i="5" s="1"/>
  <c r="B41" i="5" a="1"/>
  <c r="B41" i="5" s="1"/>
  <c r="H18" i="5" a="1"/>
  <c r="H18" i="5" s="1"/>
  <c r="E58" i="5" a="1"/>
  <c r="E58" i="5" s="1"/>
  <c r="B33" i="5" a="1"/>
  <c r="B33" i="5" s="1"/>
  <c r="L33" i="5" s="1"/>
  <c r="B86" i="5" a="1"/>
  <c r="B86" i="5" s="1"/>
  <c r="B14" i="5" a="1"/>
  <c r="B14" i="5" s="1"/>
  <c r="B94" i="5" a="1"/>
  <c r="B94" i="5" s="1"/>
  <c r="F30" i="5" a="1"/>
  <c r="F30" i="5" s="1"/>
  <c r="J93" i="5"/>
  <c r="K93" i="5" s="1"/>
  <c r="A93" i="6" s="1"/>
  <c r="J51" i="5"/>
  <c r="K51" i="5" s="1"/>
  <c r="A51" i="6" s="1"/>
  <c r="J84" i="5"/>
  <c r="K84" i="5" s="1"/>
  <c r="A84" i="6" s="1"/>
  <c r="J9" i="5"/>
  <c r="K9" i="5" s="1"/>
  <c r="A9" i="6" s="1"/>
  <c r="J64" i="5"/>
  <c r="K64" i="5" s="1"/>
  <c r="A64" i="6" s="1"/>
  <c r="J8" i="5"/>
  <c r="K8" i="5" s="1"/>
  <c r="M56" i="5"/>
  <c r="C56" i="6" s="1"/>
  <c r="L56" i="5"/>
  <c r="N56" i="5"/>
  <c r="P56" i="5"/>
  <c r="O56" i="5"/>
  <c r="N35" i="5"/>
  <c r="O35" i="5"/>
  <c r="L35" i="5"/>
  <c r="M16" i="5"/>
  <c r="C16" i="6" s="1"/>
  <c r="P16" i="5"/>
  <c r="P9" i="5"/>
  <c r="M9" i="5"/>
  <c r="C9" i="6" s="1"/>
  <c r="O9" i="5"/>
  <c r="L9" i="5"/>
  <c r="N9" i="5"/>
  <c r="L66" i="5"/>
  <c r="P66" i="5"/>
  <c r="N66" i="5"/>
  <c r="J83" i="5"/>
  <c r="K83" i="5" s="1"/>
  <c r="A83" i="6" s="1"/>
  <c r="J57" i="5"/>
  <c r="K57" i="5" s="1"/>
  <c r="A57" i="6" s="1"/>
  <c r="N68" i="5"/>
  <c r="P68" i="5"/>
  <c r="M68" i="5"/>
  <c r="C68" i="6" s="1"/>
  <c r="O68" i="5"/>
  <c r="L68" i="5"/>
  <c r="M26" i="5"/>
  <c r="C26" i="6" s="1"/>
  <c r="L36" i="5"/>
  <c r="N36" i="5"/>
  <c r="M36" i="5"/>
  <c r="C36" i="6" s="1"/>
  <c r="O36" i="5"/>
  <c r="P36" i="5"/>
  <c r="O32" i="5"/>
  <c r="L32" i="5"/>
  <c r="N32" i="5"/>
  <c r="M32" i="5"/>
  <c r="C32" i="6" s="1"/>
  <c r="P32" i="5"/>
  <c r="P73" i="5"/>
  <c r="M73" i="5"/>
  <c r="C73" i="6" s="1"/>
  <c r="O73" i="5"/>
  <c r="N73" i="5"/>
  <c r="L73" i="5"/>
  <c r="P19" i="5"/>
  <c r="L19" i="5"/>
  <c r="O19" i="5"/>
  <c r="N19" i="5"/>
  <c r="M19" i="5"/>
  <c r="C19" i="6" s="1"/>
  <c r="N12" i="5"/>
  <c r="M12" i="5"/>
  <c r="C12" i="6" s="1"/>
  <c r="P12" i="5"/>
  <c r="L12" i="5"/>
  <c r="O12" i="5"/>
  <c r="P20" i="5"/>
  <c r="M20" i="5"/>
  <c r="C20" i="6" s="1"/>
  <c r="L20" i="5"/>
  <c r="N20" i="5"/>
  <c r="O20" i="5"/>
  <c r="O38" i="5"/>
  <c r="N38" i="5"/>
  <c r="P38" i="5"/>
  <c r="M38" i="5"/>
  <c r="C38" i="6" s="1"/>
  <c r="L38" i="5"/>
  <c r="L5" i="5"/>
  <c r="N5" i="5"/>
  <c r="P5" i="5"/>
  <c r="N37" i="5"/>
  <c r="P37" i="5"/>
  <c r="L37" i="5"/>
  <c r="M37" i="5"/>
  <c r="C37" i="6" s="1"/>
  <c r="O37" i="5"/>
  <c r="J18" i="5"/>
  <c r="K18" i="5" s="1"/>
  <c r="A18" i="6" s="1"/>
  <c r="P99" i="5"/>
  <c r="N99" i="5"/>
  <c r="O60" i="5"/>
  <c r="L60" i="5"/>
  <c r="N61" i="5"/>
  <c r="M61" i="5"/>
  <c r="C61" i="6" s="1"/>
  <c r="O61" i="5"/>
  <c r="P61" i="5"/>
  <c r="L61" i="5"/>
  <c r="J77" i="5"/>
  <c r="K77" i="5" s="1"/>
  <c r="A77" i="6" s="1"/>
  <c r="O62" i="5"/>
  <c r="L62" i="5"/>
  <c r="N62" i="5"/>
  <c r="M62" i="5"/>
  <c r="C62" i="6" s="1"/>
  <c r="P62" i="5"/>
  <c r="P74" i="5"/>
  <c r="M74" i="5"/>
  <c r="C74" i="6" s="1"/>
  <c r="O74" i="5"/>
  <c r="L74" i="5"/>
  <c r="P69" i="5"/>
  <c r="L69" i="5"/>
  <c r="N69" i="5"/>
  <c r="M80" i="5"/>
  <c r="C80" i="6" s="1"/>
  <c r="O80" i="5"/>
  <c r="P80" i="5"/>
  <c r="N31" i="5"/>
  <c r="M31" i="5"/>
  <c r="C31" i="6" s="1"/>
  <c r="P90" i="5"/>
  <c r="O90" i="5"/>
  <c r="M90" i="5"/>
  <c r="C90" i="6" s="1"/>
  <c r="N90" i="5"/>
  <c r="L90" i="5"/>
  <c r="P3" i="5"/>
  <c r="O3" i="5"/>
  <c r="M64" i="5"/>
  <c r="C64" i="6" s="1"/>
  <c r="O64" i="5"/>
  <c r="L64" i="5"/>
  <c r="N64" i="5"/>
  <c r="P64" i="5"/>
  <c r="O39" i="5"/>
  <c r="P39" i="5"/>
  <c r="M39" i="5"/>
  <c r="C39" i="6" s="1"/>
  <c r="J34" i="5"/>
  <c r="K34" i="5" s="1"/>
  <c r="A34" i="6" s="1"/>
  <c r="J70" i="5"/>
  <c r="K70" i="5" s="1"/>
  <c r="A70" i="6" s="1"/>
  <c r="M78" i="5"/>
  <c r="C78" i="6" s="1"/>
  <c r="L78" i="5"/>
  <c r="P78" i="5"/>
  <c r="J21" i="5"/>
  <c r="K21" i="5" s="1"/>
  <c r="A21" i="6" s="1"/>
  <c r="M92" i="5"/>
  <c r="C92" i="6" s="1"/>
  <c r="O92" i="5"/>
  <c r="L92" i="5"/>
  <c r="J38" i="5"/>
  <c r="K38" i="5" s="1"/>
  <c r="A38" i="6" s="1"/>
  <c r="P4" i="5"/>
  <c r="M4" i="5"/>
  <c r="C4" i="6" s="1"/>
  <c r="L4" i="5"/>
  <c r="N4" i="5"/>
  <c r="O4" i="5"/>
  <c r="J30" i="5"/>
  <c r="K30" i="5" s="1"/>
  <c r="A30" i="6" s="1"/>
  <c r="P58" i="5"/>
  <c r="M58" i="5"/>
  <c r="C58" i="6" s="1"/>
  <c r="O58" i="5"/>
  <c r="L58" i="5"/>
  <c r="N58" i="5"/>
  <c r="N43" i="5"/>
  <c r="M43" i="5"/>
  <c r="C43" i="6" s="1"/>
  <c r="O43" i="5"/>
  <c r="L43" i="5"/>
  <c r="P43" i="5"/>
  <c r="L95" i="5"/>
  <c r="P95" i="5"/>
  <c r="O95" i="5"/>
  <c r="N95" i="5"/>
  <c r="M95" i="5"/>
  <c r="C95" i="6" s="1"/>
  <c r="J69" i="5"/>
  <c r="K69" i="5" s="1"/>
  <c r="A69" i="6" s="1"/>
  <c r="L7" i="5"/>
  <c r="O7" i="5"/>
  <c r="P7" i="5"/>
  <c r="M7" i="5"/>
  <c r="C7" i="6" s="1"/>
  <c r="N7" i="5"/>
  <c r="L46" i="5"/>
  <c r="M46" i="5"/>
  <c r="C46" i="6" s="1"/>
  <c r="N46" i="5"/>
  <c r="P46" i="5"/>
  <c r="O46" i="5"/>
  <c r="O89" i="5"/>
  <c r="N89" i="5"/>
  <c r="P89" i="5"/>
  <c r="M89" i="5"/>
  <c r="C89" i="6" s="1"/>
  <c r="L89" i="5"/>
  <c r="P65" i="5"/>
  <c r="O65" i="5"/>
  <c r="N65" i="5"/>
  <c r="L65" i="5"/>
  <c r="M65" i="5"/>
  <c r="C65" i="6" s="1"/>
  <c r="P63" i="5"/>
  <c r="M63" i="5"/>
  <c r="C63" i="6" s="1"/>
  <c r="L63" i="5"/>
  <c r="O63" i="5"/>
  <c r="N63" i="5"/>
  <c r="M98" i="5"/>
  <c r="C98" i="6" s="1"/>
  <c r="L98" i="5"/>
  <c r="N98" i="5"/>
  <c r="P98" i="5"/>
  <c r="O98" i="5"/>
  <c r="L50" i="5"/>
  <c r="P50" i="5"/>
  <c r="M50" i="5"/>
  <c r="C50" i="6" s="1"/>
  <c r="O50" i="5"/>
  <c r="N50" i="5"/>
  <c r="J80" i="5"/>
  <c r="K80" i="5" s="1"/>
  <c r="A80" i="6" s="1"/>
  <c r="J60" i="5"/>
  <c r="K60" i="5" s="1"/>
  <c r="A60" i="6" s="1"/>
  <c r="J54" i="5"/>
  <c r="K54" i="5" s="1"/>
  <c r="A54" i="6" s="1"/>
  <c r="J44" i="5"/>
  <c r="K44" i="5" s="1"/>
  <c r="A44" i="6" s="1"/>
  <c r="J86" i="5"/>
  <c r="K86" i="5" s="1"/>
  <c r="A86" i="6" s="1"/>
  <c r="L87" i="5"/>
  <c r="P87" i="5"/>
  <c r="M87" i="5"/>
  <c r="C87" i="6" s="1"/>
  <c r="P40" i="5"/>
  <c r="O40" i="5"/>
  <c r="L40" i="5"/>
  <c r="J74" i="5"/>
  <c r="K74" i="5" s="1"/>
  <c r="A74" i="6" s="1"/>
  <c r="P84" i="5"/>
  <c r="O84" i="5"/>
  <c r="M84" i="5"/>
  <c r="C84" i="6" s="1"/>
  <c r="N84" i="5"/>
  <c r="L84" i="5"/>
  <c r="P91" i="5"/>
  <c r="O91" i="5"/>
  <c r="L91" i="5"/>
  <c r="N91" i="5"/>
  <c r="M91" i="5"/>
  <c r="C91" i="6" s="1"/>
  <c r="P76" i="5"/>
  <c r="N76" i="5"/>
  <c r="M76" i="5"/>
  <c r="C76" i="6" s="1"/>
  <c r="O76" i="5"/>
  <c r="L76" i="5"/>
  <c r="L2" i="5"/>
  <c r="P2" i="5"/>
  <c r="N2" i="5"/>
  <c r="M2" i="5"/>
  <c r="C2" i="6" s="1"/>
  <c r="O2" i="5"/>
  <c r="L88" i="5"/>
  <c r="M88" i="5"/>
  <c r="C88" i="6" s="1"/>
  <c r="P88" i="5"/>
  <c r="O88" i="5"/>
  <c r="N88" i="5"/>
  <c r="M79" i="5"/>
  <c r="C79" i="6" s="1"/>
  <c r="O79" i="5"/>
  <c r="L79" i="5"/>
  <c r="P79" i="5"/>
  <c r="N79" i="5"/>
  <c r="L47" i="5"/>
  <c r="N47" i="5"/>
  <c r="P47" i="5"/>
  <c r="M47" i="5"/>
  <c r="C47" i="6" s="1"/>
  <c r="O47" i="5"/>
  <c r="P67" i="5"/>
  <c r="L67" i="5"/>
  <c r="O67" i="5"/>
  <c r="N67" i="5"/>
  <c r="M67" i="5"/>
  <c r="C67" i="6" s="1"/>
  <c r="L29" i="5"/>
  <c r="P29" i="5"/>
  <c r="N29" i="5"/>
  <c r="M29" i="5"/>
  <c r="C29" i="6" s="1"/>
  <c r="O29" i="5"/>
  <c r="L85" i="5"/>
  <c r="P85" i="5"/>
  <c r="N85" i="5"/>
  <c r="O85" i="5"/>
  <c r="M85" i="5"/>
  <c r="C85" i="6" s="1"/>
  <c r="J50" i="5"/>
  <c r="K50" i="5" s="1"/>
  <c r="A50" i="6" s="1"/>
  <c r="N93" i="5"/>
  <c r="M93" i="5"/>
  <c r="C93" i="6" s="1"/>
  <c r="P93" i="5"/>
  <c r="L93" i="5"/>
  <c r="O93" i="5"/>
  <c r="J46" i="5"/>
  <c r="K46" i="5" s="1"/>
  <c r="A46" i="6" s="1"/>
  <c r="J85" i="5"/>
  <c r="K85" i="5" s="1"/>
  <c r="A85" i="6" s="1"/>
  <c r="J66" i="5"/>
  <c r="K66" i="5" s="1"/>
  <c r="A66" i="6" s="1"/>
  <c r="N53" i="5"/>
  <c r="L53" i="5"/>
  <c r="P53" i="5"/>
  <c r="M53" i="5"/>
  <c r="C53" i="6" s="1"/>
  <c r="O53" i="5"/>
  <c r="L71" i="5"/>
  <c r="N71" i="5"/>
  <c r="P71" i="5"/>
  <c r="O71" i="5"/>
  <c r="M71" i="5"/>
  <c r="C71" i="6" s="1"/>
  <c r="P24" i="5"/>
  <c r="O24" i="5"/>
  <c r="M24" i="5"/>
  <c r="C24" i="6" s="1"/>
  <c r="L24" i="5"/>
  <c r="N24" i="5"/>
  <c r="J87" i="5"/>
  <c r="K87" i="5" s="1"/>
  <c r="A87" i="6" s="1"/>
  <c r="J62" i="5"/>
  <c r="K62" i="5" s="1"/>
  <c r="A62" i="6" s="1"/>
  <c r="P17" i="5"/>
  <c r="O17" i="5"/>
  <c r="L17" i="5"/>
  <c r="M17" i="5"/>
  <c r="C17" i="6" s="1"/>
  <c r="N17" i="5"/>
  <c r="P82" i="5"/>
  <c r="O82" i="5"/>
  <c r="N82" i="5"/>
  <c r="L82" i="5"/>
  <c r="M82" i="5"/>
  <c r="C82" i="6" s="1"/>
  <c r="P15" i="5"/>
  <c r="M15" i="5"/>
  <c r="C15" i="6" s="1"/>
  <c r="L15" i="5"/>
  <c r="O15" i="5"/>
  <c r="N15" i="5"/>
  <c r="P28" i="5"/>
  <c r="M28" i="5"/>
  <c r="C28" i="6" s="1"/>
  <c r="L28" i="5"/>
  <c r="N28" i="5"/>
  <c r="O28" i="5"/>
  <c r="M45" i="5"/>
  <c r="C45" i="6" s="1"/>
  <c r="N45" i="5"/>
  <c r="L45" i="5"/>
  <c r="P45" i="5"/>
  <c r="O45" i="5"/>
  <c r="J61" i="5"/>
  <c r="K61" i="5" s="1"/>
  <c r="A61" i="6" s="1"/>
  <c r="J32" i="5"/>
  <c r="K32" i="5" s="1"/>
  <c r="A32" i="6" s="1"/>
  <c r="J24" i="5"/>
  <c r="K24" i="5" s="1"/>
  <c r="A24" i="6" s="1"/>
  <c r="J78" i="5"/>
  <c r="K78" i="5" s="1"/>
  <c r="A78" i="6" s="1"/>
  <c r="J12" i="5"/>
  <c r="K12" i="5" s="1"/>
  <c r="A12" i="6" s="1"/>
  <c r="J4" i="5"/>
  <c r="K4" i="5" s="1"/>
  <c r="A4" i="6" s="1"/>
  <c r="J47" i="5"/>
  <c r="K47" i="5" s="1"/>
  <c r="A47" i="6" s="1"/>
  <c r="N23" i="5"/>
  <c r="P23" i="5"/>
  <c r="L23" i="5"/>
  <c r="O23" i="5"/>
  <c r="M23" i="5"/>
  <c r="C23" i="6" s="1"/>
  <c r="M96" i="5"/>
  <c r="C96" i="6" s="1"/>
  <c r="O96" i="5"/>
  <c r="L96" i="5"/>
  <c r="P96" i="5"/>
  <c r="N96" i="5"/>
  <c r="J26" i="5"/>
  <c r="K26" i="5" s="1"/>
  <c r="A26" i="6" s="1"/>
  <c r="J10" i="5"/>
  <c r="K10" i="5" s="1"/>
  <c r="N11" i="5"/>
  <c r="P11" i="5"/>
  <c r="O11" i="5"/>
  <c r="L11" i="5"/>
  <c r="N77" i="5"/>
  <c r="M77" i="5"/>
  <c r="C77" i="6" s="1"/>
  <c r="P77" i="5"/>
  <c r="L77" i="5"/>
  <c r="O77" i="5"/>
  <c r="J19" i="5"/>
  <c r="K19" i="5" s="1"/>
  <c r="A19" i="6" s="1"/>
  <c r="L22" i="5"/>
  <c r="M22" i="5"/>
  <c r="C22" i="6" s="1"/>
  <c r="P22" i="5"/>
  <c r="O22" i="5"/>
  <c r="N22" i="5"/>
  <c r="L42" i="5"/>
  <c r="N42" i="5"/>
  <c r="M42" i="5"/>
  <c r="C42" i="6" s="1"/>
  <c r="O42" i="5"/>
  <c r="P42" i="5"/>
  <c r="L27" i="5"/>
  <c r="N27" i="5"/>
  <c r="P27" i="5"/>
  <c r="M27" i="5"/>
  <c r="C27" i="6" s="1"/>
  <c r="O27" i="5"/>
  <c r="M49" i="5"/>
  <c r="C49" i="6" s="1"/>
  <c r="P49" i="5"/>
  <c r="O49" i="5"/>
  <c r="N49" i="5"/>
  <c r="L49" i="5"/>
  <c r="L18" i="5"/>
  <c r="P18" i="5"/>
  <c r="M18" i="5"/>
  <c r="C18" i="6" s="1"/>
  <c r="O18" i="5"/>
  <c r="N18" i="5"/>
  <c r="J99" i="5"/>
  <c r="K99" i="5" s="1"/>
  <c r="A99" i="6" s="1"/>
  <c r="J28" i="5"/>
  <c r="K28" i="5" s="1"/>
  <c r="A28" i="6" s="1"/>
  <c r="L100" i="5"/>
  <c r="N100" i="5"/>
  <c r="O100" i="5"/>
  <c r="M100" i="5"/>
  <c r="C100" i="6" s="1"/>
  <c r="P100" i="5"/>
  <c r="J89" i="5"/>
  <c r="K89" i="5" s="1"/>
  <c r="A89" i="6" s="1"/>
  <c r="J23" i="5"/>
  <c r="K23" i="5" s="1"/>
  <c r="A23" i="6" s="1"/>
  <c r="O41" i="5"/>
  <c r="P41" i="5"/>
  <c r="M41" i="5"/>
  <c r="C41" i="6" s="1"/>
  <c r="L41" i="5"/>
  <c r="N41" i="5"/>
  <c r="P52" i="5"/>
  <c r="O52" i="5"/>
  <c r="L52" i="5"/>
  <c r="M52" i="5"/>
  <c r="C52" i="6" s="1"/>
  <c r="N52" i="5"/>
  <c r="M48" i="5"/>
  <c r="C48" i="6" s="1"/>
  <c r="O48" i="5"/>
  <c r="L48" i="5"/>
  <c r="N48" i="5"/>
  <c r="P48" i="5"/>
  <c r="O55" i="5"/>
  <c r="N55" i="5"/>
  <c r="L55" i="5"/>
  <c r="P55" i="5"/>
  <c r="M55" i="5"/>
  <c r="C55" i="6" s="1"/>
  <c r="J90" i="5"/>
  <c r="K90" i="5" s="1"/>
  <c r="A90" i="6" s="1"/>
  <c r="N83" i="5"/>
  <c r="P83" i="5"/>
  <c r="M83" i="5"/>
  <c r="C83" i="6" s="1"/>
  <c r="L83" i="5"/>
  <c r="O83" i="5"/>
  <c r="J15" i="5"/>
  <c r="K15" i="5" s="1"/>
  <c r="A15" i="6" s="1"/>
  <c r="J53" i="5"/>
  <c r="K53" i="5" s="1"/>
  <c r="A53" i="6" s="1"/>
  <c r="N75" i="5"/>
  <c r="P75" i="5"/>
  <c r="M75" i="5"/>
  <c r="C75" i="6" s="1"/>
  <c r="O75" i="5"/>
  <c r="L75" i="5"/>
  <c r="P33" i="5"/>
  <c r="M33" i="5"/>
  <c r="C33" i="6" s="1"/>
  <c r="O33" i="5"/>
  <c r="N33" i="5"/>
  <c r="P81" i="5"/>
  <c r="M81" i="5"/>
  <c r="C81" i="6" s="1"/>
  <c r="L81" i="5"/>
  <c r="N81" i="5"/>
  <c r="O81" i="5"/>
  <c r="P51" i="5"/>
  <c r="L51" i="5"/>
  <c r="O51" i="5"/>
  <c r="N51" i="5"/>
  <c r="M51" i="5"/>
  <c r="C51" i="6" s="1"/>
  <c r="P44" i="5"/>
  <c r="O44" i="5"/>
  <c r="L44" i="5"/>
  <c r="N44" i="5"/>
  <c r="M44" i="5"/>
  <c r="C44" i="6" s="1"/>
  <c r="O86" i="5"/>
  <c r="L86" i="5"/>
  <c r="M86" i="5"/>
  <c r="C86" i="6" s="1"/>
  <c r="N86" i="5"/>
  <c r="P86" i="5"/>
  <c r="L34" i="5"/>
  <c r="O34" i="5"/>
  <c r="N34" i="5"/>
  <c r="P34" i="5"/>
  <c r="M34" i="5"/>
  <c r="C34" i="6" s="1"/>
  <c r="L72" i="5"/>
  <c r="M72" i="5"/>
  <c r="C72" i="6" s="1"/>
  <c r="O72" i="5"/>
  <c r="P72" i="5"/>
  <c r="N72" i="5"/>
  <c r="M14" i="5"/>
  <c r="C14" i="6" s="1"/>
  <c r="O14" i="5"/>
  <c r="L14" i="5"/>
  <c r="N14" i="5"/>
  <c r="P14" i="5"/>
  <c r="J92" i="5"/>
  <c r="K92" i="5" s="1"/>
  <c r="A92" i="6" s="1"/>
  <c r="L94" i="5"/>
  <c r="N94" i="5"/>
  <c r="O94" i="5"/>
  <c r="M94" i="5"/>
  <c r="C94" i="6" s="1"/>
  <c r="P94" i="5"/>
  <c r="N97" i="5"/>
  <c r="J82" i="5"/>
  <c r="K82" i="5" s="1"/>
  <c r="A82" i="6" s="1"/>
  <c r="M6" i="5"/>
  <c r="C6" i="6" s="1"/>
  <c r="P6" i="5"/>
  <c r="O6" i="5"/>
  <c r="L6" i="5"/>
  <c r="N6" i="5"/>
  <c r="M8" i="5"/>
  <c r="C8" i="6" s="1"/>
  <c r="L8" i="5"/>
  <c r="O8" i="5"/>
  <c r="N8" i="5"/>
  <c r="P8" i="5"/>
  <c r="M25" i="5"/>
  <c r="C25" i="6" s="1"/>
  <c r="N25" i="5"/>
  <c r="O25" i="5"/>
  <c r="L25" i="5"/>
  <c r="P25" i="5"/>
  <c r="P57" i="5"/>
  <c r="M57" i="5"/>
  <c r="C57" i="6" s="1"/>
  <c r="O57" i="5"/>
  <c r="L57" i="5"/>
  <c r="N57" i="5"/>
  <c r="L54" i="5"/>
  <c r="P54" i="5"/>
  <c r="M54" i="5"/>
  <c r="C54" i="6" s="1"/>
  <c r="O54" i="5"/>
  <c r="N54" i="5"/>
  <c r="L70" i="5"/>
  <c r="N70" i="5"/>
  <c r="O70" i="5"/>
  <c r="P70" i="5"/>
  <c r="M70" i="5"/>
  <c r="C70" i="6" s="1"/>
  <c r="L21" i="5"/>
  <c r="N21" i="5"/>
  <c r="P21" i="5"/>
  <c r="M21" i="5"/>
  <c r="C21" i="6" s="1"/>
  <c r="O21" i="5"/>
  <c r="P59" i="5"/>
  <c r="O59" i="5"/>
  <c r="L59" i="5"/>
  <c r="M59" i="5"/>
  <c r="C59" i="6" s="1"/>
  <c r="N59" i="5"/>
  <c r="J40" i="5"/>
  <c r="K40" i="5" s="1"/>
  <c r="A40" i="6" s="1"/>
  <c r="M13" i="5"/>
  <c r="C13" i="6" s="1"/>
  <c r="L13" i="5"/>
  <c r="N13" i="5"/>
  <c r="O13" i="5"/>
  <c r="P13" i="5"/>
  <c r="L30" i="5"/>
  <c r="P30" i="5"/>
  <c r="M30" i="5"/>
  <c r="C30" i="6" s="1"/>
  <c r="O30" i="5"/>
  <c r="N30" i="5"/>
  <c r="J67" i="5"/>
  <c r="K67" i="5" s="1"/>
  <c r="A67" i="6" s="1"/>
  <c r="L80" i="5" l="1"/>
  <c r="O97" i="5"/>
  <c r="M97" i="5"/>
  <c r="C97" i="6" s="1"/>
  <c r="P97" i="5"/>
  <c r="J36" i="5"/>
  <c r="K36" i="5" s="1"/>
  <c r="A36" i="6" s="1"/>
  <c r="J42" i="5"/>
  <c r="K42" i="5" s="1"/>
  <c r="A42" i="6" s="1"/>
  <c r="N60" i="5"/>
  <c r="O10" i="5"/>
  <c r="A2" i="6"/>
  <c r="A8" i="6"/>
  <c r="K3" i="5"/>
  <c r="A3" i="6" s="1"/>
  <c r="M60" i="5"/>
  <c r="C60" i="6" s="1"/>
  <c r="J6" i="5"/>
  <c r="K6" i="5" s="1"/>
  <c r="A6" i="6" s="1"/>
  <c r="O78" i="5"/>
  <c r="L31" i="5"/>
  <c r="O69" i="5"/>
  <c r="M99" i="5"/>
  <c r="C99" i="6" s="1"/>
  <c r="L16" i="5"/>
  <c r="J56" i="5"/>
  <c r="K56" i="5" s="1"/>
  <c r="A56" i="6" s="1"/>
  <c r="P31" i="5"/>
  <c r="J97" i="5"/>
  <c r="K97" i="5" s="1"/>
  <c r="A97" i="6" s="1"/>
  <c r="O99" i="5"/>
  <c r="M10" i="5"/>
  <c r="C10" i="6" s="1"/>
  <c r="O66" i="5"/>
  <c r="N10" i="5"/>
  <c r="J95" i="5"/>
  <c r="K95" i="5" s="1"/>
  <c r="A95" i="6" s="1"/>
  <c r="J72" i="5"/>
  <c r="K72" i="5" s="1"/>
  <c r="A72" i="6" s="1"/>
  <c r="L3" i="5"/>
  <c r="L26" i="5"/>
  <c r="M35" i="5"/>
  <c r="C35" i="6" s="1"/>
  <c r="O26" i="5"/>
  <c r="O16" i="5"/>
  <c r="A16" i="6"/>
  <c r="M40" i="5"/>
  <c r="C40" i="6" s="1"/>
  <c r="P26" i="5"/>
  <c r="A11" i="6"/>
  <c r="A13" i="6"/>
  <c r="J49" i="5"/>
  <c r="K49" i="5" s="1"/>
  <c r="A49" i="6" s="1"/>
  <c r="M5" i="5"/>
  <c r="C5" i="6" s="1"/>
  <c r="K5" i="5"/>
  <c r="A5" i="6" s="1"/>
  <c r="A7" i="6"/>
  <c r="A14" i="6"/>
  <c r="J59" i="5"/>
  <c r="K59" i="5" s="1"/>
  <c r="A59" i="6" s="1"/>
  <c r="N87" i="5"/>
  <c r="N92" i="5"/>
  <c r="L39" i="5"/>
  <c r="M3" i="5"/>
  <c r="C3" i="6" s="1"/>
  <c r="P10" i="5"/>
  <c r="A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<sst xmlns="http://schemas.openxmlformats.org/spreadsheetml/2006/main" count="19" uniqueCount="16">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</sst>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L3:L9"/>
  <sheetViews>
    <sheetView topLeftCell="A4" workbookViewId="0"/>
  </sheetViews>
  <sheetFormatPr defaultColWidth="8.81640625" defaultRowHeight="14.75" x14ac:dyDescent="0.75"/>
  <sheetData>
    <row r="3" spans="12:12" x14ac:dyDescent="0.75">
      <c r="L3" s="5"/>
    </row>
    <row r="4" spans="12:12" x14ac:dyDescent="0.75">
      <c r="L4" s="5"/>
    </row>
    <row r="7" spans="12:12" x14ac:dyDescent="0.75">
      <c r="L7" s="5"/>
    </row>
    <row r="9" spans="12:12" x14ac:dyDescent="0.75">
      <c r="L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workbookViewId="0">
      <selection activeCell="F13" sqref="F13"/>
    </sheetView>
  </sheetViews>
  <sheetFormatPr defaultColWidth="8.81640625" defaultRowHeight="14.75" x14ac:dyDescent="0.75"/>
  <cols>
    <col min="8" max="8" width="14.3164062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N2" sqref="N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B2" sqref="B2"/>
    </sheetView>
  </sheetViews>
  <sheetFormatPr defaultColWidth="8.81640625" defaultRowHeight="14.75" x14ac:dyDescent="0.75"/>
  <cols>
    <col min="1" max="1" width="26.36328125" customWidth="1"/>
    <col min="2" max="2" width="15.86328125" bestFit="1" customWidth="1"/>
    <col min="3" max="4" width="9.6796875" style="4" bestFit="1" customWidth="1"/>
  </cols>
  <sheetData>
    <row r="1" spans="1:4" x14ac:dyDescent="0.7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75">
      <c r="A2" t="str">
        <f>IF(Sheet2!K2="","",Sheet2!K2&amp;" [SN:"&amp;Sheet2!P2&amp;"]")</f>
        <v/>
      </c>
      <c r="B2" t="str">
        <f>IF(Sheet2!N2="","",Sheet2!N2 &amp;" "&amp;IF(Sheet2!O2="Monthly", "Month",IF(Sheet2!O2="Cycles","Flight Cycle",IF(Sheet2!O2="Hours","Flight Hour",Sheet2!O2))))</f>
        <v/>
      </c>
      <c r="C2" s="5" t="str">
        <f>IF(Sheet2!M2="","",IF(Sheet2!M2=0,"N/A",Sheet2!M2))</f>
        <v/>
      </c>
      <c r="D2" s="5" t="str">
        <f>IF(Sheet2!L2="","",Sheet2!L2)</f>
        <v/>
      </c>
    </row>
    <row r="3" spans="1:4" x14ac:dyDescent="0.75">
      <c r="A3" t="str">
        <f>IF(Sheet2!K3="","",Sheet2!K3&amp;" [SN:"&amp;Sheet2!P3&amp;"]")</f>
        <v/>
      </c>
      <c r="B3" t="str">
        <f>IF(Sheet2!N3="","",Sheet2!N3 &amp;" "&amp;IF(Sheet2!O3="Monthly", "Month",IF(Sheet2!O3="Cycles","Flight Cycle",IF(Sheet2!O3="Hours","Flight Hour",Sheet2!O3))))</f>
        <v/>
      </c>
      <c r="C3" s="5" t="str">
        <f>IF(Sheet2!M3="","",IF(Sheet2!M3=0,"N/A",Sheet2!M3))</f>
        <v/>
      </c>
      <c r="D3" s="5" t="str">
        <f>IF(Sheet2!L3="","",Sheet2!L3)</f>
        <v/>
      </c>
    </row>
    <row r="4" spans="1:4" x14ac:dyDescent="0.75">
      <c r="A4" t="str">
        <f>IF(Sheet2!K4="","",Sheet2!K4&amp;" [SN:"&amp;Sheet2!P4&amp;"]")</f>
        <v/>
      </c>
      <c r="B4" t="str">
        <f>IF(Sheet2!N4="","",Sheet2!N4 &amp;" "&amp;IF(Sheet2!O4="Monthly", "Month",IF(Sheet2!O4="Cycles","Flight Cycle",IF(Sheet2!O4="Hours","Flight Hour",Sheet2!O4))))</f>
        <v/>
      </c>
      <c r="C4" s="5" t="str">
        <f>IF(Sheet2!M4="","",IF(Sheet2!M4=0,"N/A",Sheet2!M4))</f>
        <v/>
      </c>
      <c r="D4" s="5" t="str">
        <f>IF(Sheet2!L4="","",Sheet2!L4)</f>
        <v/>
      </c>
    </row>
    <row r="5" spans="1:4" x14ac:dyDescent="0.75">
      <c r="A5" t="str">
        <f>IF(Sheet2!K5="","",Sheet2!K5&amp;" [SN:"&amp;Sheet2!P5&amp;"]")</f>
        <v/>
      </c>
      <c r="B5" t="str">
        <f>IF(Sheet2!N5="","",Sheet2!N5 &amp;" "&amp;IF(Sheet2!O5="Monthly", "Month",IF(Sheet2!O5="Cycles","Flight Cycle",IF(Sheet2!O5="Hours","Flight Hour",Sheet2!O5))))</f>
        <v/>
      </c>
      <c r="C5" s="5" t="str">
        <f>IF(Sheet2!M5="","",IF(Sheet2!M5=0,"N/A",Sheet2!M5))</f>
        <v/>
      </c>
      <c r="D5" s="5" t="str">
        <f>IF(Sheet2!L5="","",Sheet2!L5)</f>
        <v/>
      </c>
    </row>
    <row r="6" spans="1:4" x14ac:dyDescent="0.75">
      <c r="A6" t="str">
        <f>IF(Sheet2!K6="","",Sheet2!K6&amp;" [SN:"&amp;Sheet2!P6&amp;"]")</f>
        <v/>
      </c>
      <c r="B6" t="str">
        <f>IF(Sheet2!N6="","",Sheet2!N6 &amp;" "&amp;IF(Sheet2!O6="Monthly", "Month",IF(Sheet2!O6="Cycles","Flight Cycle",IF(Sheet2!O6="Hours","Flight Hour",Sheet2!O6))))</f>
        <v/>
      </c>
      <c r="C6" s="5" t="str">
        <f>IF(Sheet2!M6="","",IF(Sheet2!M6=0,"N/A",Sheet2!M6))</f>
        <v/>
      </c>
      <c r="D6" s="5" t="str">
        <f>IF(Sheet2!L6="","",Sheet2!L6)</f>
        <v/>
      </c>
    </row>
    <row r="7" spans="1:4" x14ac:dyDescent="0.75">
      <c r="A7" t="str">
        <f>IF(Sheet2!K7="","",Sheet2!K7&amp;" [SN:"&amp;Sheet2!P7&amp;"]")</f>
        <v/>
      </c>
      <c r="B7" t="str">
        <f>IF(Sheet2!N7="","",Sheet2!N7 &amp;" "&amp;IF(Sheet2!O7="Monthly", "Month",IF(Sheet2!O7="Cycles","Flight Cycle",IF(Sheet2!O7="Hours","Flight Hour",Sheet2!O7))))</f>
        <v/>
      </c>
      <c r="C7" s="5" t="str">
        <f>IF(Sheet2!M7="","",IF(Sheet2!M7=0,"N/A",Sheet2!M7))</f>
        <v/>
      </c>
      <c r="D7" s="5" t="str">
        <f>IF(Sheet2!L7="","",Sheet2!L7)</f>
        <v/>
      </c>
    </row>
    <row r="8" spans="1:4" x14ac:dyDescent="0.75">
      <c r="A8" t="str">
        <f>IF(Sheet2!K8="","",Sheet2!K8&amp;" [SN:"&amp;Sheet2!P8&amp;"]")</f>
        <v/>
      </c>
      <c r="B8" t="str">
        <f>IF(Sheet2!N8="","",Sheet2!N8 &amp;" "&amp;IF(Sheet2!O8="Monthly", "Month",IF(Sheet2!O8="Cycles","Flight Cycle",IF(Sheet2!O8="Hours","Flight Hour",Sheet2!O8))))</f>
        <v/>
      </c>
      <c r="C8" s="5" t="str">
        <f>IF(Sheet2!M8="","",IF(Sheet2!M8=0,"N/A",Sheet2!M8))</f>
        <v/>
      </c>
      <c r="D8" s="5" t="str">
        <f>IF(Sheet2!L8="","",Sheet2!L8)</f>
        <v/>
      </c>
    </row>
    <row r="9" spans="1:4" x14ac:dyDescent="0.75">
      <c r="A9" t="str">
        <f>IF(Sheet2!K9="","",Sheet2!K9&amp;" [SN:"&amp;Sheet2!P9&amp;"]")</f>
        <v/>
      </c>
      <c r="B9" t="str">
        <f>IF(Sheet2!N9="","",Sheet2!N9 &amp;" "&amp;IF(Sheet2!O9="Monthly", "Month",IF(Sheet2!O9="Cycles","Flight Cycle",IF(Sheet2!O9="Hours","Flight Hour",Sheet2!O9))))</f>
        <v/>
      </c>
      <c r="C9" s="5" t="str">
        <f>IF(Sheet2!M9="","",IF(Sheet2!M9=0,"N/A",Sheet2!M9))</f>
        <v/>
      </c>
      <c r="D9" s="5" t="str">
        <f>IF(Sheet2!L9="","",Sheet2!L9)</f>
        <v/>
      </c>
    </row>
    <row r="10" spans="1:4" x14ac:dyDescent="0.75">
      <c r="A10" t="str">
        <f>IF(Sheet2!K10="","",Sheet2!K10&amp;" [SN:"&amp;Sheet2!P10&amp;"]")</f>
        <v/>
      </c>
      <c r="B10" t="str">
        <f>IF(Sheet2!N10="","",Sheet2!N10 &amp;" "&amp;IF(Sheet2!O10="Monthly", "Month",IF(Sheet2!O10="Cycles","Flight Cycle",IF(Sheet2!O10="Hours","Flight Hour",Sheet2!O10))))</f>
        <v/>
      </c>
      <c r="C10" s="5" t="str">
        <f>IF(Sheet2!M10="","",IF(Sheet2!M10=0,"N/A",Sheet2!M10))</f>
        <v/>
      </c>
      <c r="D10" s="5" t="str">
        <f>IF(Sheet2!L10="","",Sheet2!L10)</f>
        <v/>
      </c>
    </row>
    <row r="11" spans="1:4" x14ac:dyDescent="0.75">
      <c r="A11" t="str">
        <f>IF(Sheet2!K11="","",Sheet2!K11&amp;" [SN:"&amp;Sheet2!P11&amp;"]")</f>
        <v/>
      </c>
      <c r="B11" t="str">
        <f>IF(Sheet2!N11="","",Sheet2!N11 &amp;" "&amp;IF(Sheet2!O11="Monthly", "Month",IF(Sheet2!O11="Cycles","Flight Cycle",IF(Sheet2!O11="Hours","Flight Hour",Sheet2!O11))))</f>
        <v/>
      </c>
      <c r="C11" s="5" t="str">
        <f>IF(Sheet2!M11="","",IF(Sheet2!M11=0,"N/A",Sheet2!M11))</f>
        <v/>
      </c>
      <c r="D11" s="5" t="str">
        <f>IF(Sheet2!L11="","",Sheet2!L11)</f>
        <v/>
      </c>
    </row>
    <row r="12" spans="1:4" x14ac:dyDescent="0.75">
      <c r="A12" t="str">
        <f>IF(Sheet2!K12="","",Sheet2!K12&amp;" [SN:"&amp;Sheet2!P12&amp;"]")</f>
        <v/>
      </c>
      <c r="B12" t="str">
        <f>IF(Sheet2!N12="","",Sheet2!N12 &amp;" "&amp;IF(Sheet2!O12="Monthly", "Month",IF(Sheet2!O12="Cycles","Flight Cycle",IF(Sheet2!O12="Hours","Flight Hour",Sheet2!O12))))</f>
        <v/>
      </c>
      <c r="C12" s="5" t="str">
        <f>IF(Sheet2!M12="","",IF(Sheet2!M12=0,"N/A",Sheet2!M12))</f>
        <v/>
      </c>
      <c r="D12" s="5" t="str">
        <f>IF(Sheet2!L12="","",Sheet2!L12)</f>
        <v/>
      </c>
    </row>
    <row r="13" spans="1:4" x14ac:dyDescent="0.75">
      <c r="A13" t="str">
        <f>IF(Sheet2!K13="","",Sheet2!K13&amp;" [SN:"&amp;Sheet2!P13&amp;"]")</f>
        <v/>
      </c>
      <c r="B13" t="str">
        <f>IF(Sheet2!N13="","",Sheet2!N13 &amp;" "&amp;IF(Sheet2!O13="Monthly", "Month",IF(Sheet2!O13="Cycles","Flight Cycle",IF(Sheet2!O13="Hours","Flight Hour",Sheet2!O13))))</f>
        <v/>
      </c>
      <c r="C13" s="5" t="str">
        <f>IF(Sheet2!M13="","",IF(Sheet2!M13=0,"N/A",Sheet2!M13))</f>
        <v/>
      </c>
      <c r="D13" s="5" t="str">
        <f>IF(Sheet2!L13="","",Sheet2!L13)</f>
        <v/>
      </c>
    </row>
    <row r="14" spans="1:4" x14ac:dyDescent="0.75">
      <c r="A14" t="str">
        <f>IF(Sheet2!K14="","",Sheet2!K14&amp;" [SN:"&amp;Sheet2!P14&amp;"]")</f>
        <v/>
      </c>
      <c r="B14" t="str">
        <f>IF(Sheet2!N14="","",Sheet2!N14 &amp;" "&amp;IF(Sheet2!O14="Monthly", "Month",IF(Sheet2!O14="Cycles","Flight Cycle",IF(Sheet2!O14="Hours","Flight Hour",Sheet2!O14))))</f>
        <v/>
      </c>
      <c r="C14" s="5" t="str">
        <f>IF(Sheet2!M14="","",IF(Sheet2!M14=0,"N/A",Sheet2!M14))</f>
        <v/>
      </c>
      <c r="D14" s="5" t="str">
        <f>IF(Sheet2!L14="","",Sheet2!L14)</f>
        <v/>
      </c>
    </row>
    <row r="15" spans="1:4" x14ac:dyDescent="0.75">
      <c r="A15" t="str">
        <f>IF(Sheet2!K15="","",Sheet2!K15&amp;" [SN:"&amp;Sheet2!P15&amp;"]")</f>
        <v/>
      </c>
      <c r="B15" t="str">
        <f>IF(Sheet2!N15="","",Sheet2!N15 &amp;" "&amp;IF(Sheet2!O15="Monthly", "Month",IF(Sheet2!O15="Cycles","Flight Cycle",IF(Sheet2!O15="Hours","Flight Hour",Sheet2!O15))))</f>
        <v/>
      </c>
      <c r="C15" s="5" t="str">
        <f>IF(Sheet2!M15="","",IF(Sheet2!M15=0,"N/A",Sheet2!M15))</f>
        <v/>
      </c>
      <c r="D15" s="5" t="str">
        <f>IF(Sheet2!L15="","",Sheet2!L15)</f>
        <v/>
      </c>
    </row>
    <row r="16" spans="1:4" x14ac:dyDescent="0.75">
      <c r="A16" t="str">
        <f>IF(Sheet2!K16="","",Sheet2!K16&amp;" [SN:"&amp;Sheet2!P16&amp;"]")</f>
        <v/>
      </c>
      <c r="B16" t="str">
        <f>IF(Sheet2!N16="","",Sheet2!N16 &amp;" "&amp;IF(Sheet2!O16="Monthly", "Month",IF(Sheet2!O16="Cycles","Flight Cycle",IF(Sheet2!O16="Hours","Flight Hour",Sheet2!O16))))</f>
        <v/>
      </c>
      <c r="C16" s="5" t="str">
        <f>IF(Sheet2!M16="","",IF(Sheet2!M16=0,"N/A",Sheet2!M16))</f>
        <v/>
      </c>
      <c r="D16" s="5" t="str">
        <f>IF(Sheet2!L16="","",Sheet2!L16)</f>
        <v/>
      </c>
    </row>
    <row r="17" spans="1:4" x14ac:dyDescent="0.75">
      <c r="A17" t="str">
        <f>IF(Sheet2!K17="","",Sheet2!K17&amp;" [SN:"&amp;Sheet2!P17&amp;"]")</f>
        <v/>
      </c>
      <c r="B17" t="str">
        <f>IF(Sheet2!N17="","",Sheet2!N17 &amp;" "&amp;IF(Sheet2!O17="Monthly", "Month",IF(Sheet2!O17="Cycles","Flight Cycle",IF(Sheet2!O17="Hours","Flight Hour",Sheet2!O17))))</f>
        <v/>
      </c>
      <c r="C17" s="5" t="str">
        <f>IF(Sheet2!M17="","",IF(Sheet2!M17=0,"N/A",Sheet2!M17))</f>
        <v/>
      </c>
      <c r="D17" s="5" t="str">
        <f>IF(Sheet2!L17="","",Sheet2!L17)</f>
        <v/>
      </c>
    </row>
    <row r="18" spans="1:4" x14ac:dyDescent="0.75">
      <c r="A18" t="str">
        <f>IF(Sheet2!K18="","",Sheet2!K18&amp;" [SN:"&amp;Sheet2!P18&amp;"]")</f>
        <v/>
      </c>
      <c r="B18" t="str">
        <f>IF(Sheet2!N18="","",Sheet2!N18 &amp;" "&amp;IF(Sheet2!O18="Monthly", "Month",IF(Sheet2!O18="Cycles","Flight Cycle",IF(Sheet2!O18="Hours","Flight Hour",Sheet2!O18))))</f>
        <v/>
      </c>
      <c r="C18" s="5" t="str">
        <f>IF(Sheet2!M18="","",IF(Sheet2!M18=0,"N/A",Sheet2!M18))</f>
        <v/>
      </c>
      <c r="D18" s="5" t="str">
        <f>IF(Sheet2!L18="","",Sheet2!L18)</f>
        <v/>
      </c>
    </row>
    <row r="19" spans="1:4" x14ac:dyDescent="0.75">
      <c r="A19" t="str">
        <f>IF(Sheet2!K19="","",Sheet2!K19&amp;" [SN:"&amp;Sheet2!P19&amp;"]")</f>
        <v/>
      </c>
      <c r="B19" t="str">
        <f>IF(Sheet2!N19="","",Sheet2!N19 &amp;" "&amp;IF(Sheet2!O19="Monthly", "Month",IF(Sheet2!O19="Cycles","Flight Cycle",IF(Sheet2!O19="Hours","Flight Hour",Sheet2!O19))))</f>
        <v/>
      </c>
      <c r="C19" s="5" t="str">
        <f>IF(Sheet2!M19="","",IF(Sheet2!M19=0,"N/A",Sheet2!M19))</f>
        <v/>
      </c>
      <c r="D19" s="5" t="str">
        <f>IF(Sheet2!L19="","",Sheet2!L19)</f>
        <v/>
      </c>
    </row>
    <row r="20" spans="1:4" x14ac:dyDescent="0.75">
      <c r="A20" t="str">
        <f>IF(Sheet2!K20="","",Sheet2!K20&amp;" [SN:"&amp;Sheet2!P20&amp;"]")</f>
        <v/>
      </c>
      <c r="B20" t="str">
        <f>IF(Sheet2!N20="","",Sheet2!N20 &amp;" "&amp;IF(Sheet2!O20="Monthly", "Month",IF(Sheet2!O20="Cycles","Flight Cycle",IF(Sheet2!O20="Hours","Flight Hour",Sheet2!O20))))</f>
        <v/>
      </c>
      <c r="C20" s="5" t="str">
        <f>IF(Sheet2!M20="","",IF(Sheet2!M20=0,"N/A",Sheet2!M20))</f>
        <v/>
      </c>
      <c r="D20" s="5" t="str">
        <f>IF(Sheet2!L20="","",Sheet2!L20)</f>
        <v/>
      </c>
    </row>
    <row r="21" spans="1:4" x14ac:dyDescent="0.75">
      <c r="A21" t="str">
        <f>IF(Sheet2!K21="","",Sheet2!K21&amp;" [SN:"&amp;Sheet2!P21&amp;"]")</f>
        <v/>
      </c>
      <c r="B21" t="str">
        <f>IF(Sheet2!N21="","",Sheet2!N21 &amp;" "&amp;IF(Sheet2!O21="Monthly", "Month",IF(Sheet2!O21="Cycles","Flight Cycle",IF(Sheet2!O21="Hours","Flight Hour",Sheet2!O21))))</f>
        <v/>
      </c>
      <c r="C21" s="5" t="str">
        <f>IF(Sheet2!M21="","",IF(Sheet2!M21=0,"N/A",Sheet2!M21))</f>
        <v/>
      </c>
      <c r="D21" s="5" t="str">
        <f>IF(Sheet2!L21="","",Sheet2!L21)</f>
        <v/>
      </c>
    </row>
    <row r="22" spans="1:4" x14ac:dyDescent="0.75">
      <c r="A22" t="str">
        <f>IF(Sheet2!K22="","",Sheet2!K22&amp;" [SN:"&amp;Sheet2!P22&amp;"]")</f>
        <v/>
      </c>
      <c r="B22" t="str">
        <f>IF(Sheet2!N22="","",Sheet2!N22 &amp;" "&amp;IF(Sheet2!O22="Monthly", "Month",IF(Sheet2!O22="Cycles","Flight Cycle",IF(Sheet2!O22="Hours","Flight Hour",Sheet2!O22))))</f>
        <v/>
      </c>
      <c r="C22" s="5" t="str">
        <f>IF(Sheet2!M22="","",IF(Sheet2!M22=0,"N/A",Sheet2!M22))</f>
        <v/>
      </c>
      <c r="D22" s="5" t="str">
        <f>IF(Sheet2!L22="","",Sheet2!L22)</f>
        <v/>
      </c>
    </row>
    <row r="23" spans="1:4" x14ac:dyDescent="0.75">
      <c r="A23" t="str">
        <f>IF(Sheet2!K23="","",Sheet2!K23&amp;" [SN:"&amp;Sheet2!P23&amp;"]")</f>
        <v/>
      </c>
      <c r="B23" t="str">
        <f>IF(Sheet2!N23="","",Sheet2!N23 &amp;" "&amp;IF(Sheet2!O23="Monthly", "Month",IF(Sheet2!O23="Cycles","Flight Cycle",IF(Sheet2!O23="Hours","Flight Hour",Sheet2!O23))))</f>
        <v/>
      </c>
      <c r="C23" s="5" t="str">
        <f>IF(Sheet2!M23="","",IF(Sheet2!M23=0,"N/A",Sheet2!M23))</f>
        <v/>
      </c>
      <c r="D23" s="5" t="str">
        <f>IF(Sheet2!L23="","",Sheet2!L23)</f>
        <v/>
      </c>
    </row>
    <row r="24" spans="1:4" x14ac:dyDescent="0.75">
      <c r="A24" t="str">
        <f>IF(Sheet2!K24="","",Sheet2!K24&amp;" [SN:"&amp;Sheet2!P24&amp;"]")</f>
        <v/>
      </c>
      <c r="B24" t="str">
        <f>IF(Sheet2!N24="","",Sheet2!N24 &amp;" "&amp;IF(Sheet2!O24="Monthly", "Month",IF(Sheet2!O24="Cycles","Flight Cycle",IF(Sheet2!O24="Hours","Flight Hour",Sheet2!O24))))</f>
        <v/>
      </c>
      <c r="C24" s="5" t="str">
        <f>IF(Sheet2!M24="","",IF(Sheet2!M24=0,"N/A",Sheet2!M24))</f>
        <v/>
      </c>
      <c r="D24" s="5" t="str">
        <f>IF(Sheet2!L24="","",Sheet2!L24)</f>
        <v/>
      </c>
    </row>
    <row r="25" spans="1:4" x14ac:dyDescent="0.75">
      <c r="A25" t="str">
        <f>IF(Sheet2!K25="","",Sheet2!K25&amp;" [SN:"&amp;Sheet2!P25&amp;"]")</f>
        <v/>
      </c>
      <c r="B25" t="str">
        <f>IF(Sheet2!N25="","",Sheet2!N25 &amp;" "&amp;IF(Sheet2!O25="Monthly", "Month",IF(Sheet2!O25="Cycles","Flight Cycle",IF(Sheet2!O25="Hours","Flight Hour",Sheet2!O25))))</f>
        <v/>
      </c>
      <c r="C25" s="5" t="str">
        <f>IF(Sheet2!M25="","",IF(Sheet2!M25=0,"N/A",Sheet2!M25))</f>
        <v/>
      </c>
      <c r="D25" s="5" t="str">
        <f>IF(Sheet2!L25="","",Sheet2!L25)</f>
        <v/>
      </c>
    </row>
    <row r="26" spans="1:4" x14ac:dyDescent="0.75">
      <c r="A26" t="str">
        <f>IF(Sheet2!K26="","",Sheet2!K26&amp;" [SN:"&amp;Sheet2!P26&amp;"]")</f>
        <v/>
      </c>
      <c r="B26" t="str">
        <f>IF(Sheet2!N26="","",Sheet2!N26 &amp;" "&amp;IF(Sheet2!O26="Monthly", "Month",IF(Sheet2!O26="Cycles","Flight Cycle",IF(Sheet2!O26="Hours","Flight Hour",Sheet2!O26))))</f>
        <v/>
      </c>
      <c r="C26" s="5" t="str">
        <f>IF(Sheet2!M26="","",IF(Sheet2!M26=0,"N/A",Sheet2!M26))</f>
        <v/>
      </c>
      <c r="D26" s="5" t="str">
        <f>IF(Sheet2!L26="","",Sheet2!L26)</f>
        <v/>
      </c>
    </row>
    <row r="27" spans="1:4" x14ac:dyDescent="0.75">
      <c r="A27" t="str">
        <f>IF(Sheet2!K27="","",Sheet2!K27&amp;" [SN:"&amp;Sheet2!P27&amp;"]")</f>
        <v/>
      </c>
      <c r="B27" t="str">
        <f>IF(Sheet2!N27="","",Sheet2!N27 &amp;" "&amp;IF(Sheet2!O27="Monthly", "Month",IF(Sheet2!O27="Cycles","Flight Cycle",IF(Sheet2!O27="Hours","Flight Hour",Sheet2!O27))))</f>
        <v/>
      </c>
      <c r="C27" s="5" t="str">
        <f>IF(Sheet2!M27="","",IF(Sheet2!M27=0,"N/A",Sheet2!M27))</f>
        <v/>
      </c>
      <c r="D27" s="5" t="str">
        <f>IF(Sheet2!L27="","",Sheet2!L27)</f>
        <v/>
      </c>
    </row>
    <row r="28" spans="1:4" x14ac:dyDescent="0.75">
      <c r="A28" t="str">
        <f>IF(Sheet2!K28="","",Sheet2!K28&amp;" [SN:"&amp;Sheet2!P28&amp;"]")</f>
        <v/>
      </c>
      <c r="B28" t="str">
        <f>IF(Sheet2!N28="","",Sheet2!N28 &amp;" "&amp;IF(Sheet2!O28="Monthly", "Month",IF(Sheet2!O28="Cycles","Flight Cycle",IF(Sheet2!O28="Hours","Flight Hour",Sheet2!O28))))</f>
        <v/>
      </c>
      <c r="C28" s="5" t="str">
        <f>IF(Sheet2!M28="","",IF(Sheet2!M28=0,"N/A",Sheet2!M28))</f>
        <v/>
      </c>
      <c r="D28" s="5" t="str">
        <f>IF(Sheet2!L28="","",Sheet2!L28)</f>
        <v/>
      </c>
    </row>
    <row r="29" spans="1:4" x14ac:dyDescent="0.75">
      <c r="A29" t="str">
        <f>IF(Sheet2!K29="","",Sheet2!K29&amp;" [SN:"&amp;Sheet2!P29&amp;"]")</f>
        <v/>
      </c>
      <c r="B29" t="str">
        <f>IF(Sheet2!N29="","",Sheet2!N29 &amp;" "&amp;IF(Sheet2!O29="Monthly", "Month",IF(Sheet2!O29="Cycles","Flight Cycle",IF(Sheet2!O29="Hours","Flight Hour",Sheet2!O29))))</f>
        <v/>
      </c>
      <c r="C29" s="5" t="str">
        <f>IF(Sheet2!M29="","",IF(Sheet2!M29=0,"N/A",Sheet2!M29))</f>
        <v/>
      </c>
      <c r="D29" s="5" t="str">
        <f>IF(Sheet2!L29="","",Sheet2!L29)</f>
        <v/>
      </c>
    </row>
    <row r="30" spans="1:4" x14ac:dyDescent="0.75">
      <c r="A30" t="str">
        <f>IF(Sheet2!K30="","",Sheet2!K30&amp;" [SN:"&amp;Sheet2!P30&amp;"]")</f>
        <v/>
      </c>
      <c r="B30" t="str">
        <f>IF(Sheet2!N30="","",Sheet2!N30 &amp;" "&amp;IF(Sheet2!O30="Monthly", "Month",IF(Sheet2!O30="Cycles","Flight Cycle",IF(Sheet2!O30="Hours","Flight Hour",Sheet2!O30))))</f>
        <v/>
      </c>
      <c r="C30" s="5" t="str">
        <f>IF(Sheet2!M30="","",IF(Sheet2!M30=0,"N/A",Sheet2!M30))</f>
        <v/>
      </c>
      <c r="D30" s="5" t="str">
        <f>IF(Sheet2!L30="","",Sheet2!L30)</f>
        <v/>
      </c>
    </row>
    <row r="31" spans="1:4" x14ac:dyDescent="0.75">
      <c r="A31" t="str">
        <f>IF(Sheet2!K31="","",Sheet2!K31&amp;" [SN:"&amp;Sheet2!P31&amp;"]")</f>
        <v/>
      </c>
      <c r="B31" t="str">
        <f>IF(Sheet2!N31="","",Sheet2!N31 &amp;" "&amp;IF(Sheet2!O31="Monthly", "Month",IF(Sheet2!O31="Cycles","Flight Cycle",IF(Sheet2!O31="Hours","Flight Hour",Sheet2!O31))))</f>
        <v/>
      </c>
      <c r="C31" s="5" t="str">
        <f>IF(Sheet2!M31="","",IF(Sheet2!M31=0,"N/A",Sheet2!M31))</f>
        <v/>
      </c>
      <c r="D31" s="5" t="str">
        <f>IF(Sheet2!L31="","",Sheet2!L31)</f>
        <v/>
      </c>
    </row>
    <row r="32" spans="1:4" x14ac:dyDescent="0.75">
      <c r="A32" t="str">
        <f>IF(Sheet2!K32="","",Sheet2!K32&amp;" [SN:"&amp;Sheet2!P32&amp;"]")</f>
        <v/>
      </c>
      <c r="B32" t="str">
        <f>IF(Sheet2!N32="","",Sheet2!N32 &amp;" "&amp;IF(Sheet2!O32="Monthly", "Month",IF(Sheet2!O32="Cycles","Flight Cycle",IF(Sheet2!O32="Hours","Flight Hour",Sheet2!O32))))</f>
        <v/>
      </c>
      <c r="C32" s="5" t="str">
        <f>IF(Sheet2!M32="","",IF(Sheet2!M32=0,"N/A",Sheet2!M32))</f>
        <v/>
      </c>
      <c r="D32" s="5" t="str">
        <f>IF(Sheet2!L32="","",Sheet2!L32)</f>
        <v/>
      </c>
    </row>
    <row r="33" spans="1:4" x14ac:dyDescent="0.75">
      <c r="A33" t="str">
        <f>IF(Sheet2!K33="","",Sheet2!K33&amp;" [SN:"&amp;Sheet2!P33&amp;"]")</f>
        <v/>
      </c>
      <c r="B33" t="str">
        <f>IF(Sheet2!N33="","",Sheet2!N33 &amp;" "&amp;IF(Sheet2!O33="Monthly", "Month",IF(Sheet2!O33="Cycles","Flight Cycle",IF(Sheet2!O33="Hours","Flight Hour",Sheet2!O33))))</f>
        <v/>
      </c>
      <c r="C33" s="5" t="str">
        <f>IF(Sheet2!M33="","",IF(Sheet2!M33=0,"N/A",Sheet2!M33))</f>
        <v/>
      </c>
      <c r="D33" s="5" t="str">
        <f>IF(Sheet2!L33="","",Sheet2!L33)</f>
        <v/>
      </c>
    </row>
    <row r="34" spans="1:4" x14ac:dyDescent="0.75">
      <c r="A34" t="str">
        <f>IF(Sheet2!K34="","",Sheet2!K34&amp;" [SN:"&amp;Sheet2!P34&amp;"]")</f>
        <v/>
      </c>
      <c r="B34" t="str">
        <f>IF(Sheet2!N34="","",Sheet2!N34 &amp;" "&amp;IF(Sheet2!O34="Monthly", "Month",IF(Sheet2!O34="Cycles","Flight Cycle",IF(Sheet2!O34="Hours","Flight Hour",Sheet2!O34))))</f>
        <v/>
      </c>
      <c r="C34" s="5" t="str">
        <f>IF(Sheet2!M34="","",IF(Sheet2!M34=0,"N/A",Sheet2!M34))</f>
        <v/>
      </c>
      <c r="D34" s="5" t="str">
        <f>IF(Sheet2!L34="","",Sheet2!L34)</f>
        <v/>
      </c>
    </row>
    <row r="35" spans="1:4" x14ac:dyDescent="0.75">
      <c r="A35" t="str">
        <f>IF(Sheet2!K35="","",Sheet2!K35&amp;" [SN:"&amp;Sheet2!P35&amp;"]")</f>
        <v/>
      </c>
      <c r="B35" t="str">
        <f>IF(Sheet2!N35="","",Sheet2!N35 &amp;" "&amp;IF(Sheet2!O35="Monthly", "Month",IF(Sheet2!O35="Cycles","Flight Cycle",IF(Sheet2!O35="Hours","Flight Hour",Sheet2!O35))))</f>
        <v/>
      </c>
      <c r="C35" s="5" t="str">
        <f>IF(Sheet2!M35="","",IF(Sheet2!M35=0,"N/A",Sheet2!M35))</f>
        <v/>
      </c>
      <c r="D35" s="5" t="str">
        <f>IF(Sheet2!L35="","",Sheet2!L35)</f>
        <v/>
      </c>
    </row>
    <row r="36" spans="1:4" x14ac:dyDescent="0.75">
      <c r="A36" t="str">
        <f>IF(Sheet2!K36="","",Sheet2!K36&amp;" [SN:"&amp;Sheet2!P36&amp;"]")</f>
        <v/>
      </c>
      <c r="B36" t="str">
        <f>IF(Sheet2!N36="","",Sheet2!N36 &amp;" "&amp;IF(Sheet2!O36="Monthly", "Month",IF(Sheet2!O36="Cycles","Flight Cycle",IF(Sheet2!O36="Hours","Flight Hour",Sheet2!O36))))</f>
        <v/>
      </c>
      <c r="C36" s="5" t="str">
        <f>IF(Sheet2!M36="","",IF(Sheet2!M36=0,"N/A",Sheet2!M36))</f>
        <v/>
      </c>
      <c r="D36" s="5" t="str">
        <f>IF(Sheet2!L36="","",Sheet2!L36)</f>
        <v/>
      </c>
    </row>
    <row r="37" spans="1:4" x14ac:dyDescent="0.75">
      <c r="A37" t="str">
        <f>IF(Sheet2!K37="","",Sheet2!K37&amp;" [SN:"&amp;Sheet2!P37&amp;"]")</f>
        <v/>
      </c>
      <c r="B37" t="str">
        <f>IF(Sheet2!N37="","",Sheet2!N37 &amp;" "&amp;IF(Sheet2!O37="Monthly", "Month",IF(Sheet2!O37="Cycles","Flight Cycle",IF(Sheet2!O37="Hours","Flight Hour",Sheet2!O37))))</f>
        <v/>
      </c>
      <c r="C37" s="5" t="str">
        <f>IF(Sheet2!M37="","",IF(Sheet2!M37=0,"N/A",Sheet2!M37))</f>
        <v/>
      </c>
      <c r="D37" s="5" t="str">
        <f>IF(Sheet2!L37="","",Sheet2!L37)</f>
        <v/>
      </c>
    </row>
    <row r="38" spans="1:4" x14ac:dyDescent="0.75">
      <c r="A38" t="str">
        <f>IF(Sheet2!K38="","",Sheet2!K38&amp;" [SN:"&amp;Sheet2!P38&amp;"]")</f>
        <v/>
      </c>
      <c r="B38" t="str">
        <f>IF(Sheet2!N38="","",Sheet2!N38 &amp;" "&amp;IF(Sheet2!O38="Monthly", "Month",IF(Sheet2!O38="Cycles","Flight Cycle",IF(Sheet2!O38="Hours","Flight Hour",Sheet2!O38))))</f>
        <v/>
      </c>
      <c r="C38" s="5" t="str">
        <f>IF(Sheet2!M38="","",IF(Sheet2!M38=0,"N/A",Sheet2!M38))</f>
        <v/>
      </c>
      <c r="D38" s="5" t="str">
        <f>IF(Sheet2!L38="","",Sheet2!L38)</f>
        <v/>
      </c>
    </row>
    <row r="39" spans="1:4" x14ac:dyDescent="0.75">
      <c r="A39" t="str">
        <f>IF(Sheet2!K39="","",Sheet2!K39&amp;" [SN:"&amp;Sheet2!P39&amp;"]")</f>
        <v/>
      </c>
      <c r="B39" t="str">
        <f>IF(Sheet2!N39="","",Sheet2!N39 &amp;" "&amp;IF(Sheet2!O39="Monthly", "Month",IF(Sheet2!O39="Cycles","Flight Cycle",IF(Sheet2!O39="Hours","Flight Hour",Sheet2!O39))))</f>
        <v/>
      </c>
      <c r="C39" s="5" t="str">
        <f>IF(Sheet2!M39="","",IF(Sheet2!M39=0,"N/A",Sheet2!M39))</f>
        <v/>
      </c>
      <c r="D39" s="5" t="str">
        <f>IF(Sheet2!L39="","",Sheet2!L39)</f>
        <v/>
      </c>
    </row>
    <row r="40" spans="1:4" x14ac:dyDescent="0.75">
      <c r="A40" t="str">
        <f>IF(Sheet2!K40="","",Sheet2!K40&amp;" [SN:"&amp;Sheet2!P40&amp;"]")</f>
        <v/>
      </c>
      <c r="B40" t="str">
        <f>IF(Sheet2!N40="","",Sheet2!N40 &amp;" "&amp;IF(Sheet2!O40="Monthly", "Month",IF(Sheet2!O40="Cycles","Flight Cycle",IF(Sheet2!O40="Hours","Flight Hour",Sheet2!O40))))</f>
        <v/>
      </c>
      <c r="C40" s="5" t="str">
        <f>IF(Sheet2!M40="","",IF(Sheet2!M40=0,"N/A",Sheet2!M40))</f>
        <v/>
      </c>
      <c r="D40" s="5" t="str">
        <f>IF(Sheet2!L40="","",Sheet2!L40)</f>
        <v/>
      </c>
    </row>
    <row r="41" spans="1:4" x14ac:dyDescent="0.75">
      <c r="A41" t="str">
        <f>IF(Sheet2!K41="","",Sheet2!K41&amp;" [SN:"&amp;Sheet2!P41&amp;"]")</f>
        <v/>
      </c>
      <c r="B41" t="str">
        <f>IF(Sheet2!N41="","",Sheet2!N41 &amp;" "&amp;IF(Sheet2!O41="Monthly", "Month",IF(Sheet2!O41="Cycles","Flight Cycle",IF(Sheet2!O41="Hours","Flight Hour",Sheet2!O41))))</f>
        <v/>
      </c>
      <c r="C41" s="5" t="str">
        <f>IF(Sheet2!M41="","",IF(Sheet2!M41=0,"N/A",Sheet2!M41))</f>
        <v/>
      </c>
      <c r="D41" s="5" t="str">
        <f>IF(Sheet2!L41="","",Sheet2!L41)</f>
        <v/>
      </c>
    </row>
    <row r="42" spans="1:4" x14ac:dyDescent="0.75">
      <c r="A42" t="str">
        <f>IF(Sheet2!K42="","",Sheet2!K42&amp;" [SN:"&amp;Sheet2!P42&amp;"]")</f>
        <v/>
      </c>
      <c r="B42" t="str">
        <f>IF(Sheet2!N42="","",Sheet2!N42 &amp;" "&amp;IF(Sheet2!O42="Monthly", "Month",IF(Sheet2!O42="Cycles","Flight Cycle",IF(Sheet2!O42="Hours","Flight Hour",Sheet2!O42))))</f>
        <v/>
      </c>
      <c r="C42" s="5" t="str">
        <f>IF(Sheet2!M42="","",IF(Sheet2!M42=0,"N/A",Sheet2!M42))</f>
        <v/>
      </c>
      <c r="D42" s="5" t="str">
        <f>IF(Sheet2!L42="","",Sheet2!L42)</f>
        <v/>
      </c>
    </row>
    <row r="43" spans="1:4" x14ac:dyDescent="0.75">
      <c r="A43" t="str">
        <f>IF(Sheet2!K43="","",Sheet2!K43&amp;" [SN:"&amp;Sheet2!P43&amp;"]")</f>
        <v/>
      </c>
      <c r="B43" t="str">
        <f>IF(Sheet2!N43="","",Sheet2!N43 &amp;" "&amp;IF(Sheet2!O43="Monthly", "Month",IF(Sheet2!O43="Cycles","Flight Cycle",IF(Sheet2!O43="Hours","Flight Hour",Sheet2!O43))))</f>
        <v/>
      </c>
      <c r="C43" s="5" t="str">
        <f>IF(Sheet2!M43="","",IF(Sheet2!M43=0,"N/A",Sheet2!M43))</f>
        <v/>
      </c>
      <c r="D43" s="5" t="str">
        <f>IF(Sheet2!L43="","",Sheet2!L43)</f>
        <v/>
      </c>
    </row>
    <row r="44" spans="1:4" x14ac:dyDescent="0.75">
      <c r="A44" t="str">
        <f>IF(Sheet2!K44="","",Sheet2!K44&amp;" [SN:"&amp;Sheet2!P44&amp;"]")</f>
        <v/>
      </c>
      <c r="B44" t="str">
        <f>IF(Sheet2!N44="","",Sheet2!N44 &amp;" "&amp;IF(Sheet2!O44="Monthly", "Month",IF(Sheet2!O44="Cycles","Flight Cycle",IF(Sheet2!O44="Hours","Flight Hour",Sheet2!O44))))</f>
        <v/>
      </c>
      <c r="C44" s="5" t="str">
        <f>IF(Sheet2!M44="","",IF(Sheet2!M44=0,"N/A",Sheet2!M44))</f>
        <v/>
      </c>
      <c r="D44" s="5" t="str">
        <f>IF(Sheet2!L44="","",Sheet2!L44)</f>
        <v/>
      </c>
    </row>
    <row r="45" spans="1:4" x14ac:dyDescent="0.75">
      <c r="A45" t="str">
        <f>IF(Sheet2!K45="","",Sheet2!K45&amp;" [SN:"&amp;Sheet2!P45&amp;"]")</f>
        <v/>
      </c>
      <c r="B45" t="str">
        <f>IF(Sheet2!N45="","",Sheet2!N45 &amp;" "&amp;IF(Sheet2!O45="Monthly", "Month",IF(Sheet2!O45="Cycles","Flight Cycle",IF(Sheet2!O45="Hours","Flight Hour",Sheet2!O45))))</f>
        <v/>
      </c>
      <c r="C45" s="5" t="str">
        <f>IF(Sheet2!M45="","",IF(Sheet2!M45=0,"N/A",Sheet2!M45))</f>
        <v/>
      </c>
      <c r="D45" s="5" t="str">
        <f>IF(Sheet2!L45="","",Sheet2!L45)</f>
        <v/>
      </c>
    </row>
    <row r="46" spans="1:4" x14ac:dyDescent="0.75">
      <c r="A46" t="str">
        <f>IF(Sheet2!K46="","",Sheet2!K46&amp;" [SN:"&amp;Sheet2!P46&amp;"]")</f>
        <v/>
      </c>
      <c r="B46" t="str">
        <f>IF(Sheet2!N46="","",Sheet2!N46 &amp;" "&amp;IF(Sheet2!O46="Monthly", "Month",IF(Sheet2!O46="Cycles","Flight Cycle",IF(Sheet2!O46="Hours","Flight Hour",Sheet2!O46))))</f>
        <v/>
      </c>
      <c r="C46" s="5" t="str">
        <f>IF(Sheet2!M46="","",IF(Sheet2!M46=0,"N/A",Sheet2!M46))</f>
        <v/>
      </c>
      <c r="D46" s="5" t="str">
        <f>IF(Sheet2!L46="","",Sheet2!L46)</f>
        <v/>
      </c>
    </row>
    <row r="47" spans="1:4" x14ac:dyDescent="0.75">
      <c r="A47" t="str">
        <f>IF(Sheet2!K47="","",Sheet2!K47&amp;" [SN:"&amp;Sheet2!P47&amp;"]")</f>
        <v/>
      </c>
      <c r="B47" t="str">
        <f>IF(Sheet2!N47="","",Sheet2!N47 &amp;" "&amp;IF(Sheet2!O47="Monthly", "Month",IF(Sheet2!O47="Cycles","Flight Cycle",IF(Sheet2!O47="Hours","Flight Hour",Sheet2!O47))))</f>
        <v/>
      </c>
      <c r="C47" s="5" t="str">
        <f>IF(Sheet2!M47="","",IF(Sheet2!M47=0,"N/A",Sheet2!M47))</f>
        <v/>
      </c>
      <c r="D47" s="5" t="str">
        <f>IF(Sheet2!L47="","",Sheet2!L47)</f>
        <v/>
      </c>
    </row>
    <row r="48" spans="1:4" x14ac:dyDescent="0.75">
      <c r="A48" t="str">
        <f>IF(Sheet2!K48="","",Sheet2!K48&amp;" [SN:"&amp;Sheet2!P48&amp;"]")</f>
        <v/>
      </c>
      <c r="B48" t="str">
        <f>IF(Sheet2!N48="","",Sheet2!N48 &amp;" "&amp;IF(Sheet2!O48="Monthly", "Month",IF(Sheet2!O48="Cycles","Flight Cycle",IF(Sheet2!O48="Hours","Flight Hour",Sheet2!O48))))</f>
        <v/>
      </c>
      <c r="C48" s="5" t="str">
        <f>IF(Sheet2!M48="","",IF(Sheet2!M48=0,"N/A",Sheet2!M48))</f>
        <v/>
      </c>
      <c r="D48" s="5" t="str">
        <f>IF(Sheet2!L48="","",Sheet2!L48)</f>
        <v/>
      </c>
    </row>
    <row r="49" spans="1:4" x14ac:dyDescent="0.75">
      <c r="A49" t="str">
        <f>IF(Sheet2!K49="","",Sheet2!K49&amp;" [SN:"&amp;Sheet2!P49&amp;"]")</f>
        <v/>
      </c>
      <c r="B49" t="str">
        <f>IF(Sheet2!N49="","",Sheet2!N49 &amp;" "&amp;IF(Sheet2!O49="Monthly", "Month",IF(Sheet2!O49="Cycles","Flight Cycle",IF(Sheet2!O49="Hours","Flight Hour",Sheet2!O49))))</f>
        <v/>
      </c>
      <c r="C49" s="5" t="str">
        <f>IF(Sheet2!M49="","",IF(Sheet2!M49=0,"N/A",Sheet2!M49))</f>
        <v/>
      </c>
      <c r="D49" s="5" t="str">
        <f>IF(Sheet2!L49="","",Sheet2!L49)</f>
        <v/>
      </c>
    </row>
    <row r="50" spans="1:4" x14ac:dyDescent="0.75">
      <c r="A50" t="str">
        <f>IF(Sheet2!K50="","",Sheet2!K50&amp;" [SN:"&amp;Sheet2!P50&amp;"]")</f>
        <v/>
      </c>
      <c r="B50" t="str">
        <f>IF(Sheet2!N50="","",Sheet2!N50 &amp;" "&amp;IF(Sheet2!O50="Monthly", "Month",IF(Sheet2!O50="Cycles","Flight Cycle",IF(Sheet2!O50="Hours","Flight Hour",Sheet2!O50))))</f>
        <v/>
      </c>
      <c r="C50" s="5" t="str">
        <f>IF(Sheet2!M50="","",IF(Sheet2!M50=0,"N/A",Sheet2!M50))</f>
        <v/>
      </c>
      <c r="D50" s="5" t="str">
        <f>IF(Sheet2!L50="","",Sheet2!L50)</f>
        <v/>
      </c>
    </row>
    <row r="51" spans="1:4" x14ac:dyDescent="0.75">
      <c r="A51" t="str">
        <f>IF(Sheet2!K51="","",Sheet2!K51&amp;" [SN:"&amp;Sheet2!P51&amp;"]")</f>
        <v/>
      </c>
      <c r="B51" t="str">
        <f>IF(Sheet2!N51="","",Sheet2!N51 &amp;" "&amp;IF(Sheet2!O51="Monthly", "Month",IF(Sheet2!O51="Cycles","Flight Cycle",IF(Sheet2!O51="Hours","Flight Hour",Sheet2!O51))))</f>
        <v/>
      </c>
      <c r="C51" s="5" t="str">
        <f>IF(Sheet2!M51="","",IF(Sheet2!M51=0,"N/A",Sheet2!M51))</f>
        <v/>
      </c>
      <c r="D51" s="5" t="str">
        <f>IF(Sheet2!L51="","",Sheet2!L51)</f>
        <v/>
      </c>
    </row>
    <row r="52" spans="1:4" x14ac:dyDescent="0.75">
      <c r="A52" t="str">
        <f>IF(Sheet2!K52="","",Sheet2!K52&amp;" [SN:"&amp;Sheet2!P52&amp;"]")</f>
        <v/>
      </c>
      <c r="B52" t="str">
        <f>IF(Sheet2!N52="","",Sheet2!N52 &amp;" "&amp;IF(Sheet2!O52="Monthly", "Month",IF(Sheet2!O52="Cycles","Flight Cycle",IF(Sheet2!O52="Hours","Flight Hour",Sheet2!O52))))</f>
        <v/>
      </c>
      <c r="C52" s="5" t="str">
        <f>IF(Sheet2!M52="","",IF(Sheet2!M52=0,"N/A",Sheet2!M52))</f>
        <v/>
      </c>
      <c r="D52" s="5" t="str">
        <f>IF(Sheet2!L52="","",Sheet2!L52)</f>
        <v/>
      </c>
    </row>
    <row r="53" spans="1:4" x14ac:dyDescent="0.75">
      <c r="A53" t="str">
        <f>IF(Sheet2!K53="","",Sheet2!K53&amp;" [SN:"&amp;Sheet2!P53&amp;"]")</f>
        <v/>
      </c>
      <c r="B53" t="str">
        <f>IF(Sheet2!N53="","",Sheet2!N53 &amp;" "&amp;IF(Sheet2!O53="Monthly", "Month",IF(Sheet2!O53="Cycles","Flight Cycle",IF(Sheet2!O53="Hours","Flight Hour",Sheet2!O53))))</f>
        <v/>
      </c>
      <c r="C53" s="5" t="str">
        <f>IF(Sheet2!M53="","",IF(Sheet2!M53=0,"N/A",Sheet2!M53))</f>
        <v/>
      </c>
      <c r="D53" s="5" t="str">
        <f>IF(Sheet2!L53="","",Sheet2!L53)</f>
        <v/>
      </c>
    </row>
    <row r="54" spans="1:4" x14ac:dyDescent="0.75">
      <c r="A54" t="str">
        <f>IF(Sheet2!K54="","",Sheet2!K54&amp;" [SN:"&amp;Sheet2!P54&amp;"]")</f>
        <v/>
      </c>
      <c r="B54" t="str">
        <f>IF(Sheet2!N54="","",Sheet2!N54 &amp;" "&amp;IF(Sheet2!O54="Monthly", "Month",IF(Sheet2!O54="Cycles","Flight Cycle",IF(Sheet2!O54="Hours","Flight Hour",Sheet2!O54))))</f>
        <v/>
      </c>
      <c r="C54" s="5" t="str">
        <f>IF(Sheet2!M54="","",IF(Sheet2!M54=0,"N/A",Sheet2!M54))</f>
        <v/>
      </c>
      <c r="D54" s="5" t="str">
        <f>IF(Sheet2!L54="","",Sheet2!L54)</f>
        <v/>
      </c>
    </row>
    <row r="55" spans="1:4" x14ac:dyDescent="0.75">
      <c r="A55" t="str">
        <f>IF(Sheet2!K55="","",Sheet2!K55&amp;" [SN:"&amp;Sheet2!P55&amp;"]")</f>
        <v/>
      </c>
      <c r="B55" t="str">
        <f>IF(Sheet2!N55="","",Sheet2!N55 &amp;" "&amp;IF(Sheet2!O55="Monthly", "Month",IF(Sheet2!O55="Cycles","Flight Cycle",IF(Sheet2!O55="Hours","Flight Hour",Sheet2!O55))))</f>
        <v/>
      </c>
      <c r="C55" s="5" t="str">
        <f>IF(Sheet2!M55="","",IF(Sheet2!M55=0,"N/A",Sheet2!M55))</f>
        <v/>
      </c>
      <c r="D55" s="5" t="str">
        <f>IF(Sheet2!L55="","",Sheet2!L55)</f>
        <v/>
      </c>
    </row>
    <row r="56" spans="1:4" x14ac:dyDescent="0.75">
      <c r="A56" t="str">
        <f>IF(Sheet2!K56="","",Sheet2!K56&amp;" [SN:"&amp;Sheet2!P56&amp;"]")</f>
        <v/>
      </c>
      <c r="B56" t="str">
        <f>IF(Sheet2!N56="","",Sheet2!N56 &amp;" "&amp;IF(Sheet2!O56="Monthly", "Month",IF(Sheet2!O56="Cycles","Flight Cycle",IF(Sheet2!O56="Hours","Flight Hour",Sheet2!O56))))</f>
        <v/>
      </c>
      <c r="C56" s="5" t="str">
        <f>IF(Sheet2!M56="","",IF(Sheet2!M56=0,"N/A",Sheet2!M56))</f>
        <v/>
      </c>
      <c r="D56" s="5" t="str">
        <f>IF(Sheet2!L56="","",Sheet2!L56)</f>
        <v/>
      </c>
    </row>
    <row r="57" spans="1:4" x14ac:dyDescent="0.75">
      <c r="A57" t="str">
        <f>IF(Sheet2!K57="","",Sheet2!K57&amp;" [SN:"&amp;Sheet2!P57&amp;"]")</f>
        <v/>
      </c>
      <c r="B57" t="str">
        <f>IF(Sheet2!N57="","",Sheet2!N57 &amp;" "&amp;IF(Sheet2!O57="Monthly", "Month",IF(Sheet2!O57="Cycles","Flight Cycle",IF(Sheet2!O57="Hours","Flight Hour",Sheet2!O57))))</f>
        <v/>
      </c>
      <c r="C57" s="5" t="str">
        <f>IF(Sheet2!M57="","",IF(Sheet2!M57=0,"N/A",Sheet2!M57))</f>
        <v/>
      </c>
      <c r="D57" s="5" t="str">
        <f>IF(Sheet2!L57="","",Sheet2!L57)</f>
        <v/>
      </c>
    </row>
    <row r="58" spans="1:4" x14ac:dyDescent="0.75">
      <c r="A58" t="str">
        <f>IF(Sheet2!K58="","",Sheet2!K58&amp;" [SN:"&amp;Sheet2!P58&amp;"]")</f>
        <v/>
      </c>
      <c r="B58" t="str">
        <f>IF(Sheet2!N58="","",Sheet2!N58 &amp;" "&amp;IF(Sheet2!O58="Monthly", "Month",IF(Sheet2!O58="Cycles","Flight Cycle",IF(Sheet2!O58="Hours","Flight Hour",Sheet2!O58))))</f>
        <v/>
      </c>
      <c r="C58" s="5" t="str">
        <f>IF(Sheet2!M58="","",IF(Sheet2!M58=0,"N/A",Sheet2!M58))</f>
        <v/>
      </c>
      <c r="D58" s="5" t="str">
        <f>IF(Sheet2!L58="","",Sheet2!L58)</f>
        <v/>
      </c>
    </row>
    <row r="59" spans="1:4" x14ac:dyDescent="0.75">
      <c r="A59" t="str">
        <f>IF(Sheet2!K59="","",Sheet2!K59&amp;" [SN:"&amp;Sheet2!P59&amp;"]")</f>
        <v/>
      </c>
      <c r="B59" t="str">
        <f>IF(Sheet2!N59="","",Sheet2!N59 &amp;" "&amp;IF(Sheet2!O59="Monthly", "Month",IF(Sheet2!O59="Cycles","Flight Cycle",IF(Sheet2!O59="Hours","Flight Hour",Sheet2!O59))))</f>
        <v/>
      </c>
      <c r="C59" s="5" t="str">
        <f>IF(Sheet2!M59="","",IF(Sheet2!M59=0,"N/A",Sheet2!M59))</f>
        <v/>
      </c>
      <c r="D59" s="5" t="str">
        <f>IF(Sheet2!L59="","",Sheet2!L59)</f>
        <v/>
      </c>
    </row>
    <row r="60" spans="1:4" x14ac:dyDescent="0.75">
      <c r="A60" t="str">
        <f>IF(Sheet2!K60="","",Sheet2!K60&amp;" [SN:"&amp;Sheet2!P60&amp;"]")</f>
        <v/>
      </c>
      <c r="B60" t="str">
        <f>IF(Sheet2!N60="","",Sheet2!N60 &amp;" "&amp;IF(Sheet2!O60="Monthly", "Month",IF(Sheet2!O60="Cycles","Flight Cycle",IF(Sheet2!O60="Hours","Flight Hour",Sheet2!O60))))</f>
        <v/>
      </c>
      <c r="C60" s="5" t="str">
        <f>IF(Sheet2!M60="","",IF(Sheet2!M60=0,"N/A",Sheet2!M60))</f>
        <v/>
      </c>
      <c r="D60" s="5" t="str">
        <f>IF(Sheet2!L60="","",Sheet2!L60)</f>
        <v/>
      </c>
    </row>
    <row r="61" spans="1:4" x14ac:dyDescent="0.75">
      <c r="A61" t="str">
        <f>IF(Sheet2!K61="","",Sheet2!K61&amp;" [SN:"&amp;Sheet2!P61&amp;"]")</f>
        <v/>
      </c>
      <c r="B61" t="str">
        <f>IF(Sheet2!N61="","",Sheet2!N61 &amp;" "&amp;IF(Sheet2!O61="Monthly", "Month",IF(Sheet2!O61="Cycles","Flight Cycle",IF(Sheet2!O61="Hours","Flight Hour",Sheet2!O61))))</f>
        <v/>
      </c>
      <c r="C61" s="5" t="str">
        <f>IF(Sheet2!M61="","",IF(Sheet2!M61=0,"N/A",Sheet2!M61))</f>
        <v/>
      </c>
      <c r="D61" s="5" t="str">
        <f>IF(Sheet2!L61="","",Sheet2!L61)</f>
        <v/>
      </c>
    </row>
    <row r="62" spans="1:4" x14ac:dyDescent="0.75">
      <c r="A62" t="str">
        <f>IF(Sheet2!K62="","",Sheet2!K62&amp;" [SN:"&amp;Sheet2!P62&amp;"]")</f>
        <v/>
      </c>
      <c r="B62" t="str">
        <f>IF(Sheet2!N62="","",Sheet2!N62 &amp;" "&amp;IF(Sheet2!O62="Monthly", "Month",IF(Sheet2!O62="Cycles","Flight Cycle",IF(Sheet2!O62="Hours","Flight Hour",Sheet2!O62))))</f>
        <v/>
      </c>
      <c r="C62" s="5" t="str">
        <f>IF(Sheet2!M62="","",IF(Sheet2!M62=0,"N/A",Sheet2!M62))</f>
        <v/>
      </c>
      <c r="D62" s="5" t="str">
        <f>IF(Sheet2!L62="","",Sheet2!L62)</f>
        <v/>
      </c>
    </row>
    <row r="63" spans="1:4" x14ac:dyDescent="0.75">
      <c r="A63" t="str">
        <f>IF(Sheet2!K63="","",Sheet2!K63&amp;" [SN:"&amp;Sheet2!P63&amp;"]")</f>
        <v/>
      </c>
      <c r="B63" t="str">
        <f>IF(Sheet2!N63="","",Sheet2!N63 &amp;" "&amp;IF(Sheet2!O63="Monthly", "Month",IF(Sheet2!O63="Cycles","Flight Cycle",IF(Sheet2!O63="Hours","Flight Hour",Sheet2!O63))))</f>
        <v/>
      </c>
      <c r="C63" s="5" t="str">
        <f>IF(Sheet2!M63="","",IF(Sheet2!M63=0,"N/A",Sheet2!M63))</f>
        <v/>
      </c>
      <c r="D63" s="5" t="str">
        <f>IF(Sheet2!L63="","",Sheet2!L63)</f>
        <v/>
      </c>
    </row>
    <row r="64" spans="1:4" x14ac:dyDescent="0.75">
      <c r="A64" t="str">
        <f>IF(Sheet2!K64="","",Sheet2!K64&amp;" [SN:"&amp;Sheet2!P64&amp;"]")</f>
        <v/>
      </c>
      <c r="B64" t="str">
        <f>IF(Sheet2!N64="","",Sheet2!N64 &amp;" "&amp;IF(Sheet2!O64="Monthly", "Month",IF(Sheet2!O64="Cycles","Flight Cycle",IF(Sheet2!O64="Hours","Flight Hour",Sheet2!O64))))</f>
        <v/>
      </c>
      <c r="C64" s="5" t="str">
        <f>IF(Sheet2!M64="","",IF(Sheet2!M64=0,"N/A",Sheet2!M64))</f>
        <v/>
      </c>
      <c r="D64" s="5" t="str">
        <f>IF(Sheet2!L64="","",Sheet2!L64)</f>
        <v/>
      </c>
    </row>
    <row r="65" spans="1:4" x14ac:dyDescent="0.75">
      <c r="A65" t="str">
        <f>IF(Sheet2!K65="","",Sheet2!K65&amp;" [SN:"&amp;Sheet2!P65&amp;"]")</f>
        <v/>
      </c>
      <c r="B65" t="str">
        <f>IF(Sheet2!N65="","",Sheet2!N65 &amp;" "&amp;IF(Sheet2!O65="Monthly", "Month",IF(Sheet2!O65="Cycles","Flight Cycle",IF(Sheet2!O65="Hours","Flight Hour",Sheet2!O65))))</f>
        <v/>
      </c>
      <c r="C65" s="5" t="str">
        <f>IF(Sheet2!M65="","",IF(Sheet2!M65=0,"N/A",Sheet2!M65))</f>
        <v/>
      </c>
      <c r="D65" s="5" t="str">
        <f>IF(Sheet2!L65="","",Sheet2!L65)</f>
        <v/>
      </c>
    </row>
    <row r="66" spans="1:4" x14ac:dyDescent="0.75">
      <c r="A66" t="str">
        <f>IF(Sheet2!K66="","",Sheet2!K66&amp;" [SN:"&amp;Sheet2!P66&amp;"]")</f>
        <v/>
      </c>
      <c r="B66" t="str">
        <f>IF(Sheet2!N66="","",Sheet2!N66 &amp;" "&amp;IF(Sheet2!O66="Monthly", "Month",IF(Sheet2!O66="Cycles","Flight Cycle",IF(Sheet2!O66="Hours","Flight Hour",Sheet2!O66))))</f>
        <v/>
      </c>
      <c r="C66" s="5" t="str">
        <f>IF(Sheet2!M66="","",IF(Sheet2!M66=0,"N/A",Sheet2!M66))</f>
        <v/>
      </c>
      <c r="D66" s="5" t="str">
        <f>IF(Sheet2!L66="","",Sheet2!L66)</f>
        <v/>
      </c>
    </row>
    <row r="67" spans="1:4" x14ac:dyDescent="0.75">
      <c r="A67" t="str">
        <f>IF(Sheet2!K67="","",Sheet2!K67&amp;" [SN:"&amp;Sheet2!P67&amp;"]")</f>
        <v/>
      </c>
      <c r="B67" t="str">
        <f>IF(Sheet2!N67="","",Sheet2!N67 &amp;" "&amp;IF(Sheet2!O67="Monthly", "Month",IF(Sheet2!O67="Cycles","Flight Cycle",IF(Sheet2!O67="Hours","Flight Hour",Sheet2!O67))))</f>
        <v/>
      </c>
      <c r="C67" s="5" t="str">
        <f>IF(Sheet2!M67="","",IF(Sheet2!M67=0,"N/A",Sheet2!M67))</f>
        <v/>
      </c>
      <c r="D67" s="5" t="str">
        <f>IF(Sheet2!L67="","",Sheet2!L67)</f>
        <v/>
      </c>
    </row>
    <row r="68" spans="1:4" x14ac:dyDescent="0.75">
      <c r="A68" t="str">
        <f>IF(Sheet2!K68="","",Sheet2!K68&amp;" [SN:"&amp;Sheet2!P68&amp;"]")</f>
        <v/>
      </c>
      <c r="B68" t="str">
        <f>IF(Sheet2!N68="","",Sheet2!N68 &amp;" "&amp;IF(Sheet2!O68="Monthly", "Month",IF(Sheet2!O68="Cycles","Flight Cycle",IF(Sheet2!O68="Hours","Flight Hour",Sheet2!O68))))</f>
        <v/>
      </c>
      <c r="C68" s="5" t="str">
        <f>IF(Sheet2!M68="","",IF(Sheet2!M68=0,"N/A",Sheet2!M68))</f>
        <v/>
      </c>
      <c r="D68" s="5" t="str">
        <f>IF(Sheet2!L68="","",Sheet2!L68)</f>
        <v/>
      </c>
    </row>
    <row r="69" spans="1:4" x14ac:dyDescent="0.75">
      <c r="A69" t="str">
        <f>IF(Sheet2!K69="","",Sheet2!K69&amp;" [SN:"&amp;Sheet2!P69&amp;"]")</f>
        <v/>
      </c>
      <c r="B69" t="str">
        <f>IF(Sheet2!N69="","",Sheet2!N69 &amp;" "&amp;IF(Sheet2!O69="Monthly", "Month",IF(Sheet2!O69="Cycles","Flight Cycle",IF(Sheet2!O69="Hours","Flight Hour",Sheet2!O69))))</f>
        <v/>
      </c>
      <c r="C69" s="5" t="str">
        <f>IF(Sheet2!M69="","",IF(Sheet2!M69=0,"N/A",Sheet2!M69))</f>
        <v/>
      </c>
      <c r="D69" s="5" t="str">
        <f>IF(Sheet2!L69="","",Sheet2!L69)</f>
        <v/>
      </c>
    </row>
    <row r="70" spans="1:4" x14ac:dyDescent="0.75">
      <c r="A70" t="str">
        <f>IF(Sheet2!K70="","",Sheet2!K70&amp;" [SN:"&amp;Sheet2!P70&amp;"]")</f>
        <v/>
      </c>
      <c r="B70" t="str">
        <f>IF(Sheet2!N70="","",Sheet2!N70 &amp;" "&amp;IF(Sheet2!O70="Monthly", "Month",IF(Sheet2!O70="Cycles","Flight Cycle",IF(Sheet2!O70="Hours","Flight Hour",Sheet2!O70))))</f>
        <v/>
      </c>
      <c r="C70" s="5" t="str">
        <f>IF(Sheet2!M70="","",IF(Sheet2!M70=0,"N/A",Sheet2!M70))</f>
        <v/>
      </c>
      <c r="D70" s="5" t="str">
        <f>IF(Sheet2!L70="","",Sheet2!L70)</f>
        <v/>
      </c>
    </row>
    <row r="71" spans="1:4" x14ac:dyDescent="0.75">
      <c r="A71" t="str">
        <f>IF(Sheet2!K71="","",Sheet2!K71&amp;" [SN:"&amp;Sheet2!P71&amp;"]")</f>
        <v/>
      </c>
      <c r="B71" t="str">
        <f>IF(Sheet2!N71="","",Sheet2!N71 &amp;" "&amp;IF(Sheet2!O71="Monthly", "Month",IF(Sheet2!O71="Cycles","Flight Cycle",IF(Sheet2!O71="Hours","Flight Hour",Sheet2!O71))))</f>
        <v/>
      </c>
      <c r="C71" s="5" t="str">
        <f>IF(Sheet2!M71="","",IF(Sheet2!M71=0,"N/A",Sheet2!M71))</f>
        <v/>
      </c>
      <c r="D71" s="5" t="str">
        <f>IF(Sheet2!L71="","",Sheet2!L71)</f>
        <v/>
      </c>
    </row>
    <row r="72" spans="1:4" x14ac:dyDescent="0.75">
      <c r="A72" t="str">
        <f>IF(Sheet2!K72="","",Sheet2!K72&amp;" [SN:"&amp;Sheet2!P72&amp;"]")</f>
        <v/>
      </c>
      <c r="B72" t="str">
        <f>IF(Sheet2!N72="","",Sheet2!N72 &amp;" "&amp;IF(Sheet2!O72="Monthly", "Month",IF(Sheet2!O72="Cycles","Flight Cycle",IF(Sheet2!O72="Hours","Flight Hour",Sheet2!O72))))</f>
        <v/>
      </c>
      <c r="C72" s="5" t="str">
        <f>IF(Sheet2!M72="","",IF(Sheet2!M72=0,"N/A",Sheet2!M72))</f>
        <v/>
      </c>
      <c r="D72" s="5" t="str">
        <f>IF(Sheet2!L72="","",Sheet2!L72)</f>
        <v/>
      </c>
    </row>
    <row r="73" spans="1:4" x14ac:dyDescent="0.75">
      <c r="A73" t="str">
        <f>IF(Sheet2!K73="","",Sheet2!K73&amp;" [SN:"&amp;Sheet2!P73&amp;"]")</f>
        <v/>
      </c>
      <c r="B73" t="str">
        <f>IF(Sheet2!N73="","",Sheet2!N73 &amp;" "&amp;IF(Sheet2!O73="Monthly", "Month",IF(Sheet2!O73="Cycles","Flight Cycle",IF(Sheet2!O73="Hours","Flight Hour",Sheet2!O73))))</f>
        <v/>
      </c>
      <c r="C73" s="5" t="str">
        <f>IF(Sheet2!M73="","",IF(Sheet2!M73=0,"N/A",Sheet2!M73))</f>
        <v/>
      </c>
      <c r="D73" s="5" t="str">
        <f>IF(Sheet2!L73="","",Sheet2!L73)</f>
        <v/>
      </c>
    </row>
    <row r="74" spans="1:4" x14ac:dyDescent="0.75">
      <c r="A74" t="str">
        <f>IF(Sheet2!K74="","",Sheet2!K74&amp;" [SN:"&amp;Sheet2!P74&amp;"]")</f>
        <v/>
      </c>
      <c r="B74" t="str">
        <f>IF(Sheet2!N74="","",Sheet2!N74 &amp;" "&amp;IF(Sheet2!O74="Monthly", "Month",IF(Sheet2!O74="Cycles","Flight Cycle",IF(Sheet2!O74="Hours","Flight Hour",Sheet2!O74))))</f>
        <v/>
      </c>
      <c r="C74" s="5" t="str">
        <f>IF(Sheet2!M74="","",IF(Sheet2!M74=0,"N/A",Sheet2!M74))</f>
        <v/>
      </c>
      <c r="D74" s="5" t="str">
        <f>IF(Sheet2!L74="","",Sheet2!L74)</f>
        <v/>
      </c>
    </row>
    <row r="75" spans="1:4" x14ac:dyDescent="0.75">
      <c r="A75" t="str">
        <f>IF(Sheet2!K75="","",Sheet2!K75&amp;" [SN:"&amp;Sheet2!P75&amp;"]")</f>
        <v/>
      </c>
      <c r="B75" t="str">
        <f>IF(Sheet2!N75="","",Sheet2!N75 &amp;" "&amp;IF(Sheet2!O75="Monthly", "Month",IF(Sheet2!O75="Cycles","Flight Cycle",IF(Sheet2!O75="Hours","Flight Hour",Sheet2!O75))))</f>
        <v/>
      </c>
      <c r="C75" s="5" t="str">
        <f>IF(Sheet2!M75="","",IF(Sheet2!M75=0,"N/A",Sheet2!M75))</f>
        <v/>
      </c>
      <c r="D75" s="5" t="str">
        <f>IF(Sheet2!L75="","",Sheet2!L75)</f>
        <v/>
      </c>
    </row>
    <row r="76" spans="1:4" x14ac:dyDescent="0.75">
      <c r="A76" t="str">
        <f>IF(Sheet2!K76="","",Sheet2!K76&amp;" [SN:"&amp;Sheet2!P76&amp;"]")</f>
        <v/>
      </c>
      <c r="B76" t="str">
        <f>IF(Sheet2!N76="","",Sheet2!N76 &amp;" "&amp;IF(Sheet2!O76="Monthly", "Month",IF(Sheet2!O76="Cycles","Flight Cycle",IF(Sheet2!O76="Hours","Flight Hour",Sheet2!O76))))</f>
        <v/>
      </c>
      <c r="C76" s="5" t="str">
        <f>IF(Sheet2!M76="","",IF(Sheet2!M76=0,"N/A",Sheet2!M76))</f>
        <v/>
      </c>
      <c r="D76" s="5" t="str">
        <f>IF(Sheet2!L76="","",Sheet2!L76)</f>
        <v/>
      </c>
    </row>
    <row r="77" spans="1:4" x14ac:dyDescent="0.75">
      <c r="A77" t="str">
        <f>IF(Sheet2!K77="","",Sheet2!K77&amp;" [SN:"&amp;Sheet2!P77&amp;"]")</f>
        <v/>
      </c>
      <c r="B77" t="str">
        <f>IF(Sheet2!N77="","",Sheet2!N77 &amp;" "&amp;IF(Sheet2!O77="Monthly", "Month",IF(Sheet2!O77="Cycles","Flight Cycle",IF(Sheet2!O77="Hours","Flight Hour",Sheet2!O77))))</f>
        <v/>
      </c>
      <c r="C77" s="5" t="str">
        <f>IF(Sheet2!M77="","",IF(Sheet2!M77=0,"N/A",Sheet2!M77))</f>
        <v/>
      </c>
      <c r="D77" s="5" t="str">
        <f>IF(Sheet2!L77="","",Sheet2!L77)</f>
        <v/>
      </c>
    </row>
    <row r="78" spans="1:4" x14ac:dyDescent="0.75">
      <c r="A78" t="str">
        <f>IF(Sheet2!K78="","",Sheet2!K78&amp;" [SN:"&amp;Sheet2!P78&amp;"]")</f>
        <v/>
      </c>
      <c r="B78" t="str">
        <f>IF(Sheet2!N78="","",Sheet2!N78 &amp;" "&amp;IF(Sheet2!O78="Monthly", "Month",IF(Sheet2!O78="Cycles","Flight Cycle",IF(Sheet2!O78="Hours","Flight Hour",Sheet2!O78))))</f>
        <v/>
      </c>
      <c r="C78" s="5" t="str">
        <f>IF(Sheet2!M78="","",IF(Sheet2!M78=0,"N/A",Sheet2!M78))</f>
        <v/>
      </c>
      <c r="D78" s="5" t="str">
        <f>IF(Sheet2!L78="","",Sheet2!L78)</f>
        <v/>
      </c>
    </row>
    <row r="79" spans="1:4" x14ac:dyDescent="0.75">
      <c r="A79" t="str">
        <f>IF(Sheet2!K79="","",Sheet2!K79&amp;" [SN:"&amp;Sheet2!P79&amp;"]")</f>
        <v/>
      </c>
      <c r="B79" t="str">
        <f>IF(Sheet2!N79="","",Sheet2!N79 &amp;" "&amp;IF(Sheet2!O79="Monthly", "Month",IF(Sheet2!O79="Cycles","Flight Cycle",IF(Sheet2!O79="Hours","Flight Hour",Sheet2!O79))))</f>
        <v/>
      </c>
      <c r="C79" s="5" t="str">
        <f>IF(Sheet2!M79="","",IF(Sheet2!M79=0,"N/A",Sheet2!M79))</f>
        <v/>
      </c>
      <c r="D79" s="5" t="str">
        <f>IF(Sheet2!L79="","",Sheet2!L79)</f>
        <v/>
      </c>
    </row>
    <row r="80" spans="1:4" x14ac:dyDescent="0.75">
      <c r="A80" t="str">
        <f>IF(Sheet2!K80="","",Sheet2!K80&amp;" [SN:"&amp;Sheet2!P80&amp;"]")</f>
        <v/>
      </c>
      <c r="B80" t="str">
        <f>IF(Sheet2!N80="","",Sheet2!N80 &amp;" "&amp;IF(Sheet2!O80="Monthly", "Month",IF(Sheet2!O80="Cycles","Flight Cycle",IF(Sheet2!O80="Hours","Flight Hour",Sheet2!O80))))</f>
        <v/>
      </c>
      <c r="C80" s="5" t="str">
        <f>IF(Sheet2!M80="","",IF(Sheet2!M80=0,"N/A",Sheet2!M80))</f>
        <v/>
      </c>
      <c r="D80" s="5" t="str">
        <f>IF(Sheet2!L80="","",Sheet2!L80)</f>
        <v/>
      </c>
    </row>
    <row r="81" spans="1:4" x14ac:dyDescent="0.75">
      <c r="A81" t="str">
        <f>IF(Sheet2!K81="","",Sheet2!K81&amp;" [SN:"&amp;Sheet2!P81&amp;"]")</f>
        <v/>
      </c>
      <c r="B81" t="str">
        <f>IF(Sheet2!N81="","",Sheet2!N81 &amp;" "&amp;IF(Sheet2!O81="Monthly", "Month",IF(Sheet2!O81="Cycles","Flight Cycle",IF(Sheet2!O81="Hours","Flight Hour",Sheet2!O81))))</f>
        <v/>
      </c>
      <c r="C81" s="5" t="str">
        <f>IF(Sheet2!M81="","",IF(Sheet2!M81=0,"N/A",Sheet2!M81))</f>
        <v/>
      </c>
      <c r="D81" s="5" t="str">
        <f>IF(Sheet2!L81="","",Sheet2!L81)</f>
        <v/>
      </c>
    </row>
    <row r="82" spans="1:4" x14ac:dyDescent="0.75">
      <c r="A82" t="str">
        <f>IF(Sheet2!K82="","",Sheet2!K82&amp;" [SN:"&amp;Sheet2!P82&amp;"]")</f>
        <v/>
      </c>
      <c r="B82" t="str">
        <f>IF(Sheet2!N82="","",Sheet2!N82 &amp;" "&amp;IF(Sheet2!O82="Monthly", "Month",IF(Sheet2!O82="Cycles","Flight Cycle",IF(Sheet2!O82="Hours","Flight Hour",Sheet2!O82))))</f>
        <v/>
      </c>
      <c r="C82" s="5" t="str">
        <f>IF(Sheet2!M82="","",IF(Sheet2!M82=0,"N/A",Sheet2!M82))</f>
        <v/>
      </c>
      <c r="D82" s="5" t="str">
        <f>IF(Sheet2!L82="","",Sheet2!L82)</f>
        <v/>
      </c>
    </row>
    <row r="83" spans="1:4" x14ac:dyDescent="0.75">
      <c r="A83" t="str">
        <f>IF(Sheet2!K83="","",Sheet2!K83&amp;" [SN:"&amp;Sheet2!P83&amp;"]")</f>
        <v/>
      </c>
      <c r="B83" t="str">
        <f>IF(Sheet2!N83="","",Sheet2!N83 &amp;" "&amp;IF(Sheet2!O83="Monthly", "Month",IF(Sheet2!O83="Cycles","Flight Cycle",IF(Sheet2!O83="Hours","Flight Hour",Sheet2!O83))))</f>
        <v/>
      </c>
      <c r="C83" s="5" t="str">
        <f>IF(Sheet2!M83="","",IF(Sheet2!M83=0,"N/A",Sheet2!M83))</f>
        <v/>
      </c>
      <c r="D83" s="5" t="str">
        <f>IF(Sheet2!L83="","",Sheet2!L83)</f>
        <v/>
      </c>
    </row>
    <row r="84" spans="1:4" x14ac:dyDescent="0.75">
      <c r="A84" t="str">
        <f>IF(Sheet2!K84="","",Sheet2!K84&amp;" [SN:"&amp;Sheet2!P84&amp;"]")</f>
        <v/>
      </c>
      <c r="B84" t="str">
        <f>IF(Sheet2!N84="","",Sheet2!N84 &amp;" "&amp;IF(Sheet2!O84="Monthly", "Month",IF(Sheet2!O84="Cycles","Flight Cycle",IF(Sheet2!O84="Hours","Flight Hour",Sheet2!O84))))</f>
        <v/>
      </c>
      <c r="C84" s="5" t="str">
        <f>IF(Sheet2!M84="","",IF(Sheet2!M84=0,"N/A",Sheet2!M84))</f>
        <v/>
      </c>
      <c r="D84" s="5" t="str">
        <f>IF(Sheet2!L84="","",Sheet2!L84)</f>
        <v/>
      </c>
    </row>
    <row r="85" spans="1:4" x14ac:dyDescent="0.75">
      <c r="A85" t="str">
        <f>IF(Sheet2!K85="","",Sheet2!K85&amp;" [SN:"&amp;Sheet2!P85&amp;"]")</f>
        <v/>
      </c>
      <c r="B85" t="str">
        <f>IF(Sheet2!N85="","",Sheet2!N85 &amp;" "&amp;IF(Sheet2!O85="Monthly", "Month",IF(Sheet2!O85="Cycles","Flight Cycle",IF(Sheet2!O85="Hours","Flight Hour",Sheet2!O85))))</f>
        <v/>
      </c>
      <c r="C85" s="5" t="str">
        <f>IF(Sheet2!M85="","",IF(Sheet2!M85=0,"N/A",Sheet2!M85))</f>
        <v/>
      </c>
      <c r="D85" s="5" t="str">
        <f>IF(Sheet2!L85="","",Sheet2!L85)</f>
        <v/>
      </c>
    </row>
    <row r="86" spans="1:4" x14ac:dyDescent="0.75">
      <c r="A86" t="str">
        <f>IF(Sheet2!K86="","",Sheet2!K86&amp;" [SN:"&amp;Sheet2!P86&amp;"]")</f>
        <v/>
      </c>
      <c r="B86" t="str">
        <f>IF(Sheet2!N86="","",Sheet2!N86 &amp;" "&amp;IF(Sheet2!O86="Monthly", "Month",IF(Sheet2!O86="Cycles","Flight Cycle",IF(Sheet2!O86="Hours","Flight Hour",Sheet2!O86))))</f>
        <v/>
      </c>
      <c r="C86" s="5" t="str">
        <f>IF(Sheet2!M86="","",IF(Sheet2!M86=0,"N/A",Sheet2!M86))</f>
        <v/>
      </c>
      <c r="D86" s="5" t="str">
        <f>IF(Sheet2!L86="","",Sheet2!L86)</f>
        <v/>
      </c>
    </row>
    <row r="87" spans="1:4" x14ac:dyDescent="0.75">
      <c r="A87" t="str">
        <f>IF(Sheet2!K87="","",Sheet2!K87&amp;" [SN:"&amp;Sheet2!P87&amp;"]")</f>
        <v/>
      </c>
      <c r="B87" t="str">
        <f>IF(Sheet2!N87="","",Sheet2!N87 &amp;" "&amp;IF(Sheet2!O87="Monthly", "Month",IF(Sheet2!O87="Cycles","Flight Cycle",IF(Sheet2!O87="Hours","Flight Hour",Sheet2!O87))))</f>
        <v/>
      </c>
      <c r="C87" s="5" t="str">
        <f>IF(Sheet2!M87="","",IF(Sheet2!M87=0,"N/A",Sheet2!M87))</f>
        <v/>
      </c>
      <c r="D87" s="5" t="str">
        <f>IF(Sheet2!L87="","",Sheet2!L87)</f>
        <v/>
      </c>
    </row>
    <row r="88" spans="1:4" x14ac:dyDescent="0.75">
      <c r="A88" t="str">
        <f>IF(Sheet2!K88="","",Sheet2!K88&amp;" [SN:"&amp;Sheet2!P88&amp;"]")</f>
        <v/>
      </c>
      <c r="B88" t="str">
        <f>IF(Sheet2!N88="","",Sheet2!N88 &amp;" "&amp;IF(Sheet2!O88="Monthly", "Month",IF(Sheet2!O88="Cycles","Flight Cycle",IF(Sheet2!O88="Hours","Flight Hour",Sheet2!O88))))</f>
        <v/>
      </c>
      <c r="C88" s="5" t="str">
        <f>IF(Sheet2!M88="","",IF(Sheet2!M88=0,"N/A",Sheet2!M88))</f>
        <v/>
      </c>
      <c r="D88" s="5" t="str">
        <f>IF(Sheet2!L88="","",Sheet2!L88)</f>
        <v/>
      </c>
    </row>
    <row r="89" spans="1:4" x14ac:dyDescent="0.75">
      <c r="A89" t="str">
        <f>IF(Sheet2!K89="","",Sheet2!K89&amp;" [SN:"&amp;Sheet2!P89&amp;"]")</f>
        <v/>
      </c>
      <c r="B89" t="str">
        <f>IF(Sheet2!N89="","",Sheet2!N89 &amp;" "&amp;IF(Sheet2!O89="Monthly", "Month",IF(Sheet2!O89="Cycles","Flight Cycle",IF(Sheet2!O89="Hours","Flight Hour",Sheet2!O89))))</f>
        <v/>
      </c>
      <c r="C89" s="5" t="str">
        <f>IF(Sheet2!M89="","",IF(Sheet2!M89=0,"N/A",Sheet2!M89))</f>
        <v/>
      </c>
      <c r="D89" s="5" t="str">
        <f>IF(Sheet2!L89="","",Sheet2!L89)</f>
        <v/>
      </c>
    </row>
    <row r="90" spans="1:4" x14ac:dyDescent="0.75">
      <c r="A90" t="str">
        <f>IF(Sheet2!K90="","",Sheet2!K90&amp;" [SN:"&amp;Sheet2!P90&amp;"]")</f>
        <v/>
      </c>
      <c r="B90" t="str">
        <f>IF(Sheet2!N90="","",Sheet2!N90 &amp;" "&amp;IF(Sheet2!O90="Monthly", "Month",IF(Sheet2!O90="Cycles","Flight Cycle",IF(Sheet2!O90="Hours","Flight Hour",Sheet2!O90))))</f>
        <v/>
      </c>
      <c r="C90" s="5" t="str">
        <f>IF(Sheet2!M90="","",IF(Sheet2!M90=0,"N/A",Sheet2!M90))</f>
        <v/>
      </c>
      <c r="D90" s="5" t="str">
        <f>IF(Sheet2!L90="","",Sheet2!L90)</f>
        <v/>
      </c>
    </row>
    <row r="91" spans="1:4" x14ac:dyDescent="0.75">
      <c r="A91" t="str">
        <f>IF(Sheet2!K91="","",Sheet2!K91&amp;" [SN:"&amp;Sheet2!P91&amp;"]")</f>
        <v/>
      </c>
      <c r="B91" t="str">
        <f>IF(Sheet2!N91="","",Sheet2!N91 &amp;" "&amp;IF(Sheet2!O91="Monthly", "Month",IF(Sheet2!O91="Cycles","Flight Cycle",IF(Sheet2!O91="Hours","Flight Hour",Sheet2!O91))))</f>
        <v/>
      </c>
      <c r="C91" s="5" t="str">
        <f>IF(Sheet2!M91="","",IF(Sheet2!M91=0,"N/A",Sheet2!M91))</f>
        <v/>
      </c>
      <c r="D91" s="5" t="str">
        <f>IF(Sheet2!L91="","",Sheet2!L91)</f>
        <v/>
      </c>
    </row>
    <row r="92" spans="1:4" x14ac:dyDescent="0.75">
      <c r="A92" t="str">
        <f>IF(Sheet2!K92="","",Sheet2!K92&amp;" [SN:"&amp;Sheet2!P92&amp;"]")</f>
        <v/>
      </c>
      <c r="B92" t="str">
        <f>IF(Sheet2!N92="","",Sheet2!N92 &amp;" "&amp;IF(Sheet2!O92="Monthly", "Month",IF(Sheet2!O92="Cycles","Flight Cycle",IF(Sheet2!O92="Hours","Flight Hour",Sheet2!O92))))</f>
        <v/>
      </c>
      <c r="C92" s="5" t="str">
        <f>IF(Sheet2!M92="","",IF(Sheet2!M92=0,"N/A",Sheet2!M92))</f>
        <v/>
      </c>
      <c r="D92" s="5" t="str">
        <f>IF(Sheet2!L92="","",Sheet2!L92)</f>
        <v/>
      </c>
    </row>
    <row r="93" spans="1:4" x14ac:dyDescent="0.75">
      <c r="A93" t="str">
        <f>IF(Sheet2!K93="","",Sheet2!K93&amp;" [SN:"&amp;Sheet2!P93&amp;"]")</f>
        <v/>
      </c>
      <c r="B93" t="str">
        <f>IF(Sheet2!N93="","",Sheet2!N93 &amp;" "&amp;IF(Sheet2!O93="Monthly", "Month",IF(Sheet2!O93="Cycles","Flight Cycle",IF(Sheet2!O93="Hours","Flight Hour",Sheet2!O93))))</f>
        <v/>
      </c>
      <c r="C93" s="5" t="str">
        <f>IF(Sheet2!M93="","",IF(Sheet2!M93=0,"N/A",Sheet2!M93))</f>
        <v/>
      </c>
      <c r="D93" s="5" t="str">
        <f>IF(Sheet2!L93="","",Sheet2!L93)</f>
        <v/>
      </c>
    </row>
    <row r="94" spans="1:4" x14ac:dyDescent="0.75">
      <c r="A94" t="str">
        <f>IF(Sheet2!K94="","",Sheet2!K94&amp;" [SN:"&amp;Sheet2!P94&amp;"]")</f>
        <v/>
      </c>
      <c r="B94" t="str">
        <f>IF(Sheet2!N94="","",Sheet2!N94 &amp;" "&amp;IF(Sheet2!O94="Monthly", "Month",IF(Sheet2!O94="Cycles","Flight Cycle",IF(Sheet2!O94="Hours","Flight Hour",Sheet2!O94))))</f>
        <v/>
      </c>
      <c r="C94" s="5" t="str">
        <f>IF(Sheet2!M94="","",IF(Sheet2!M94=0,"N/A",Sheet2!M94))</f>
        <v/>
      </c>
      <c r="D94" s="5" t="str">
        <f>IF(Sheet2!L94="","",Sheet2!L94)</f>
        <v/>
      </c>
    </row>
    <row r="95" spans="1:4" x14ac:dyDescent="0.75">
      <c r="A95" t="str">
        <f>IF(Sheet2!K95="","",Sheet2!K95&amp;" [SN:"&amp;Sheet2!P95&amp;"]")</f>
        <v/>
      </c>
      <c r="B95" t="str">
        <f>IF(Sheet2!N95="","",Sheet2!N95 &amp;" "&amp;IF(Sheet2!O95="Monthly", "Month",IF(Sheet2!O95="Cycles","Flight Cycle",IF(Sheet2!O95="Hours","Flight Hour",Sheet2!O95))))</f>
        <v/>
      </c>
      <c r="C95" s="5" t="str">
        <f>IF(Sheet2!M95="","",IF(Sheet2!M95=0,"N/A",Sheet2!M95))</f>
        <v/>
      </c>
      <c r="D95" s="5" t="str">
        <f>IF(Sheet2!L95="","",Sheet2!L95)</f>
        <v/>
      </c>
    </row>
    <row r="96" spans="1:4" x14ac:dyDescent="0.75">
      <c r="A96" t="str">
        <f>IF(Sheet2!K96="","",Sheet2!K96&amp;" [SN:"&amp;Sheet2!P96&amp;"]")</f>
        <v/>
      </c>
      <c r="B96" t="str">
        <f>IF(Sheet2!N96="","",Sheet2!N96 &amp;" "&amp;IF(Sheet2!O96="Monthly", "Month",IF(Sheet2!O96="Cycles","Flight Cycle",IF(Sheet2!O96="Hours","Flight Hour",Sheet2!O96))))</f>
        <v/>
      </c>
      <c r="C96" s="5" t="str">
        <f>IF(Sheet2!M96="","",IF(Sheet2!M96=0,"N/A",Sheet2!M96))</f>
        <v/>
      </c>
      <c r="D96" s="5" t="str">
        <f>IF(Sheet2!L96="","",Sheet2!L96)</f>
        <v/>
      </c>
    </row>
    <row r="97" spans="1:4" x14ac:dyDescent="0.75">
      <c r="A97" t="str">
        <f>IF(Sheet2!K97="","",Sheet2!K97&amp;" [SN:"&amp;Sheet2!P97&amp;"]")</f>
        <v/>
      </c>
      <c r="B97" t="str">
        <f>IF(Sheet2!N97="","",Sheet2!N97 &amp;" "&amp;IF(Sheet2!O97="Monthly", "Month",IF(Sheet2!O97="Cycles","Flight Cycle",IF(Sheet2!O97="Hours","Flight Hour",Sheet2!O97))))</f>
        <v/>
      </c>
      <c r="C97" s="5" t="str">
        <f>IF(Sheet2!M97="","",IF(Sheet2!M97=0,"N/A",Sheet2!M97))</f>
        <v/>
      </c>
      <c r="D97" s="5" t="str">
        <f>IF(Sheet2!L97="","",Sheet2!L97)</f>
        <v/>
      </c>
    </row>
    <row r="98" spans="1:4" x14ac:dyDescent="0.75">
      <c r="A98" t="str">
        <f>IF(Sheet2!K98="","",Sheet2!K98&amp;" [SN:"&amp;Sheet2!P98&amp;"]")</f>
        <v/>
      </c>
      <c r="B98" t="str">
        <f>IF(Sheet2!N98="","",Sheet2!N98 &amp;" "&amp;IF(Sheet2!O98="Monthly", "Month",IF(Sheet2!O98="Cycles","Flight Cycle",IF(Sheet2!O98="Hours","Flight Hour",Sheet2!O98))))</f>
        <v/>
      </c>
      <c r="C98" s="5" t="str">
        <f>IF(Sheet2!M98="","",IF(Sheet2!M98=0,"N/A",Sheet2!M98))</f>
        <v/>
      </c>
      <c r="D98" s="5" t="str">
        <f>IF(Sheet2!L98="","",Sheet2!L98)</f>
        <v/>
      </c>
    </row>
    <row r="99" spans="1:4" x14ac:dyDescent="0.75">
      <c r="A99" t="str">
        <f>IF(Sheet2!K99="","",Sheet2!K99&amp;" [SN:"&amp;Sheet2!P99&amp;"]")</f>
        <v/>
      </c>
      <c r="B99" t="str">
        <f>IF(Sheet2!N99="","",Sheet2!N99 &amp;" "&amp;IF(Sheet2!O99="Monthly", "Month",IF(Sheet2!O99="Cycles","Flight Cycle",IF(Sheet2!O99="Hours","Flight Hour",Sheet2!O99))))</f>
        <v/>
      </c>
      <c r="C99" s="5" t="str">
        <f>IF(Sheet2!M99="","",IF(Sheet2!M99=0,"N/A",Sheet2!M99))</f>
        <v/>
      </c>
      <c r="D99" s="5" t="str">
        <f>IF(Sheet2!L99="","",Sheet2!L99)</f>
        <v/>
      </c>
    </row>
    <row r="100" spans="1:4" x14ac:dyDescent="0.75">
      <c r="A100" t="str">
        <f>IF(Sheet2!K100="","",Sheet2!K100&amp;" [SN:"&amp;Sheet2!P100&amp;"]")</f>
        <v/>
      </c>
      <c r="B100" t="str">
        <f>IF(Sheet2!N100="","",Sheet2!N100 &amp;" "&amp;IF(Sheet2!O100="Monthly", "Month",IF(Sheet2!O100="Cycles","Flight Cycle",IF(Sheet2!O100="Hours","Flight Hour",Sheet2!O100))))</f>
        <v/>
      </c>
      <c r="C100" s="5" t="str">
        <f>IF(Sheet2!M100="","",IF(Sheet2!M100=0,"N/A",Sheet2!M100))</f>
        <v/>
      </c>
      <c r="D100" s="5" t="str">
        <f>IF(Sheet2!L100="","",Sheet2!L100)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2025-10-13T11:32:29Z</dcterms:modified>
</cp:coreProperties>
</file>