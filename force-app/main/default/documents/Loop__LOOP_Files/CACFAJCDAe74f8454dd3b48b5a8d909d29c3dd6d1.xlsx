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Bilgi\Downloads\"/>
    </mc:Choice>
  </mc:AlternateContent>
  <xr:revisionPtr revIDLastSave="0" documentId="8_{C65ED5BF-4969-4E32-9EAF-EAF03307955C}" xr6:coauthVersionLast="47" xr6:coauthVersionMax="47" xr10:uidLastSave="{00000000-0000-0000-0000-000000000000}"/>
  <bookViews>
    <workbookView xWindow="-28920" yWindow="90" windowWidth="29040" windowHeight="15720" activeTab="3" xr2:uid="{01174EC8-3607-4A18-8F69-7CEE334C2E15}"/>
  </bookViews>
  <sheets>
    <sheet name="SF_Data" sheetId="1" r:id="rId1"/>
    <sheet name="Sheet1" sheetId="4" r:id="rId2"/>
    <sheet name="Sheet2" sheetId="5" r:id="rId3"/>
    <sheet name="Final_Data" sheetId="6" r:id="rId4"/>
  </sheets>
  <definedNames>
    <definedName name="Suppl_Rent_Final">Final_Data!$A$1:$C$100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C2" i="6"/>
  <c r="D2" i="6"/>
  <c r="B3" i="6"/>
  <c r="C3" i="6"/>
  <c r="D3" i="6"/>
  <c r="B4" i="6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D14" i="6"/>
  <c r="B15" i="6"/>
  <c r="C15" i="6"/>
  <c r="D15" i="6"/>
  <c r="B16" i="6"/>
  <c r="C16" i="6"/>
  <c r="D16" i="6"/>
  <c r="B17" i="6"/>
  <c r="C17" i="6"/>
  <c r="D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D38" i="6"/>
  <c r="B39" i="6"/>
  <c r="C39" i="6"/>
  <c r="D39" i="6"/>
  <c r="B40" i="6"/>
  <c r="C40" i="6"/>
  <c r="D40" i="6"/>
  <c r="B41" i="6"/>
  <c r="C41" i="6"/>
  <c r="D41" i="6"/>
  <c r="B42" i="6"/>
  <c r="C42" i="6"/>
  <c r="D42" i="6"/>
  <c r="B43" i="6"/>
  <c r="C43" i="6"/>
  <c r="D43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49" i="6"/>
  <c r="C49" i="6"/>
  <c r="D49" i="6"/>
  <c r="B50" i="6"/>
  <c r="C50" i="6"/>
  <c r="D50" i="6"/>
  <c r="B51" i="6"/>
  <c r="C51" i="6"/>
  <c r="D51" i="6"/>
  <c r="B52" i="6"/>
  <c r="C52" i="6"/>
  <c r="D52" i="6"/>
  <c r="B53" i="6"/>
  <c r="C53" i="6"/>
  <c r="D53" i="6"/>
  <c r="B54" i="6"/>
  <c r="C54" i="6"/>
  <c r="D54" i="6"/>
  <c r="B55" i="6"/>
  <c r="C55" i="6"/>
  <c r="D55" i="6"/>
  <c r="B56" i="6"/>
  <c r="C56" i="6"/>
  <c r="D56" i="6"/>
  <c r="B57" i="6"/>
  <c r="C57" i="6"/>
  <c r="D57" i="6"/>
  <c r="B58" i="6"/>
  <c r="C58" i="6"/>
  <c r="D58" i="6"/>
  <c r="B59" i="6"/>
  <c r="C59" i="6"/>
  <c r="D59" i="6"/>
  <c r="B60" i="6"/>
  <c r="C60" i="6"/>
  <c r="D60" i="6"/>
  <c r="B61" i="6"/>
  <c r="C61" i="6"/>
  <c r="D61" i="6"/>
  <c r="B62" i="6"/>
  <c r="C62" i="6"/>
  <c r="D62" i="6"/>
  <c r="B63" i="6"/>
  <c r="C63" i="6"/>
  <c r="D63" i="6"/>
  <c r="B64" i="6"/>
  <c r="C64" i="6"/>
  <c r="D64" i="6"/>
  <c r="B65" i="6"/>
  <c r="C65" i="6"/>
  <c r="D65" i="6"/>
  <c r="B66" i="6"/>
  <c r="C66" i="6"/>
  <c r="D66" i="6"/>
  <c r="B67" i="6"/>
  <c r="C67" i="6"/>
  <c r="D67" i="6"/>
  <c r="B68" i="6"/>
  <c r="C68" i="6"/>
  <c r="D68" i="6"/>
  <c r="B69" i="6"/>
  <c r="C69" i="6"/>
  <c r="D69" i="6"/>
  <c r="B70" i="6"/>
  <c r="C70" i="6"/>
  <c r="D70" i="6"/>
  <c r="B71" i="6"/>
  <c r="C71" i="6"/>
  <c r="D71" i="6"/>
  <c r="B72" i="6"/>
  <c r="C72" i="6"/>
  <c r="D72" i="6"/>
  <c r="B73" i="6"/>
  <c r="C73" i="6"/>
  <c r="D73" i="6"/>
  <c r="B74" i="6"/>
  <c r="C74" i="6"/>
  <c r="D74" i="6"/>
  <c r="B75" i="6"/>
  <c r="C75" i="6"/>
  <c r="D75" i="6"/>
  <c r="B76" i="6"/>
  <c r="C76" i="6"/>
  <c r="D76" i="6"/>
  <c r="B77" i="6"/>
  <c r="C77" i="6"/>
  <c r="D77" i="6"/>
  <c r="B78" i="6"/>
  <c r="C78" i="6"/>
  <c r="D78" i="6"/>
  <c r="B79" i="6"/>
  <c r="C79" i="6"/>
  <c r="D79" i="6"/>
  <c r="B80" i="6"/>
  <c r="C80" i="6"/>
  <c r="D80" i="6"/>
  <c r="B81" i="6"/>
  <c r="C81" i="6"/>
  <c r="D81" i="6"/>
  <c r="B82" i="6"/>
  <c r="C82" i="6"/>
  <c r="D82" i="6"/>
  <c r="B83" i="6"/>
  <c r="C83" i="6"/>
  <c r="D83" i="6"/>
  <c r="B84" i="6"/>
  <c r="C84" i="6"/>
  <c r="D84" i="6"/>
  <c r="B85" i="6"/>
  <c r="C85" i="6"/>
  <c r="D85" i="6"/>
  <c r="B86" i="6"/>
  <c r="C86" i="6"/>
  <c r="D86" i="6"/>
  <c r="B87" i="6"/>
  <c r="C87" i="6"/>
  <c r="D87" i="6"/>
  <c r="B88" i="6"/>
  <c r="C88" i="6"/>
  <c r="D88" i="6"/>
  <c r="B89" i="6"/>
  <c r="C89" i="6"/>
  <c r="D89" i="6"/>
  <c r="B90" i="6"/>
  <c r="C90" i="6"/>
  <c r="D90" i="6"/>
  <c r="B91" i="6"/>
  <c r="C91" i="6"/>
  <c r="D91" i="6"/>
  <c r="B92" i="6"/>
  <c r="C92" i="6"/>
  <c r="D92" i="6"/>
  <c r="B93" i="6"/>
  <c r="C93" i="6"/>
  <c r="D93" i="6"/>
  <c r="B94" i="6"/>
  <c r="C94" i="6"/>
  <c r="D94" i="6"/>
  <c r="B95" i="6"/>
  <c r="C95" i="6"/>
  <c r="D95" i="6"/>
  <c r="B96" i="6"/>
  <c r="C96" i="6"/>
  <c r="D96" i="6"/>
  <c r="B97" i="6"/>
  <c r="C97" i="6"/>
  <c r="D97" i="6"/>
  <c r="B98" i="6"/>
  <c r="C98" i="6"/>
  <c r="D98" i="6"/>
  <c r="B99" i="6"/>
  <c r="C99" i="6"/>
  <c r="D99" i="6"/>
  <c r="B100" i="6"/>
  <c r="C100" i="6"/>
  <c r="D100" i="6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2" i="4"/>
  <c r="K69" i="4"/>
  <c r="K2" i="4"/>
  <c r="J3" i="4"/>
  <c r="K3" i="4" s="1"/>
  <c r="J4" i="4"/>
  <c r="K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K52" i="4" s="1"/>
  <c r="J53" i="4"/>
  <c r="K53" i="4" s="1"/>
  <c r="J54" i="4"/>
  <c r="K54" i="4" s="1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0" i="4"/>
  <c r="K100" i="4" s="1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2" i="4"/>
  <c r="G9" i="4"/>
  <c r="G17" i="4"/>
  <c r="G25" i="4"/>
  <c r="G33" i="4"/>
  <c r="G41" i="4"/>
  <c r="G49" i="4"/>
  <c r="G57" i="4"/>
  <c r="G65" i="4"/>
  <c r="G73" i="4"/>
  <c r="G81" i="4"/>
  <c r="G89" i="4"/>
  <c r="G97" i="4"/>
  <c r="F6" i="4"/>
  <c r="F14" i="4"/>
  <c r="F22" i="4"/>
  <c r="F30" i="4"/>
  <c r="F38" i="4"/>
  <c r="F46" i="4"/>
  <c r="F54" i="4"/>
  <c r="F62" i="4"/>
  <c r="F70" i="4"/>
  <c r="F78" i="4"/>
  <c r="F86" i="4"/>
  <c r="F94" i="4"/>
  <c r="E10" i="4"/>
  <c r="E18" i="4"/>
  <c r="E26" i="4"/>
  <c r="E34" i="4"/>
  <c r="E42" i="4"/>
  <c r="E50" i="4"/>
  <c r="E58" i="4"/>
  <c r="E66" i="4"/>
  <c r="E74" i="4"/>
  <c r="E82" i="4"/>
  <c r="E90" i="4"/>
  <c r="E98" i="4"/>
  <c r="C5" i="4"/>
  <c r="C9" i="4"/>
  <c r="C10" i="4"/>
  <c r="C13" i="4"/>
  <c r="C17" i="4"/>
  <c r="C18" i="4"/>
  <c r="C21" i="4"/>
  <c r="C25" i="4"/>
  <c r="C26" i="4"/>
  <c r="C29" i="4"/>
  <c r="C33" i="4"/>
  <c r="C34" i="4"/>
  <c r="C37" i="4"/>
  <c r="C41" i="4"/>
  <c r="C42" i="4"/>
  <c r="C45" i="4"/>
  <c r="C49" i="4"/>
  <c r="C50" i="4"/>
  <c r="C53" i="4"/>
  <c r="C57" i="4"/>
  <c r="C58" i="4"/>
  <c r="C61" i="4"/>
  <c r="C65" i="4"/>
  <c r="C66" i="4"/>
  <c r="C69" i="4"/>
  <c r="C73" i="4"/>
  <c r="C74" i="4"/>
  <c r="C77" i="4"/>
  <c r="C81" i="4"/>
  <c r="C82" i="4"/>
  <c r="C85" i="4"/>
  <c r="C89" i="4"/>
  <c r="C90" i="4"/>
  <c r="C93" i="4"/>
  <c r="C97" i="4"/>
  <c r="C98" i="4"/>
  <c r="C2" i="4"/>
  <c r="B5" i="4"/>
  <c r="B6" i="4"/>
  <c r="B9" i="4"/>
  <c r="B13" i="4"/>
  <c r="B14" i="4"/>
  <c r="B17" i="4"/>
  <c r="B21" i="4"/>
  <c r="B22" i="4"/>
  <c r="B25" i="4"/>
  <c r="B29" i="4"/>
  <c r="B30" i="4"/>
  <c r="B33" i="4"/>
  <c r="B37" i="4"/>
  <c r="B38" i="4"/>
  <c r="B41" i="4"/>
  <c r="B45" i="4"/>
  <c r="B46" i="4"/>
  <c r="B49" i="4"/>
  <c r="B53" i="4"/>
  <c r="B54" i="4"/>
  <c r="B57" i="4"/>
  <c r="B61" i="4"/>
  <c r="B62" i="4"/>
  <c r="B65" i="4"/>
  <c r="B69" i="4"/>
  <c r="B70" i="4"/>
  <c r="B73" i="4"/>
  <c r="B77" i="4"/>
  <c r="B78" i="4"/>
  <c r="B81" i="4"/>
  <c r="B85" i="4"/>
  <c r="B86" i="4"/>
  <c r="B89" i="4"/>
  <c r="B93" i="4"/>
  <c r="B94" i="4"/>
  <c r="B97" i="4"/>
  <c r="B2" i="4"/>
  <c r="A3" i="4"/>
  <c r="G3" i="4" s="1"/>
  <c r="A4" i="4"/>
  <c r="E4" i="4" s="1"/>
  <c r="A5" i="4"/>
  <c r="E5" i="4" s="1"/>
  <c r="A6" i="4"/>
  <c r="E6" i="4" s="1"/>
  <c r="A7" i="4"/>
  <c r="E7" i="4" s="1"/>
  <c r="A8" i="4"/>
  <c r="F8" i="4" s="1"/>
  <c r="A9" i="4"/>
  <c r="F9" i="4" s="1"/>
  <c r="A10" i="4"/>
  <c r="F10" i="4" s="1"/>
  <c r="A11" i="4"/>
  <c r="G11" i="4" s="1"/>
  <c r="A12" i="4"/>
  <c r="E12" i="4" s="1"/>
  <c r="A13" i="4"/>
  <c r="E13" i="4" s="1"/>
  <c r="A14" i="4"/>
  <c r="E14" i="4" s="1"/>
  <c r="A15" i="4"/>
  <c r="E15" i="4" s="1"/>
  <c r="A16" i="4"/>
  <c r="F16" i="4" s="1"/>
  <c r="A17" i="4"/>
  <c r="F17" i="4" s="1"/>
  <c r="A18" i="4"/>
  <c r="F18" i="4" s="1"/>
  <c r="A19" i="4"/>
  <c r="G19" i="4" s="1"/>
  <c r="A20" i="4"/>
  <c r="E20" i="4" s="1"/>
  <c r="A21" i="4"/>
  <c r="E21" i="4" s="1"/>
  <c r="A22" i="4"/>
  <c r="E22" i="4" s="1"/>
  <c r="A23" i="4"/>
  <c r="E23" i="4" s="1"/>
  <c r="A24" i="4"/>
  <c r="F24" i="4" s="1"/>
  <c r="A25" i="4"/>
  <c r="F25" i="4" s="1"/>
  <c r="A26" i="4"/>
  <c r="F26" i="4" s="1"/>
  <c r="A27" i="4"/>
  <c r="G27" i="4" s="1"/>
  <c r="A28" i="4"/>
  <c r="E28" i="4" s="1"/>
  <c r="A29" i="4"/>
  <c r="E29" i="4" s="1"/>
  <c r="A30" i="4"/>
  <c r="E30" i="4" s="1"/>
  <c r="A31" i="4"/>
  <c r="E31" i="4" s="1"/>
  <c r="A32" i="4"/>
  <c r="F32" i="4" s="1"/>
  <c r="A33" i="4"/>
  <c r="F33" i="4" s="1"/>
  <c r="A34" i="4"/>
  <c r="F34" i="4" s="1"/>
  <c r="A35" i="4"/>
  <c r="G35" i="4" s="1"/>
  <c r="A36" i="4"/>
  <c r="E36" i="4" s="1"/>
  <c r="A37" i="4"/>
  <c r="E37" i="4" s="1"/>
  <c r="A38" i="4"/>
  <c r="E38" i="4" s="1"/>
  <c r="A39" i="4"/>
  <c r="E39" i="4" s="1"/>
  <c r="A40" i="4"/>
  <c r="F40" i="4" s="1"/>
  <c r="A41" i="4"/>
  <c r="F41" i="4" s="1"/>
  <c r="A42" i="4"/>
  <c r="F42" i="4" s="1"/>
  <c r="A43" i="4"/>
  <c r="G43" i="4" s="1"/>
  <c r="A44" i="4"/>
  <c r="E44" i="4" s="1"/>
  <c r="A45" i="4"/>
  <c r="E45" i="4" s="1"/>
  <c r="A46" i="4"/>
  <c r="E46" i="4" s="1"/>
  <c r="A47" i="4"/>
  <c r="E47" i="4" s="1"/>
  <c r="A48" i="4"/>
  <c r="F48" i="4" s="1"/>
  <c r="A49" i="4"/>
  <c r="F49" i="4" s="1"/>
  <c r="A50" i="4"/>
  <c r="F50" i="4" s="1"/>
  <c r="A51" i="4"/>
  <c r="G51" i="4" s="1"/>
  <c r="A52" i="4"/>
  <c r="E52" i="4" s="1"/>
  <c r="A53" i="4"/>
  <c r="E53" i="4" s="1"/>
  <c r="A54" i="4"/>
  <c r="E54" i="4" s="1"/>
  <c r="A55" i="4"/>
  <c r="E55" i="4" s="1"/>
  <c r="A56" i="4"/>
  <c r="F56" i="4" s="1"/>
  <c r="A57" i="4"/>
  <c r="F57" i="4" s="1"/>
  <c r="A58" i="4"/>
  <c r="F58" i="4" s="1"/>
  <c r="A59" i="4"/>
  <c r="G59" i="4" s="1"/>
  <c r="A60" i="4"/>
  <c r="E60" i="4" s="1"/>
  <c r="A61" i="4"/>
  <c r="E61" i="4" s="1"/>
  <c r="A62" i="4"/>
  <c r="E62" i="4" s="1"/>
  <c r="A63" i="4"/>
  <c r="E63" i="4" s="1"/>
  <c r="A64" i="4"/>
  <c r="F64" i="4" s="1"/>
  <c r="A65" i="4"/>
  <c r="F65" i="4" s="1"/>
  <c r="A66" i="4"/>
  <c r="F66" i="4" s="1"/>
  <c r="A67" i="4"/>
  <c r="G67" i="4" s="1"/>
  <c r="A68" i="4"/>
  <c r="E68" i="4" s="1"/>
  <c r="A69" i="4"/>
  <c r="E69" i="4" s="1"/>
  <c r="A70" i="4"/>
  <c r="E70" i="4" s="1"/>
  <c r="A71" i="4"/>
  <c r="E71" i="4" s="1"/>
  <c r="A72" i="4"/>
  <c r="F72" i="4" s="1"/>
  <c r="A73" i="4"/>
  <c r="F73" i="4" s="1"/>
  <c r="A74" i="4"/>
  <c r="F74" i="4" s="1"/>
  <c r="A75" i="4"/>
  <c r="G75" i="4" s="1"/>
  <c r="A76" i="4"/>
  <c r="E76" i="4" s="1"/>
  <c r="A77" i="4"/>
  <c r="E77" i="4" s="1"/>
  <c r="A78" i="4"/>
  <c r="E78" i="4" s="1"/>
  <c r="A79" i="4"/>
  <c r="E79" i="4" s="1"/>
  <c r="A80" i="4"/>
  <c r="F80" i="4" s="1"/>
  <c r="A81" i="4"/>
  <c r="F81" i="4" s="1"/>
  <c r="A82" i="4"/>
  <c r="F82" i="4" s="1"/>
  <c r="A83" i="4"/>
  <c r="G83" i="4" s="1"/>
  <c r="A84" i="4"/>
  <c r="E84" i="4" s="1"/>
  <c r="A85" i="4"/>
  <c r="E85" i="4" s="1"/>
  <c r="A86" i="4"/>
  <c r="E86" i="4" s="1"/>
  <c r="A87" i="4"/>
  <c r="E87" i="4" s="1"/>
  <c r="A88" i="4"/>
  <c r="F88" i="4" s="1"/>
  <c r="A89" i="4"/>
  <c r="F89" i="4" s="1"/>
  <c r="A90" i="4"/>
  <c r="F90" i="4" s="1"/>
  <c r="A91" i="4"/>
  <c r="G91" i="4" s="1"/>
  <c r="A92" i="4"/>
  <c r="E92" i="4" s="1"/>
  <c r="A93" i="4"/>
  <c r="E93" i="4" s="1"/>
  <c r="A94" i="4"/>
  <c r="E94" i="4" s="1"/>
  <c r="A95" i="4"/>
  <c r="E95" i="4" s="1"/>
  <c r="A96" i="4"/>
  <c r="F96" i="4" s="1"/>
  <c r="A97" i="4"/>
  <c r="F97" i="4" s="1"/>
  <c r="A98" i="4"/>
  <c r="F98" i="4" s="1"/>
  <c r="A99" i="4"/>
  <c r="G99" i="4" s="1"/>
  <c r="A100" i="4"/>
  <c r="E100" i="4" s="1"/>
  <c r="A2" i="4"/>
  <c r="E2" i="4" s="1"/>
  <c r="B95" i="4" l="1"/>
  <c r="B87" i="4"/>
  <c r="B79" i="4"/>
  <c r="B71" i="4"/>
  <c r="B63" i="4"/>
  <c r="B55" i="4"/>
  <c r="B47" i="4"/>
  <c r="B39" i="4"/>
  <c r="B31" i="4"/>
  <c r="B23" i="4"/>
  <c r="B15" i="4"/>
  <c r="B7" i="4"/>
  <c r="C99" i="4"/>
  <c r="C91" i="4"/>
  <c r="C83" i="4"/>
  <c r="C75" i="4"/>
  <c r="C67" i="4"/>
  <c r="C59" i="4"/>
  <c r="C51" i="4"/>
  <c r="C43" i="4"/>
  <c r="C35" i="4"/>
  <c r="C27" i="4"/>
  <c r="C19" i="4"/>
  <c r="C11" i="4"/>
  <c r="C3" i="4"/>
  <c r="E99" i="4"/>
  <c r="E91" i="4"/>
  <c r="E83" i="4"/>
  <c r="E75" i="4"/>
  <c r="E67" i="4"/>
  <c r="E59" i="4"/>
  <c r="E51" i="4"/>
  <c r="E43" i="4"/>
  <c r="E35" i="4"/>
  <c r="E27" i="4"/>
  <c r="E19" i="4"/>
  <c r="E11" i="4"/>
  <c r="E3" i="4"/>
  <c r="F95" i="4"/>
  <c r="F87" i="4"/>
  <c r="F79" i="4"/>
  <c r="F71" i="4"/>
  <c r="F63" i="4"/>
  <c r="F55" i="4"/>
  <c r="F47" i="4"/>
  <c r="F39" i="4"/>
  <c r="F31" i="4"/>
  <c r="F23" i="4"/>
  <c r="F15" i="4"/>
  <c r="F7" i="4"/>
  <c r="G98" i="4"/>
  <c r="G90" i="4"/>
  <c r="G82" i="4"/>
  <c r="G74" i="4"/>
  <c r="G66" i="4"/>
  <c r="G58" i="4"/>
  <c r="G50" i="4"/>
  <c r="G42" i="4"/>
  <c r="G34" i="4"/>
  <c r="G26" i="4"/>
  <c r="G18" i="4"/>
  <c r="G10" i="4"/>
  <c r="E97" i="4"/>
  <c r="E89" i="4"/>
  <c r="E81" i="4"/>
  <c r="E73" i="4"/>
  <c r="E65" i="4"/>
  <c r="E57" i="4"/>
  <c r="E49" i="4"/>
  <c r="E41" i="4"/>
  <c r="E33" i="4"/>
  <c r="E25" i="4"/>
  <c r="E17" i="4"/>
  <c r="E9" i="4"/>
  <c r="F2" i="4"/>
  <c r="F93" i="4"/>
  <c r="F85" i="4"/>
  <c r="F77" i="4"/>
  <c r="F69" i="4"/>
  <c r="F61" i="4"/>
  <c r="F53" i="4"/>
  <c r="F45" i="4"/>
  <c r="F37" i="4"/>
  <c r="F29" i="4"/>
  <c r="F21" i="4"/>
  <c r="F13" i="4"/>
  <c r="F5" i="4"/>
  <c r="G96" i="4"/>
  <c r="G88" i="4"/>
  <c r="G80" i="4"/>
  <c r="G72" i="4"/>
  <c r="G64" i="4"/>
  <c r="G56" i="4"/>
  <c r="G48" i="4"/>
  <c r="G40" i="4"/>
  <c r="G32" i="4"/>
  <c r="G24" i="4"/>
  <c r="G16" i="4"/>
  <c r="G8" i="4"/>
  <c r="B100" i="4"/>
  <c r="B92" i="4"/>
  <c r="B84" i="4"/>
  <c r="B76" i="4"/>
  <c r="B68" i="4"/>
  <c r="B60" i="4"/>
  <c r="B52" i="4"/>
  <c r="B44" i="4"/>
  <c r="B36" i="4"/>
  <c r="B28" i="4"/>
  <c r="B20" i="4"/>
  <c r="B12" i="4"/>
  <c r="B4" i="4"/>
  <c r="C96" i="4"/>
  <c r="C88" i="4"/>
  <c r="C80" i="4"/>
  <c r="C72" i="4"/>
  <c r="C64" i="4"/>
  <c r="C56" i="4"/>
  <c r="C48" i="4"/>
  <c r="C40" i="4"/>
  <c r="C32" i="4"/>
  <c r="C24" i="4"/>
  <c r="C16" i="4"/>
  <c r="C8" i="4"/>
  <c r="E96" i="4"/>
  <c r="E88" i="4"/>
  <c r="E80" i="4"/>
  <c r="E72" i="4"/>
  <c r="E64" i="4"/>
  <c r="E56" i="4"/>
  <c r="E48" i="4"/>
  <c r="E40" i="4"/>
  <c r="E32" i="4"/>
  <c r="E24" i="4"/>
  <c r="E16" i="4"/>
  <c r="E8" i="4"/>
  <c r="F100" i="4"/>
  <c r="F92" i="4"/>
  <c r="F84" i="4"/>
  <c r="F76" i="4"/>
  <c r="F68" i="4"/>
  <c r="F60" i="4"/>
  <c r="F52" i="4"/>
  <c r="F44" i="4"/>
  <c r="F36" i="4"/>
  <c r="F28" i="4"/>
  <c r="F20" i="4"/>
  <c r="F12" i="4"/>
  <c r="F4" i="4"/>
  <c r="G95" i="4"/>
  <c r="G87" i="4"/>
  <c r="G79" i="4"/>
  <c r="G71" i="4"/>
  <c r="G63" i="4"/>
  <c r="G55" i="4"/>
  <c r="G47" i="4"/>
  <c r="G39" i="4"/>
  <c r="G31" i="4"/>
  <c r="G23" i="4"/>
  <c r="G15" i="4"/>
  <c r="G7" i="4"/>
  <c r="B99" i="4"/>
  <c r="B91" i="4"/>
  <c r="B83" i="4"/>
  <c r="B75" i="4"/>
  <c r="B67" i="4"/>
  <c r="B59" i="4"/>
  <c r="B51" i="4"/>
  <c r="B43" i="4"/>
  <c r="B35" i="4"/>
  <c r="B27" i="4"/>
  <c r="B19" i="4"/>
  <c r="B11" i="4"/>
  <c r="B3" i="4"/>
  <c r="C95" i="4"/>
  <c r="C87" i="4"/>
  <c r="C79" i="4"/>
  <c r="C71" i="4"/>
  <c r="C63" i="4"/>
  <c r="C55" i="4"/>
  <c r="C47" i="4"/>
  <c r="C39" i="4"/>
  <c r="C31" i="4"/>
  <c r="C23" i="4"/>
  <c r="C15" i="4"/>
  <c r="C7" i="4"/>
  <c r="F99" i="4"/>
  <c r="F91" i="4"/>
  <c r="F83" i="4"/>
  <c r="F75" i="4"/>
  <c r="F67" i="4"/>
  <c r="F59" i="4"/>
  <c r="F51" i="4"/>
  <c r="F43" i="4"/>
  <c r="F35" i="4"/>
  <c r="F27" i="4"/>
  <c r="F19" i="4"/>
  <c r="F11" i="4"/>
  <c r="F3" i="4"/>
  <c r="G94" i="4"/>
  <c r="G86" i="4"/>
  <c r="G78" i="4"/>
  <c r="G70" i="4"/>
  <c r="G62" i="4"/>
  <c r="G54" i="4"/>
  <c r="G46" i="4"/>
  <c r="G38" i="4"/>
  <c r="G30" i="4"/>
  <c r="G22" i="4"/>
  <c r="G14" i="4"/>
  <c r="G6" i="4"/>
  <c r="B98" i="4"/>
  <c r="B90" i="4"/>
  <c r="B82" i="4"/>
  <c r="B74" i="4"/>
  <c r="B66" i="4"/>
  <c r="B58" i="4"/>
  <c r="B50" i="4"/>
  <c r="B42" i="4"/>
  <c r="B34" i="4"/>
  <c r="B26" i="4"/>
  <c r="B18" i="4"/>
  <c r="B10" i="4"/>
  <c r="C94" i="4"/>
  <c r="C86" i="4"/>
  <c r="C78" i="4"/>
  <c r="C70" i="4"/>
  <c r="C62" i="4"/>
  <c r="C54" i="4"/>
  <c r="C46" i="4"/>
  <c r="C38" i="4"/>
  <c r="C30" i="4"/>
  <c r="C22" i="4"/>
  <c r="C14" i="4"/>
  <c r="C6" i="4"/>
  <c r="G2" i="4"/>
  <c r="G93" i="4"/>
  <c r="G85" i="4"/>
  <c r="G77" i="4"/>
  <c r="G69" i="4"/>
  <c r="G61" i="4"/>
  <c r="G53" i="4"/>
  <c r="G45" i="4"/>
  <c r="G37" i="4"/>
  <c r="G29" i="4"/>
  <c r="G21" i="4"/>
  <c r="G13" i="4"/>
  <c r="G5" i="4"/>
  <c r="G100" i="4"/>
  <c r="G92" i="4"/>
  <c r="G84" i="4"/>
  <c r="G76" i="4"/>
  <c r="G68" i="4"/>
  <c r="G60" i="4"/>
  <c r="G52" i="4"/>
  <c r="G44" i="4"/>
  <c r="G36" i="4"/>
  <c r="G28" i="4"/>
  <c r="G20" i="4"/>
  <c r="G12" i="4"/>
  <c r="G4" i="4"/>
  <c r="B96" i="4"/>
  <c r="B88" i="4"/>
  <c r="B80" i="4"/>
  <c r="B72" i="4"/>
  <c r="B64" i="4"/>
  <c r="B56" i="4"/>
  <c r="B48" i="4"/>
  <c r="B40" i="4"/>
  <c r="B32" i="4"/>
  <c r="B24" i="4"/>
  <c r="B16" i="4"/>
  <c r="B8" i="4"/>
  <c r="C100" i="4"/>
  <c r="C92" i="4"/>
  <c r="C84" i="4"/>
  <c r="C76" i="4"/>
  <c r="C68" i="4"/>
  <c r="C60" i="4"/>
  <c r="C52" i="4"/>
  <c r="C44" i="4"/>
  <c r="C36" i="4"/>
  <c r="C28" i="4"/>
  <c r="C20" i="4"/>
  <c r="C12" i="4"/>
  <c r="C4" i="4"/>
  <c r="A5" i="5" l="1"/>
  <c r="I5" i="5" s="1" a="1"/>
  <c r="I5" i="5" s="1"/>
  <c r="A13" i="5"/>
  <c r="I13" i="5" s="1" a="1"/>
  <c r="I13" i="5" s="1"/>
  <c r="A21" i="5"/>
  <c r="I21" i="5" s="1" a="1"/>
  <c r="I21" i="5" s="1"/>
  <c r="A29" i="5"/>
  <c r="I29" i="5" s="1" a="1"/>
  <c r="I29" i="5" s="1"/>
  <c r="A37" i="5"/>
  <c r="I37" i="5" s="1" a="1"/>
  <c r="I37" i="5" s="1"/>
  <c r="A45" i="5"/>
  <c r="I45" i="5" s="1" a="1"/>
  <c r="I45" i="5" s="1"/>
  <c r="A53" i="5"/>
  <c r="I53" i="5" s="1" a="1"/>
  <c r="I53" i="5" s="1"/>
  <c r="A61" i="5"/>
  <c r="I61" i="5" s="1" a="1"/>
  <c r="I61" i="5" s="1"/>
  <c r="A69" i="5"/>
  <c r="I69" i="5" s="1" a="1"/>
  <c r="I69" i="5" s="1"/>
  <c r="A77" i="5"/>
  <c r="I77" i="5" s="1" a="1"/>
  <c r="I77" i="5" s="1"/>
  <c r="A85" i="5"/>
  <c r="I85" i="5" s="1" a="1"/>
  <c r="I85" i="5" s="1"/>
  <c r="A93" i="5"/>
  <c r="I93" i="5" s="1" a="1"/>
  <c r="I93" i="5" s="1"/>
  <c r="A14" i="5"/>
  <c r="I14" i="5" s="1" a="1"/>
  <c r="I14" i="5" s="1"/>
  <c r="J14" i="5" s="1"/>
  <c r="K14" i="5" s="1"/>
  <c r="A22" i="5"/>
  <c r="I22" i="5" s="1" a="1"/>
  <c r="I22" i="5" s="1"/>
  <c r="J22" i="5" s="1"/>
  <c r="K22" i="5" s="1"/>
  <c r="A30" i="5"/>
  <c r="I30" i="5" s="1" a="1"/>
  <c r="I30" i="5" s="1"/>
  <c r="J30" i="5" s="1"/>
  <c r="K30" i="5" s="1"/>
  <c r="A38" i="5"/>
  <c r="I38" i="5" s="1" a="1"/>
  <c r="I38" i="5" s="1"/>
  <c r="J38" i="5" s="1"/>
  <c r="K38" i="5" s="1"/>
  <c r="A46" i="5"/>
  <c r="I46" i="5" s="1" a="1"/>
  <c r="I46" i="5" s="1"/>
  <c r="A78" i="5"/>
  <c r="I78" i="5" s="1" a="1"/>
  <c r="I78" i="5" s="1"/>
  <c r="J78" i="5" s="1"/>
  <c r="K78" i="5" s="1"/>
  <c r="A86" i="5"/>
  <c r="I86" i="5" s="1" a="1"/>
  <c r="I86" i="5" s="1"/>
  <c r="J86" i="5" s="1"/>
  <c r="K86" i="5" s="1"/>
  <c r="A94" i="5"/>
  <c r="I94" i="5" s="1" a="1"/>
  <c r="I94" i="5" s="1"/>
  <c r="J94" i="5" s="1"/>
  <c r="K94" i="5" s="1"/>
  <c r="A6" i="5"/>
  <c r="I6" i="5" s="1" a="1"/>
  <c r="I6" i="5" s="1"/>
  <c r="J6" i="5" s="1"/>
  <c r="K6" i="5" s="1"/>
  <c r="A7" i="5"/>
  <c r="I7" i="5" s="1" a="1"/>
  <c r="I7" i="5" s="1"/>
  <c r="A15" i="5"/>
  <c r="I15" i="5" s="1" a="1"/>
  <c r="I15" i="5" s="1"/>
  <c r="A23" i="5"/>
  <c r="I23" i="5" s="1" a="1"/>
  <c r="I23" i="5" s="1"/>
  <c r="J23" i="5" s="1"/>
  <c r="K23" i="5" s="1"/>
  <c r="A31" i="5"/>
  <c r="I31" i="5" s="1" a="1"/>
  <c r="I31" i="5" s="1"/>
  <c r="A39" i="5"/>
  <c r="I39" i="5" s="1" a="1"/>
  <c r="I39" i="5" s="1"/>
  <c r="A47" i="5"/>
  <c r="I47" i="5" s="1" a="1"/>
  <c r="I47" i="5" s="1"/>
  <c r="A55" i="5"/>
  <c r="I55" i="5" s="1" a="1"/>
  <c r="I55" i="5" s="1"/>
  <c r="A63" i="5"/>
  <c r="I63" i="5" s="1" a="1"/>
  <c r="I63" i="5" s="1"/>
  <c r="A71" i="5"/>
  <c r="I71" i="5" s="1" a="1"/>
  <c r="I71" i="5" s="1"/>
  <c r="A79" i="5"/>
  <c r="I79" i="5" s="1" a="1"/>
  <c r="I79" i="5" s="1"/>
  <c r="J79" i="5" s="1"/>
  <c r="K79" i="5" s="1"/>
  <c r="A87" i="5"/>
  <c r="I87" i="5" s="1" a="1"/>
  <c r="I87" i="5" s="1"/>
  <c r="J87" i="5" s="1"/>
  <c r="K87" i="5" s="1"/>
  <c r="A95" i="5"/>
  <c r="I95" i="5" s="1" a="1"/>
  <c r="I95" i="5" s="1"/>
  <c r="A17" i="5"/>
  <c r="I17" i="5" s="1" a="1"/>
  <c r="I17" i="5" s="1"/>
  <c r="A33" i="5"/>
  <c r="I33" i="5" s="1" a="1"/>
  <c r="I33" i="5" s="1"/>
  <c r="A41" i="5"/>
  <c r="I41" i="5" s="1" a="1"/>
  <c r="I41" i="5" s="1"/>
  <c r="A57" i="5"/>
  <c r="I57" i="5" s="1" a="1"/>
  <c r="I57" i="5" s="1"/>
  <c r="A73" i="5"/>
  <c r="I73" i="5" s="1" a="1"/>
  <c r="I73" i="5" s="1"/>
  <c r="A89" i="5"/>
  <c r="I89" i="5" s="1" a="1"/>
  <c r="I89" i="5" s="1"/>
  <c r="A8" i="5"/>
  <c r="I8" i="5" s="1" a="1"/>
  <c r="I8" i="5" s="1"/>
  <c r="J8" i="5" s="1"/>
  <c r="K8" i="5" s="1"/>
  <c r="A16" i="5"/>
  <c r="I16" i="5" s="1" a="1"/>
  <c r="I16" i="5" s="1"/>
  <c r="A24" i="5"/>
  <c r="I24" i="5" s="1" a="1"/>
  <c r="I24" i="5" s="1"/>
  <c r="A32" i="5"/>
  <c r="I32" i="5" s="1" a="1"/>
  <c r="I32" i="5" s="1"/>
  <c r="A40" i="5"/>
  <c r="I40" i="5" s="1" a="1"/>
  <c r="I40" i="5" s="1"/>
  <c r="J40" i="5" s="1"/>
  <c r="K40" i="5" s="1"/>
  <c r="A48" i="5"/>
  <c r="I48" i="5" s="1" a="1"/>
  <c r="I48" i="5" s="1"/>
  <c r="J48" i="5" s="1"/>
  <c r="K48" i="5" s="1"/>
  <c r="A56" i="5"/>
  <c r="I56" i="5" s="1" a="1"/>
  <c r="I56" i="5" s="1"/>
  <c r="J56" i="5" s="1"/>
  <c r="K56" i="5" s="1"/>
  <c r="A64" i="5"/>
  <c r="I64" i="5" s="1" a="1"/>
  <c r="I64" i="5" s="1"/>
  <c r="A72" i="5"/>
  <c r="I72" i="5" s="1" a="1"/>
  <c r="I72" i="5" s="1"/>
  <c r="J72" i="5" s="1"/>
  <c r="K72" i="5" s="1"/>
  <c r="A80" i="5"/>
  <c r="I80" i="5" s="1" a="1"/>
  <c r="I80" i="5" s="1"/>
  <c r="A88" i="5"/>
  <c r="I88" i="5" s="1" a="1"/>
  <c r="I88" i="5" s="1"/>
  <c r="A96" i="5"/>
  <c r="I96" i="5" s="1" a="1"/>
  <c r="I96" i="5" s="1"/>
  <c r="A25" i="5"/>
  <c r="I25" i="5" s="1" a="1"/>
  <c r="I25" i="5" s="1"/>
  <c r="J25" i="5" s="1"/>
  <c r="K25" i="5" s="1"/>
  <c r="A49" i="5"/>
  <c r="I49" i="5" s="1" a="1"/>
  <c r="I49" i="5" s="1"/>
  <c r="J49" i="5" s="1"/>
  <c r="K49" i="5" s="1"/>
  <c r="A65" i="5"/>
  <c r="I65" i="5" s="1" a="1"/>
  <c r="I65" i="5" s="1"/>
  <c r="A81" i="5"/>
  <c r="I81" i="5" s="1" a="1"/>
  <c r="I81" i="5" s="1"/>
  <c r="A97" i="5"/>
  <c r="I97" i="5" s="1" a="1"/>
  <c r="I97" i="5" s="1"/>
  <c r="J97" i="5" s="1"/>
  <c r="K97" i="5" s="1"/>
  <c r="A9" i="5"/>
  <c r="I9" i="5" s="1" a="1"/>
  <c r="I9" i="5" s="1"/>
  <c r="A2" i="5"/>
  <c r="A10" i="5"/>
  <c r="I10" i="5" s="1" a="1"/>
  <c r="I10" i="5" s="1"/>
  <c r="A18" i="5"/>
  <c r="I18" i="5" s="1" a="1"/>
  <c r="I18" i="5" s="1"/>
  <c r="J18" i="5" s="1"/>
  <c r="K18" i="5" s="1"/>
  <c r="A26" i="5"/>
  <c r="I26" i="5" s="1" a="1"/>
  <c r="I26" i="5" s="1"/>
  <c r="A34" i="5"/>
  <c r="I34" i="5" s="1" a="1"/>
  <c r="I34" i="5" s="1"/>
  <c r="J34" i="5" s="1"/>
  <c r="K34" i="5" s="1"/>
  <c r="A42" i="5"/>
  <c r="I42" i="5" s="1" a="1"/>
  <c r="I42" i="5" s="1"/>
  <c r="J42" i="5" s="1"/>
  <c r="K42" i="5" s="1"/>
  <c r="A50" i="5"/>
  <c r="I50" i="5" s="1" a="1"/>
  <c r="I50" i="5" s="1"/>
  <c r="J50" i="5" s="1"/>
  <c r="K50" i="5" s="1"/>
  <c r="A58" i="5"/>
  <c r="I58" i="5" s="1" a="1"/>
  <c r="I58" i="5" s="1"/>
  <c r="J58" i="5" s="1"/>
  <c r="K58" i="5" s="1"/>
  <c r="A66" i="5"/>
  <c r="I66" i="5" s="1" a="1"/>
  <c r="I66" i="5" s="1"/>
  <c r="A74" i="5"/>
  <c r="I74" i="5" s="1" a="1"/>
  <c r="I74" i="5" s="1"/>
  <c r="A82" i="5"/>
  <c r="I82" i="5" s="1" a="1"/>
  <c r="I82" i="5" s="1"/>
  <c r="A90" i="5"/>
  <c r="I90" i="5" s="1" a="1"/>
  <c r="I90" i="5" s="1"/>
  <c r="A98" i="5"/>
  <c r="I98" i="5" s="1" a="1"/>
  <c r="I98" i="5" s="1"/>
  <c r="A54" i="5"/>
  <c r="I54" i="5" s="1" a="1"/>
  <c r="I54" i="5" s="1"/>
  <c r="J54" i="5" s="1"/>
  <c r="K54" i="5" s="1"/>
  <c r="A3" i="5"/>
  <c r="I3" i="5" s="1" a="1"/>
  <c r="I3" i="5" s="1"/>
  <c r="A11" i="5"/>
  <c r="I11" i="5" s="1" a="1"/>
  <c r="I11" i="5" s="1"/>
  <c r="J11" i="5" s="1"/>
  <c r="K11" i="5" s="1"/>
  <c r="A19" i="5"/>
  <c r="I19" i="5" s="1" a="1"/>
  <c r="I19" i="5" s="1"/>
  <c r="A27" i="5"/>
  <c r="I27" i="5" s="1" a="1"/>
  <c r="I27" i="5" s="1"/>
  <c r="A35" i="5"/>
  <c r="I35" i="5" s="1" a="1"/>
  <c r="I35" i="5" s="1"/>
  <c r="A43" i="5"/>
  <c r="I43" i="5" s="1" a="1"/>
  <c r="I43" i="5" s="1"/>
  <c r="A51" i="5"/>
  <c r="I51" i="5" s="1" a="1"/>
  <c r="I51" i="5" s="1"/>
  <c r="A59" i="5"/>
  <c r="I59" i="5" s="1" a="1"/>
  <c r="I59" i="5" s="1"/>
  <c r="A67" i="5"/>
  <c r="I67" i="5" s="1" a="1"/>
  <c r="I67" i="5" s="1"/>
  <c r="J67" i="5" s="1"/>
  <c r="K67" i="5" s="1"/>
  <c r="A75" i="5"/>
  <c r="I75" i="5" s="1" a="1"/>
  <c r="I75" i="5" s="1"/>
  <c r="J75" i="5" s="1"/>
  <c r="K75" i="5" s="1"/>
  <c r="A83" i="5"/>
  <c r="I83" i="5" s="1" a="1"/>
  <c r="I83" i="5" s="1"/>
  <c r="A91" i="5"/>
  <c r="I91" i="5" s="1" a="1"/>
  <c r="I91" i="5" s="1"/>
  <c r="A99" i="5"/>
  <c r="I99" i="5" s="1" a="1"/>
  <c r="I99" i="5" s="1"/>
  <c r="A62" i="5"/>
  <c r="I62" i="5" s="1" a="1"/>
  <c r="I62" i="5" s="1"/>
  <c r="A4" i="5"/>
  <c r="I4" i="5" s="1" a="1"/>
  <c r="I4" i="5" s="1"/>
  <c r="A12" i="5"/>
  <c r="I12" i="5" s="1" a="1"/>
  <c r="I12" i="5" s="1"/>
  <c r="A20" i="5"/>
  <c r="I20" i="5" s="1" a="1"/>
  <c r="I20" i="5" s="1"/>
  <c r="J20" i="5" s="1"/>
  <c r="K20" i="5" s="1"/>
  <c r="A28" i="5"/>
  <c r="I28" i="5" s="1" a="1"/>
  <c r="I28" i="5" s="1"/>
  <c r="J28" i="5" s="1"/>
  <c r="K28" i="5" s="1"/>
  <c r="A36" i="5"/>
  <c r="I36" i="5" s="1" a="1"/>
  <c r="I36" i="5" s="1"/>
  <c r="A44" i="5"/>
  <c r="I44" i="5" s="1" a="1"/>
  <c r="I44" i="5" s="1"/>
  <c r="A52" i="5"/>
  <c r="I52" i="5" s="1" a="1"/>
  <c r="I52" i="5" s="1"/>
  <c r="A60" i="5"/>
  <c r="I60" i="5" s="1" a="1"/>
  <c r="I60" i="5" s="1"/>
  <c r="A68" i="5"/>
  <c r="I68" i="5" s="1" a="1"/>
  <c r="I68" i="5" s="1"/>
  <c r="A76" i="5"/>
  <c r="I76" i="5" s="1" a="1"/>
  <c r="I76" i="5" s="1"/>
  <c r="A84" i="5"/>
  <c r="I84" i="5" s="1" a="1"/>
  <c r="I84" i="5" s="1"/>
  <c r="J84" i="5" s="1"/>
  <c r="K84" i="5" s="1"/>
  <c r="A92" i="5"/>
  <c r="I92" i="5" s="1" a="1"/>
  <c r="I92" i="5" s="1"/>
  <c r="J92" i="5" s="1"/>
  <c r="K92" i="5" s="1"/>
  <c r="A100" i="5"/>
  <c r="I100" i="5" s="1" a="1"/>
  <c r="I100" i="5" s="1"/>
  <c r="A70" i="5"/>
  <c r="I70" i="5" s="1" a="1"/>
  <c r="I70" i="5" s="1"/>
  <c r="J70" i="5" s="1"/>
  <c r="K70" i="5" s="1"/>
  <c r="J61" i="5" l="1"/>
  <c r="K61" i="5" s="1"/>
  <c r="J76" i="5"/>
  <c r="K76" i="5" s="1"/>
  <c r="J12" i="5"/>
  <c r="K12" i="5" s="1"/>
  <c r="J59" i="5"/>
  <c r="K59" i="5" s="1"/>
  <c r="J81" i="5"/>
  <c r="K81" i="5" s="1"/>
  <c r="J64" i="5"/>
  <c r="K64" i="5" s="1"/>
  <c r="J89" i="5"/>
  <c r="K89" i="5" s="1"/>
  <c r="J15" i="5"/>
  <c r="K15" i="5" s="1"/>
  <c r="J53" i="5"/>
  <c r="K53" i="5" s="1"/>
  <c r="J71" i="5"/>
  <c r="K71" i="5" s="1"/>
  <c r="J7" i="5"/>
  <c r="K7" i="5" s="1"/>
  <c r="J45" i="5"/>
  <c r="K45" i="5" s="1"/>
  <c r="J44" i="5"/>
  <c r="K44" i="5" s="1"/>
  <c r="J91" i="5"/>
  <c r="K91" i="5" s="1"/>
  <c r="J27" i="5"/>
  <c r="K27" i="5" s="1"/>
  <c r="J10" i="5"/>
  <c r="K10" i="5" s="1"/>
  <c r="J96" i="5"/>
  <c r="K96" i="5" s="1"/>
  <c r="J32" i="5"/>
  <c r="K32" i="5" s="1"/>
  <c r="J47" i="5"/>
  <c r="K47" i="5" s="1"/>
  <c r="J4" i="5"/>
  <c r="K4" i="5" s="1"/>
  <c r="J65" i="5"/>
  <c r="K65" i="5" s="1"/>
  <c r="J60" i="5"/>
  <c r="K60" i="5" s="1"/>
  <c r="J62" i="5"/>
  <c r="K62" i="5" s="1"/>
  <c r="J43" i="5"/>
  <c r="K43" i="5" s="1"/>
  <c r="J90" i="5"/>
  <c r="K90" i="5" s="1"/>
  <c r="J26" i="5"/>
  <c r="K26" i="5" s="1"/>
  <c r="J57" i="5"/>
  <c r="K57" i="5" s="1"/>
  <c r="J63" i="5"/>
  <c r="K63" i="5" s="1"/>
  <c r="J37" i="5"/>
  <c r="K37" i="5" s="1"/>
  <c r="J51" i="5"/>
  <c r="K51" i="5" s="1"/>
  <c r="J35" i="5"/>
  <c r="K35" i="5" s="1"/>
  <c r="J82" i="5"/>
  <c r="K82" i="5" s="1"/>
  <c r="J41" i="5"/>
  <c r="K41" i="5" s="1"/>
  <c r="J55" i="5"/>
  <c r="K55" i="5" s="1"/>
  <c r="J93" i="5"/>
  <c r="K93" i="5" s="1"/>
  <c r="J29" i="5"/>
  <c r="K29" i="5" s="1"/>
  <c r="J98" i="5"/>
  <c r="K98" i="5" s="1"/>
  <c r="J74" i="5"/>
  <c r="K74" i="5" s="1"/>
  <c r="J33" i="5"/>
  <c r="K33" i="5" s="1"/>
  <c r="J85" i="5"/>
  <c r="K85" i="5" s="1"/>
  <c r="J21" i="5"/>
  <c r="K21" i="5" s="1"/>
  <c r="J68" i="5"/>
  <c r="K68" i="5" s="1"/>
  <c r="J52" i="5"/>
  <c r="K52" i="5" s="1"/>
  <c r="J100" i="5"/>
  <c r="K100" i="5" s="1"/>
  <c r="J36" i="5"/>
  <c r="K36" i="5" s="1"/>
  <c r="J83" i="5"/>
  <c r="K83" i="5" s="1"/>
  <c r="J19" i="5"/>
  <c r="K19" i="5" s="1"/>
  <c r="J66" i="5"/>
  <c r="K66" i="5" s="1"/>
  <c r="J88" i="5"/>
  <c r="K88" i="5" s="1"/>
  <c r="J24" i="5"/>
  <c r="K24" i="5" s="1"/>
  <c r="J17" i="5"/>
  <c r="K17" i="5" s="1"/>
  <c r="J39" i="5"/>
  <c r="K39" i="5" s="1"/>
  <c r="J77" i="5"/>
  <c r="K77" i="5" s="1"/>
  <c r="J13" i="5"/>
  <c r="K13" i="5" s="1"/>
  <c r="J73" i="5"/>
  <c r="K73" i="5" s="1"/>
  <c r="J99" i="5"/>
  <c r="K99" i="5" s="1"/>
  <c r="J9" i="5"/>
  <c r="K9" i="5" s="1"/>
  <c r="J80" i="5"/>
  <c r="K80" i="5" s="1"/>
  <c r="J16" i="5"/>
  <c r="K16" i="5" s="1"/>
  <c r="J95" i="5"/>
  <c r="K95" i="5" s="1"/>
  <c r="J31" i="5"/>
  <c r="K31" i="5" s="1"/>
  <c r="J46" i="5"/>
  <c r="K46" i="5" s="1"/>
  <c r="J69" i="5"/>
  <c r="K69" i="5" s="1"/>
  <c r="J5" i="5"/>
  <c r="K5" i="5" s="1"/>
  <c r="I2" i="5" a="1"/>
  <c r="I2" i="5" s="1"/>
  <c r="J2" i="5" s="1"/>
  <c r="K2" i="5" s="1"/>
  <c r="H2" i="5" a="1"/>
  <c r="H2" i="5" s="1"/>
  <c r="H20" i="5" a="1"/>
  <c r="H20" i="5" s="1"/>
  <c r="G20" i="5" a="1"/>
  <c r="G20" i="5" s="1"/>
  <c r="F20" i="5" a="1"/>
  <c r="F20" i="5" s="1"/>
  <c r="D20" i="5" a="1"/>
  <c r="D20" i="5" s="1"/>
  <c r="E20" i="5" a="1"/>
  <c r="E20" i="5" s="1"/>
  <c r="C20" i="5" a="1"/>
  <c r="C20" i="5" s="1"/>
  <c r="B20" i="5" a="1"/>
  <c r="B20" i="5" s="1"/>
  <c r="H3" i="5" a="1"/>
  <c r="H3" i="5" s="1"/>
  <c r="F3" i="5" a="1"/>
  <c r="F3" i="5" s="1"/>
  <c r="G3" i="5" a="1"/>
  <c r="G3" i="5" s="1"/>
  <c r="D3" i="5" a="1"/>
  <c r="D3" i="5" s="1"/>
  <c r="E3" i="5" a="1"/>
  <c r="E3" i="5" s="1"/>
  <c r="B3" i="5" a="1"/>
  <c r="B3" i="5" s="1"/>
  <c r="C3" i="5" a="1"/>
  <c r="C3" i="5" s="1"/>
  <c r="E97" i="5" a="1"/>
  <c r="E97" i="5" s="1"/>
  <c r="H97" i="5" a="1"/>
  <c r="H97" i="5" s="1"/>
  <c r="F97" i="5" a="1"/>
  <c r="F97" i="5" s="1"/>
  <c r="D97" i="5" a="1"/>
  <c r="D97" i="5" s="1"/>
  <c r="G97" i="5" a="1"/>
  <c r="G97" i="5" s="1"/>
  <c r="B97" i="5" a="1"/>
  <c r="B97" i="5" s="1"/>
  <c r="H8" i="5" a="1"/>
  <c r="H8" i="5" s="1"/>
  <c r="F8" i="5" a="1"/>
  <c r="F8" i="5" s="1"/>
  <c r="G8" i="5" a="1"/>
  <c r="G8" i="5" s="1"/>
  <c r="D8" i="5" a="1"/>
  <c r="D8" i="5" s="1"/>
  <c r="E8" i="5" a="1"/>
  <c r="E8" i="5" s="1"/>
  <c r="B8" i="5" a="1"/>
  <c r="B8" i="5" s="1"/>
  <c r="C8" i="5" a="1"/>
  <c r="C8" i="5" s="1"/>
  <c r="H23" i="5" a="1"/>
  <c r="H23" i="5" s="1"/>
  <c r="E23" i="5" a="1"/>
  <c r="E23" i="5" s="1"/>
  <c r="D23" i="5" a="1"/>
  <c r="D23" i="5" s="1"/>
  <c r="F23" i="5" a="1"/>
  <c r="F23" i="5" s="1"/>
  <c r="G23" i="5" a="1"/>
  <c r="G23" i="5" s="1"/>
  <c r="B23" i="5" a="1"/>
  <c r="B23" i="5" s="1"/>
  <c r="C23" i="5" a="1"/>
  <c r="C23" i="5" s="1"/>
  <c r="E61" i="5" a="1"/>
  <c r="E61" i="5" s="1"/>
  <c r="H61" i="5" a="1"/>
  <c r="H61" i="5" s="1"/>
  <c r="F61" i="5" a="1"/>
  <c r="F61" i="5" s="1"/>
  <c r="G61" i="5" a="1"/>
  <c r="G61" i="5" s="1"/>
  <c r="D61" i="5" a="1"/>
  <c r="D61" i="5" s="1"/>
  <c r="C61" i="5" a="1"/>
  <c r="C61" i="5" s="1"/>
  <c r="B61" i="5" a="1"/>
  <c r="B61" i="5" s="1"/>
  <c r="H76" i="5" a="1"/>
  <c r="H76" i="5" s="1"/>
  <c r="F76" i="5" a="1"/>
  <c r="F76" i="5" s="1"/>
  <c r="E76" i="5" a="1"/>
  <c r="E76" i="5" s="1"/>
  <c r="D76" i="5" a="1"/>
  <c r="D76" i="5" s="1"/>
  <c r="G76" i="5" a="1"/>
  <c r="G76" i="5" s="1"/>
  <c r="C76" i="5" a="1"/>
  <c r="C76" i="5" s="1"/>
  <c r="B76" i="5" a="1"/>
  <c r="B76" i="5" s="1"/>
  <c r="H12" i="5" a="1"/>
  <c r="H12" i="5" s="1"/>
  <c r="F12" i="5" a="1"/>
  <c r="F12" i="5" s="1"/>
  <c r="E12" i="5" a="1"/>
  <c r="E12" i="5" s="1"/>
  <c r="D12" i="5" a="1"/>
  <c r="D12" i="5" s="1"/>
  <c r="G12" i="5" a="1"/>
  <c r="G12" i="5" s="1"/>
  <c r="B12" i="5" a="1"/>
  <c r="B12" i="5" s="1"/>
  <c r="C12" i="5" a="1"/>
  <c r="C12" i="5" s="1"/>
  <c r="H59" i="5" a="1"/>
  <c r="H59" i="5" s="1"/>
  <c r="F59" i="5" a="1"/>
  <c r="F59" i="5" s="1"/>
  <c r="D59" i="5" a="1"/>
  <c r="D59" i="5" s="1"/>
  <c r="E59" i="5" a="1"/>
  <c r="E59" i="5" s="1"/>
  <c r="G59" i="5" a="1"/>
  <c r="G59" i="5" s="1"/>
  <c r="B59" i="5" a="1"/>
  <c r="B59" i="5" s="1"/>
  <c r="C59" i="5" a="1"/>
  <c r="C59" i="5" s="1"/>
  <c r="G54" i="5" a="1"/>
  <c r="G54" i="5" s="1"/>
  <c r="D54" i="5" a="1"/>
  <c r="D54" i="5" s="1"/>
  <c r="H54" i="5" a="1"/>
  <c r="H54" i="5" s="1"/>
  <c r="E54" i="5" a="1"/>
  <c r="E54" i="5" s="1"/>
  <c r="F54" i="5" a="1"/>
  <c r="F54" i="5" s="1"/>
  <c r="B54" i="5" a="1"/>
  <c r="B54" i="5" s="1"/>
  <c r="C54" i="5" a="1"/>
  <c r="C54" i="5" s="1"/>
  <c r="G42" i="5" a="1"/>
  <c r="G42" i="5" s="1"/>
  <c r="H42" i="5" a="1"/>
  <c r="H42" i="5" s="1"/>
  <c r="F42" i="5" a="1"/>
  <c r="F42" i="5" s="1"/>
  <c r="E42" i="5" a="1"/>
  <c r="E42" i="5" s="1"/>
  <c r="D42" i="5" a="1"/>
  <c r="D42" i="5" s="1"/>
  <c r="C42" i="5" a="1"/>
  <c r="C42" i="5" s="1"/>
  <c r="B42" i="5" a="1"/>
  <c r="B42" i="5" s="1"/>
  <c r="H81" i="5" a="1"/>
  <c r="H81" i="5" s="1"/>
  <c r="G81" i="5" a="1"/>
  <c r="G81" i="5" s="1"/>
  <c r="E81" i="5" a="1"/>
  <c r="E81" i="5" s="1"/>
  <c r="D81" i="5" a="1"/>
  <c r="D81" i="5" s="1"/>
  <c r="F81" i="5" a="1"/>
  <c r="F81" i="5" s="1"/>
  <c r="B81" i="5" a="1"/>
  <c r="B81" i="5" s="1"/>
  <c r="C81" i="5" a="1"/>
  <c r="C81" i="5" s="1"/>
  <c r="D64" i="5" a="1"/>
  <c r="D64" i="5" s="1"/>
  <c r="E64" i="5" a="1"/>
  <c r="E64" i="5" s="1"/>
  <c r="F64" i="5" a="1"/>
  <c r="F64" i="5" s="1"/>
  <c r="H64" i="5" a="1"/>
  <c r="H64" i="5" s="1"/>
  <c r="G64" i="5" a="1"/>
  <c r="G64" i="5" s="1"/>
  <c r="B64" i="5" a="1"/>
  <c r="B64" i="5" s="1"/>
  <c r="C64" i="5" a="1"/>
  <c r="C64" i="5" s="1"/>
  <c r="E89" i="5" a="1"/>
  <c r="E89" i="5" s="1"/>
  <c r="H89" i="5" a="1"/>
  <c r="H89" i="5" s="1"/>
  <c r="F89" i="5" a="1"/>
  <c r="F89" i="5" s="1"/>
  <c r="G89" i="5" a="1"/>
  <c r="G89" i="5" s="1"/>
  <c r="D89" i="5" a="1"/>
  <c r="D89" i="5" s="1"/>
  <c r="B89" i="5" a="1"/>
  <c r="B89" i="5" s="1"/>
  <c r="D79" i="5" a="1"/>
  <c r="D79" i="5" s="1"/>
  <c r="G79" i="5" a="1"/>
  <c r="G79" i="5" s="1"/>
  <c r="F79" i="5" a="1"/>
  <c r="F79" i="5" s="1"/>
  <c r="H79" i="5" a="1"/>
  <c r="H79" i="5" s="1"/>
  <c r="E79" i="5" a="1"/>
  <c r="E79" i="5" s="1"/>
  <c r="C79" i="5" a="1"/>
  <c r="C79" i="5" s="1"/>
  <c r="B79" i="5" a="1"/>
  <c r="B79" i="5" s="1"/>
  <c r="G15" i="5" a="1"/>
  <c r="G15" i="5" s="1"/>
  <c r="D15" i="5" a="1"/>
  <c r="D15" i="5" s="1"/>
  <c r="F15" i="5" a="1"/>
  <c r="F15" i="5" s="1"/>
  <c r="H15" i="5" a="1"/>
  <c r="H15" i="5" s="1"/>
  <c r="E15" i="5" a="1"/>
  <c r="E15" i="5" s="1"/>
  <c r="C15" i="5" a="1"/>
  <c r="C15" i="5" s="1"/>
  <c r="B15" i="5" a="1"/>
  <c r="B15" i="5" s="1"/>
  <c r="E30" i="5" a="1"/>
  <c r="E30" i="5" s="1"/>
  <c r="H30" i="5" a="1"/>
  <c r="H30" i="5" s="1"/>
  <c r="D30" i="5" a="1"/>
  <c r="D30" i="5" s="1"/>
  <c r="F30" i="5" a="1"/>
  <c r="F30" i="5" s="1"/>
  <c r="G30" i="5" a="1"/>
  <c r="G30" i="5" s="1"/>
  <c r="C30" i="5" a="1"/>
  <c r="C30" i="5" s="1"/>
  <c r="B30" i="5" a="1"/>
  <c r="B30" i="5" s="1"/>
  <c r="H53" i="5" a="1"/>
  <c r="H53" i="5" s="1"/>
  <c r="F53" i="5" a="1"/>
  <c r="F53" i="5" s="1"/>
  <c r="D53" i="5" a="1"/>
  <c r="D53" i="5" s="1"/>
  <c r="E53" i="5" a="1"/>
  <c r="E53" i="5" s="1"/>
  <c r="G53" i="5" a="1"/>
  <c r="G53" i="5" s="1"/>
  <c r="B53" i="5" a="1"/>
  <c r="B53" i="5" s="1"/>
  <c r="C53" i="5" a="1"/>
  <c r="C53" i="5" s="1"/>
  <c r="G84" i="5" a="1"/>
  <c r="G84" i="5" s="1"/>
  <c r="F84" i="5" a="1"/>
  <c r="F84" i="5" s="1"/>
  <c r="H84" i="5" a="1"/>
  <c r="H84" i="5" s="1"/>
  <c r="D84" i="5" a="1"/>
  <c r="D84" i="5" s="1"/>
  <c r="E84" i="5" a="1"/>
  <c r="E84" i="5" s="1"/>
  <c r="C84" i="5" a="1"/>
  <c r="C84" i="5" s="1"/>
  <c r="B84" i="5" a="1"/>
  <c r="B84" i="5" s="1"/>
  <c r="H67" i="5" a="1"/>
  <c r="H67" i="5" s="1"/>
  <c r="F67" i="5" a="1"/>
  <c r="F67" i="5" s="1"/>
  <c r="G67" i="5" a="1"/>
  <c r="G67" i="5" s="1"/>
  <c r="E67" i="5" a="1"/>
  <c r="E67" i="5" s="1"/>
  <c r="D67" i="5" a="1"/>
  <c r="D67" i="5" s="1"/>
  <c r="B67" i="5" a="1"/>
  <c r="B67" i="5" s="1"/>
  <c r="C67" i="5" a="1"/>
  <c r="C67" i="5" s="1"/>
  <c r="D50" i="5" a="1"/>
  <c r="D50" i="5" s="1"/>
  <c r="E50" i="5" a="1"/>
  <c r="E50" i="5" s="1"/>
  <c r="H50" i="5" a="1"/>
  <c r="H50" i="5" s="1"/>
  <c r="G50" i="5" a="1"/>
  <c r="G50" i="5" s="1"/>
  <c r="F50" i="5" a="1"/>
  <c r="F50" i="5" s="1"/>
  <c r="C50" i="5" a="1"/>
  <c r="C50" i="5" s="1"/>
  <c r="B50" i="5" a="1"/>
  <c r="B50" i="5" s="1"/>
  <c r="H72" i="5" a="1"/>
  <c r="H72" i="5" s="1"/>
  <c r="F72" i="5" a="1"/>
  <c r="F72" i="5" s="1"/>
  <c r="D72" i="5" a="1"/>
  <c r="D72" i="5" s="1"/>
  <c r="G72" i="5" a="1"/>
  <c r="G72" i="5" s="1"/>
  <c r="E72" i="5" a="1"/>
  <c r="E72" i="5" s="1"/>
  <c r="B72" i="5" a="1"/>
  <c r="B72" i="5" s="1"/>
  <c r="C72" i="5" a="1"/>
  <c r="C72" i="5" s="1"/>
  <c r="H87" i="5" a="1"/>
  <c r="H87" i="5" s="1"/>
  <c r="D87" i="5" a="1"/>
  <c r="D87" i="5" s="1"/>
  <c r="E87" i="5" a="1"/>
  <c r="E87" i="5" s="1"/>
  <c r="F87" i="5" a="1"/>
  <c r="F87" i="5" s="1"/>
  <c r="G87" i="5" a="1"/>
  <c r="G87" i="5" s="1"/>
  <c r="B87" i="5" a="1"/>
  <c r="B87" i="5" s="1"/>
  <c r="D38" i="5" a="1"/>
  <c r="D38" i="5" s="1"/>
  <c r="G38" i="5" a="1"/>
  <c r="G38" i="5" s="1"/>
  <c r="H38" i="5" a="1"/>
  <c r="H38" i="5" s="1"/>
  <c r="F38" i="5" a="1"/>
  <c r="F38" i="5" s="1"/>
  <c r="E38" i="5" a="1"/>
  <c r="E38" i="5" s="1"/>
  <c r="B38" i="5" a="1"/>
  <c r="B38" i="5" s="1"/>
  <c r="C38" i="5" a="1"/>
  <c r="C38" i="5" s="1"/>
  <c r="H68" i="5" a="1"/>
  <c r="H68" i="5" s="1"/>
  <c r="G68" i="5" a="1"/>
  <c r="G68" i="5" s="1"/>
  <c r="D68" i="5" a="1"/>
  <c r="D68" i="5" s="1"/>
  <c r="E68" i="5" a="1"/>
  <c r="E68" i="5" s="1"/>
  <c r="F68" i="5" a="1"/>
  <c r="F68" i="5" s="1"/>
  <c r="C68" i="5" a="1"/>
  <c r="C68" i="5" s="1"/>
  <c r="B68" i="5" a="1"/>
  <c r="B68" i="5" s="1"/>
  <c r="H4" i="5" a="1"/>
  <c r="H4" i="5" s="1"/>
  <c r="G4" i="5" a="1"/>
  <c r="G4" i="5" s="1"/>
  <c r="D4" i="5" a="1"/>
  <c r="D4" i="5" s="1"/>
  <c r="F4" i="5" a="1"/>
  <c r="F4" i="5" s="1"/>
  <c r="E4" i="5" a="1"/>
  <c r="E4" i="5" s="1"/>
  <c r="C4" i="5" a="1"/>
  <c r="C4" i="5" s="1"/>
  <c r="B4" i="5" a="1"/>
  <c r="B4" i="5" s="1"/>
  <c r="D51" i="5" a="1"/>
  <c r="D51" i="5" s="1"/>
  <c r="G51" i="5" a="1"/>
  <c r="G51" i="5" s="1"/>
  <c r="F51" i="5" a="1"/>
  <c r="F51" i="5" s="1"/>
  <c r="H51" i="5" a="1"/>
  <c r="H51" i="5" s="1"/>
  <c r="E51" i="5" a="1"/>
  <c r="E51" i="5" s="1"/>
  <c r="B51" i="5" a="1"/>
  <c r="B51" i="5" s="1"/>
  <c r="C51" i="5" a="1"/>
  <c r="C51" i="5" s="1"/>
  <c r="H98" i="5" a="1"/>
  <c r="H98" i="5" s="1"/>
  <c r="F98" i="5" a="1"/>
  <c r="F98" i="5" s="1"/>
  <c r="E98" i="5" a="1"/>
  <c r="E98" i="5" s="1"/>
  <c r="G98" i="5" a="1"/>
  <c r="G98" i="5" s="1"/>
  <c r="D98" i="5" a="1"/>
  <c r="D98" i="5" s="1"/>
  <c r="B98" i="5" a="1"/>
  <c r="B98" i="5" s="1"/>
  <c r="H34" i="5" a="1"/>
  <c r="H34" i="5" s="1"/>
  <c r="F34" i="5" a="1"/>
  <c r="F34" i="5" s="1"/>
  <c r="E34" i="5" a="1"/>
  <c r="E34" i="5" s="1"/>
  <c r="G34" i="5" a="1"/>
  <c r="G34" i="5" s="1"/>
  <c r="D34" i="5" a="1"/>
  <c r="D34" i="5" s="1"/>
  <c r="B34" i="5" a="1"/>
  <c r="B34" i="5" s="1"/>
  <c r="C34" i="5" a="1"/>
  <c r="C34" i="5" s="1"/>
  <c r="E65" i="5" a="1"/>
  <c r="E65" i="5" s="1"/>
  <c r="F65" i="5" a="1"/>
  <c r="F65" i="5" s="1"/>
  <c r="H65" i="5" a="1"/>
  <c r="H65" i="5" s="1"/>
  <c r="D65" i="5" a="1"/>
  <c r="D65" i="5" s="1"/>
  <c r="G65" i="5" a="1"/>
  <c r="G65" i="5" s="1"/>
  <c r="B65" i="5" a="1"/>
  <c r="B65" i="5" s="1"/>
  <c r="C65" i="5" a="1"/>
  <c r="C65" i="5" s="1"/>
  <c r="D56" i="5" a="1"/>
  <c r="D56" i="5" s="1"/>
  <c r="H56" i="5" a="1"/>
  <c r="H56" i="5" s="1"/>
  <c r="F56" i="5" a="1"/>
  <c r="F56" i="5" s="1"/>
  <c r="G56" i="5" a="1"/>
  <c r="G56" i="5" s="1"/>
  <c r="E56" i="5" a="1"/>
  <c r="E56" i="5" s="1"/>
  <c r="B56" i="5" a="1"/>
  <c r="B56" i="5" s="1"/>
  <c r="C56" i="5" a="1"/>
  <c r="C56" i="5" s="1"/>
  <c r="E73" i="5" a="1"/>
  <c r="E73" i="5" s="1"/>
  <c r="D73" i="5" a="1"/>
  <c r="D73" i="5" s="1"/>
  <c r="H73" i="5" a="1"/>
  <c r="H73" i="5" s="1"/>
  <c r="G73" i="5" a="1"/>
  <c r="G73" i="5" s="1"/>
  <c r="F73" i="5" a="1"/>
  <c r="F73" i="5" s="1"/>
  <c r="C73" i="5" a="1"/>
  <c r="C73" i="5" s="1"/>
  <c r="B73" i="5" a="1"/>
  <c r="B73" i="5" s="1"/>
  <c r="H71" i="5" a="1"/>
  <c r="H71" i="5" s="1"/>
  <c r="G71" i="5" a="1"/>
  <c r="G71" i="5" s="1"/>
  <c r="F71" i="5" a="1"/>
  <c r="F71" i="5" s="1"/>
  <c r="E71" i="5" a="1"/>
  <c r="E71" i="5" s="1"/>
  <c r="D71" i="5" a="1"/>
  <c r="D71" i="5" s="1"/>
  <c r="B71" i="5" a="1"/>
  <c r="B71" i="5" s="1"/>
  <c r="C71" i="5" a="1"/>
  <c r="C71" i="5" s="1"/>
  <c r="H7" i="5" a="1"/>
  <c r="H7" i="5" s="1"/>
  <c r="G7" i="5" a="1"/>
  <c r="G7" i="5" s="1"/>
  <c r="F7" i="5" a="1"/>
  <c r="F7" i="5" s="1"/>
  <c r="E7" i="5" a="1"/>
  <c r="E7" i="5" s="1"/>
  <c r="D7" i="5" a="1"/>
  <c r="D7" i="5" s="1"/>
  <c r="B7" i="5" a="1"/>
  <c r="B7" i="5" s="1"/>
  <c r="C7" i="5" a="1"/>
  <c r="C7" i="5" s="1"/>
  <c r="G22" i="5" a="1"/>
  <c r="G22" i="5" s="1"/>
  <c r="E22" i="5" a="1"/>
  <c r="E22" i="5" s="1"/>
  <c r="H22" i="5" a="1"/>
  <c r="H22" i="5" s="1"/>
  <c r="D22" i="5" a="1"/>
  <c r="D22" i="5" s="1"/>
  <c r="F22" i="5" a="1"/>
  <c r="F22" i="5" s="1"/>
  <c r="B22" i="5" a="1"/>
  <c r="B22" i="5" s="1"/>
  <c r="C22" i="5" a="1"/>
  <c r="C22" i="5" s="1"/>
  <c r="E45" i="5" a="1"/>
  <c r="E45" i="5" s="1"/>
  <c r="D45" i="5" a="1"/>
  <c r="D45" i="5" s="1"/>
  <c r="G45" i="5" a="1"/>
  <c r="G45" i="5" s="1"/>
  <c r="H45" i="5" a="1"/>
  <c r="H45" i="5" s="1"/>
  <c r="F45" i="5" a="1"/>
  <c r="F45" i="5" s="1"/>
  <c r="B45" i="5" a="1"/>
  <c r="B45" i="5" s="1"/>
  <c r="C45" i="5" a="1"/>
  <c r="C45" i="5" s="1"/>
  <c r="D60" i="5" a="1"/>
  <c r="D60" i="5" s="1"/>
  <c r="H60" i="5" a="1"/>
  <c r="H60" i="5" s="1"/>
  <c r="G60" i="5" a="1"/>
  <c r="G60" i="5" s="1"/>
  <c r="E60" i="5" a="1"/>
  <c r="E60" i="5" s="1"/>
  <c r="F60" i="5" a="1"/>
  <c r="F60" i="5" s="1"/>
  <c r="C60" i="5" a="1"/>
  <c r="C60" i="5" s="1"/>
  <c r="B60" i="5" a="1"/>
  <c r="B60" i="5" s="1"/>
  <c r="E62" i="5" a="1"/>
  <c r="E62" i="5" s="1"/>
  <c r="H62" i="5" a="1"/>
  <c r="H62" i="5" s="1"/>
  <c r="D62" i="5" a="1"/>
  <c r="D62" i="5" s="1"/>
  <c r="G62" i="5" a="1"/>
  <c r="G62" i="5" s="1"/>
  <c r="F62" i="5" a="1"/>
  <c r="F62" i="5" s="1"/>
  <c r="B62" i="5" a="1"/>
  <c r="B62" i="5" s="1"/>
  <c r="C62" i="5" a="1"/>
  <c r="C62" i="5" s="1"/>
  <c r="D43" i="5" a="1"/>
  <c r="D43" i="5" s="1"/>
  <c r="H43" i="5" a="1"/>
  <c r="H43" i="5" s="1"/>
  <c r="F43" i="5" a="1"/>
  <c r="F43" i="5" s="1"/>
  <c r="E43" i="5" a="1"/>
  <c r="E43" i="5" s="1"/>
  <c r="G43" i="5" a="1"/>
  <c r="G43" i="5" s="1"/>
  <c r="B43" i="5" a="1"/>
  <c r="B43" i="5" s="1"/>
  <c r="C43" i="5" a="1"/>
  <c r="C43" i="5" s="1"/>
  <c r="G90" i="5" a="1"/>
  <c r="G90" i="5" s="1"/>
  <c r="D90" i="5" a="1"/>
  <c r="D90" i="5" s="1"/>
  <c r="E90" i="5" a="1"/>
  <c r="E90" i="5" s="1"/>
  <c r="H90" i="5" a="1"/>
  <c r="H90" i="5" s="1"/>
  <c r="F90" i="5" a="1"/>
  <c r="F90" i="5" s="1"/>
  <c r="B90" i="5" a="1"/>
  <c r="B90" i="5" s="1"/>
  <c r="G26" i="5" a="1"/>
  <c r="G26" i="5" s="1"/>
  <c r="E26" i="5" a="1"/>
  <c r="E26" i="5" s="1"/>
  <c r="F26" i="5" a="1"/>
  <c r="F26" i="5" s="1"/>
  <c r="D26" i="5" a="1"/>
  <c r="D26" i="5" s="1"/>
  <c r="H26" i="5" a="1"/>
  <c r="H26" i="5" s="1"/>
  <c r="C26" i="5" a="1"/>
  <c r="C26" i="5" s="1"/>
  <c r="B26" i="5" a="1"/>
  <c r="B26" i="5" s="1"/>
  <c r="H49" i="5" a="1"/>
  <c r="H49" i="5" s="1"/>
  <c r="D49" i="5" a="1"/>
  <c r="D49" i="5" s="1"/>
  <c r="G49" i="5" a="1"/>
  <c r="G49" i="5" s="1"/>
  <c r="E49" i="5" a="1"/>
  <c r="E49" i="5" s="1"/>
  <c r="F49" i="5" a="1"/>
  <c r="F49" i="5" s="1"/>
  <c r="B49" i="5" a="1"/>
  <c r="B49" i="5" s="1"/>
  <c r="C49" i="5" a="1"/>
  <c r="C49" i="5" s="1"/>
  <c r="H48" i="5" a="1"/>
  <c r="H48" i="5" s="1"/>
  <c r="F48" i="5" a="1"/>
  <c r="F48" i="5" s="1"/>
  <c r="E48" i="5" a="1"/>
  <c r="E48" i="5" s="1"/>
  <c r="D48" i="5" a="1"/>
  <c r="D48" i="5" s="1"/>
  <c r="G48" i="5" a="1"/>
  <c r="G48" i="5" s="1"/>
  <c r="B48" i="5" a="1"/>
  <c r="B48" i="5" s="1"/>
  <c r="C48" i="5" a="1"/>
  <c r="C48" i="5" s="1"/>
  <c r="E57" i="5" a="1"/>
  <c r="E57" i="5" s="1"/>
  <c r="H57" i="5" a="1"/>
  <c r="H57" i="5" s="1"/>
  <c r="F57" i="5" a="1"/>
  <c r="F57" i="5" s="1"/>
  <c r="G57" i="5" a="1"/>
  <c r="G57" i="5" s="1"/>
  <c r="D57" i="5" a="1"/>
  <c r="D57" i="5" s="1"/>
  <c r="C57" i="5" a="1"/>
  <c r="C57" i="5" s="1"/>
  <c r="B57" i="5" a="1"/>
  <c r="B57" i="5" s="1"/>
  <c r="H63" i="5" a="1"/>
  <c r="H63" i="5" s="1"/>
  <c r="F63" i="5" a="1"/>
  <c r="F63" i="5" s="1"/>
  <c r="D63" i="5" a="1"/>
  <c r="D63" i="5" s="1"/>
  <c r="G63" i="5" a="1"/>
  <c r="G63" i="5" s="1"/>
  <c r="E63" i="5" a="1"/>
  <c r="E63" i="5" s="1"/>
  <c r="C63" i="5" a="1"/>
  <c r="C63" i="5" s="1"/>
  <c r="B63" i="5" a="1"/>
  <c r="B63" i="5" s="1"/>
  <c r="G6" i="5" a="1"/>
  <c r="G6" i="5" s="1"/>
  <c r="H6" i="5" a="1"/>
  <c r="H6" i="5" s="1"/>
  <c r="F6" i="5" a="1"/>
  <c r="F6" i="5" s="1"/>
  <c r="D6" i="5" a="1"/>
  <c r="D6" i="5" s="1"/>
  <c r="E6" i="5" a="1"/>
  <c r="E6" i="5" s="1"/>
  <c r="B6" i="5" a="1"/>
  <c r="B6" i="5" s="1"/>
  <c r="C6" i="5" a="1"/>
  <c r="C6" i="5" s="1"/>
  <c r="E14" i="5" a="1"/>
  <c r="E14" i="5" s="1"/>
  <c r="D14" i="5" a="1"/>
  <c r="D14" i="5" s="1"/>
  <c r="G14" i="5" a="1"/>
  <c r="G14" i="5" s="1"/>
  <c r="F14" i="5" a="1"/>
  <c r="F14" i="5" s="1"/>
  <c r="H14" i="5" a="1"/>
  <c r="H14" i="5" s="1"/>
  <c r="B14" i="5" a="1"/>
  <c r="B14" i="5" s="1"/>
  <c r="C14" i="5" a="1"/>
  <c r="C14" i="5" s="1"/>
  <c r="H37" i="5" a="1"/>
  <c r="H37" i="5" s="1"/>
  <c r="F37" i="5" a="1"/>
  <c r="F37" i="5" s="1"/>
  <c r="E37" i="5" a="1"/>
  <c r="E37" i="5" s="1"/>
  <c r="D37" i="5" a="1"/>
  <c r="D37" i="5" s="1"/>
  <c r="G37" i="5" a="1"/>
  <c r="G37" i="5" s="1"/>
  <c r="B37" i="5" a="1"/>
  <c r="B37" i="5" s="1"/>
  <c r="C37" i="5" a="1"/>
  <c r="C37" i="5" s="1"/>
  <c r="F52" i="5" a="1"/>
  <c r="F52" i="5" s="1"/>
  <c r="G52" i="5" a="1"/>
  <c r="G52" i="5" s="1"/>
  <c r="D52" i="5" a="1"/>
  <c r="D52" i="5" s="1"/>
  <c r="E52" i="5" a="1"/>
  <c r="E52" i="5" s="1"/>
  <c r="H52" i="5" a="1"/>
  <c r="H52" i="5" s="1"/>
  <c r="C52" i="5" a="1"/>
  <c r="C52" i="5" s="1"/>
  <c r="B52" i="5" a="1"/>
  <c r="B52" i="5" s="1"/>
  <c r="H99" i="5" a="1"/>
  <c r="H99" i="5" s="1"/>
  <c r="F99" i="5" a="1"/>
  <c r="F99" i="5" s="1"/>
  <c r="G99" i="5" a="1"/>
  <c r="G99" i="5" s="1"/>
  <c r="D99" i="5" a="1"/>
  <c r="D99" i="5" s="1"/>
  <c r="E99" i="5" a="1"/>
  <c r="E99" i="5" s="1"/>
  <c r="B99" i="5" a="1"/>
  <c r="B99" i="5" s="1"/>
  <c r="H35" i="5" a="1"/>
  <c r="H35" i="5" s="1"/>
  <c r="F35" i="5" a="1"/>
  <c r="F35" i="5" s="1"/>
  <c r="G35" i="5" a="1"/>
  <c r="G35" i="5" s="1"/>
  <c r="D35" i="5" a="1"/>
  <c r="D35" i="5" s="1"/>
  <c r="E35" i="5" a="1"/>
  <c r="E35" i="5" s="1"/>
  <c r="B35" i="5" a="1"/>
  <c r="B35" i="5" s="1"/>
  <c r="C35" i="5" a="1"/>
  <c r="C35" i="5" s="1"/>
  <c r="D82" i="5" a="1"/>
  <c r="D82" i="5" s="1"/>
  <c r="E82" i="5" a="1"/>
  <c r="E82" i="5" s="1"/>
  <c r="H82" i="5" a="1"/>
  <c r="H82" i="5" s="1"/>
  <c r="G82" i="5" a="1"/>
  <c r="G82" i="5" s="1"/>
  <c r="F82" i="5" a="1"/>
  <c r="F82" i="5" s="1"/>
  <c r="B82" i="5" a="1"/>
  <c r="B82" i="5" s="1"/>
  <c r="C82" i="5" a="1"/>
  <c r="C82" i="5" s="1"/>
  <c r="E18" i="5" a="1"/>
  <c r="E18" i="5" s="1"/>
  <c r="H18" i="5" a="1"/>
  <c r="H18" i="5" s="1"/>
  <c r="G18" i="5" a="1"/>
  <c r="G18" i="5" s="1"/>
  <c r="F18" i="5" a="1"/>
  <c r="F18" i="5" s="1"/>
  <c r="D18" i="5" a="1"/>
  <c r="D18" i="5" s="1"/>
  <c r="C18" i="5" a="1"/>
  <c r="C18" i="5" s="1"/>
  <c r="B18" i="5" a="1"/>
  <c r="B18" i="5" s="1"/>
  <c r="E25" i="5" a="1"/>
  <c r="E25" i="5" s="1"/>
  <c r="H25" i="5" a="1"/>
  <c r="H25" i="5" s="1"/>
  <c r="F25" i="5" a="1"/>
  <c r="F25" i="5" s="1"/>
  <c r="D25" i="5" a="1"/>
  <c r="D25" i="5" s="1"/>
  <c r="G25" i="5" a="1"/>
  <c r="G25" i="5" s="1"/>
  <c r="C25" i="5" a="1"/>
  <c r="C25" i="5" s="1"/>
  <c r="B25" i="5" a="1"/>
  <c r="B25" i="5" s="1"/>
  <c r="H40" i="5" a="1"/>
  <c r="H40" i="5" s="1"/>
  <c r="F40" i="5" a="1"/>
  <c r="F40" i="5" s="1"/>
  <c r="D40" i="5" a="1"/>
  <c r="D40" i="5" s="1"/>
  <c r="G40" i="5" a="1"/>
  <c r="G40" i="5" s="1"/>
  <c r="E40" i="5" a="1"/>
  <c r="E40" i="5" s="1"/>
  <c r="B40" i="5" a="1"/>
  <c r="B40" i="5" s="1"/>
  <c r="C40" i="5" a="1"/>
  <c r="C40" i="5" s="1"/>
  <c r="E41" i="5" a="1"/>
  <c r="E41" i="5" s="1"/>
  <c r="D41" i="5" a="1"/>
  <c r="D41" i="5" s="1"/>
  <c r="F41" i="5" a="1"/>
  <c r="F41" i="5" s="1"/>
  <c r="H41" i="5" a="1"/>
  <c r="H41" i="5" s="1"/>
  <c r="G41" i="5" a="1"/>
  <c r="G41" i="5" s="1"/>
  <c r="C41" i="5" a="1"/>
  <c r="C41" i="5" s="1"/>
  <c r="B41" i="5" a="1"/>
  <c r="B41" i="5" s="1"/>
  <c r="H55" i="5" a="1"/>
  <c r="H55" i="5" s="1"/>
  <c r="E55" i="5" a="1"/>
  <c r="E55" i="5" s="1"/>
  <c r="D55" i="5" a="1"/>
  <c r="D55" i="5" s="1"/>
  <c r="F55" i="5" a="1"/>
  <c r="F55" i="5" s="1"/>
  <c r="G55" i="5" a="1"/>
  <c r="G55" i="5" s="1"/>
  <c r="B55" i="5" a="1"/>
  <c r="B55" i="5" s="1"/>
  <c r="C55" i="5" a="1"/>
  <c r="C55" i="5" s="1"/>
  <c r="E94" i="5" a="1"/>
  <c r="E94" i="5" s="1"/>
  <c r="H94" i="5" a="1"/>
  <c r="H94" i="5" s="1"/>
  <c r="G94" i="5" a="1"/>
  <c r="G94" i="5" s="1"/>
  <c r="D94" i="5" a="1"/>
  <c r="D94" i="5" s="1"/>
  <c r="F94" i="5" a="1"/>
  <c r="F94" i="5" s="1"/>
  <c r="B94" i="5" a="1"/>
  <c r="B94" i="5" s="1"/>
  <c r="E93" i="5" a="1"/>
  <c r="E93" i="5" s="1"/>
  <c r="H93" i="5" a="1"/>
  <c r="H93" i="5" s="1"/>
  <c r="F93" i="5" a="1"/>
  <c r="F93" i="5" s="1"/>
  <c r="G93" i="5" a="1"/>
  <c r="G93" i="5" s="1"/>
  <c r="D93" i="5" a="1"/>
  <c r="D93" i="5" s="1"/>
  <c r="B93" i="5" a="1"/>
  <c r="B93" i="5" s="1"/>
  <c r="E29" i="5" a="1"/>
  <c r="E29" i="5" s="1"/>
  <c r="H29" i="5" a="1"/>
  <c r="H29" i="5" s="1"/>
  <c r="F29" i="5" a="1"/>
  <c r="F29" i="5" s="1"/>
  <c r="D29" i="5" a="1"/>
  <c r="D29" i="5" s="1"/>
  <c r="G29" i="5" a="1"/>
  <c r="G29" i="5" s="1"/>
  <c r="B29" i="5" a="1"/>
  <c r="B29" i="5" s="1"/>
  <c r="C29" i="5" a="1"/>
  <c r="C29" i="5" s="1"/>
  <c r="G70" i="5" a="1"/>
  <c r="G70" i="5" s="1"/>
  <c r="H70" i="5" a="1"/>
  <c r="H70" i="5" s="1"/>
  <c r="F70" i="5" a="1"/>
  <c r="F70" i="5" s="1"/>
  <c r="E70" i="5" a="1"/>
  <c r="E70" i="5" s="1"/>
  <c r="D70" i="5" a="1"/>
  <c r="D70" i="5" s="1"/>
  <c r="B70" i="5" a="1"/>
  <c r="B70" i="5" s="1"/>
  <c r="C70" i="5" a="1"/>
  <c r="C70" i="5" s="1"/>
  <c r="H44" i="5" a="1"/>
  <c r="H44" i="5" s="1"/>
  <c r="F44" i="5" a="1"/>
  <c r="F44" i="5" s="1"/>
  <c r="E44" i="5" a="1"/>
  <c r="E44" i="5" s="1"/>
  <c r="D44" i="5" a="1"/>
  <c r="D44" i="5" s="1"/>
  <c r="G44" i="5" a="1"/>
  <c r="G44" i="5" s="1"/>
  <c r="B44" i="5" a="1"/>
  <c r="B44" i="5" s="1"/>
  <c r="C44" i="5" a="1"/>
  <c r="C44" i="5" s="1"/>
  <c r="H91" i="5" a="1"/>
  <c r="H91" i="5" s="1"/>
  <c r="F91" i="5" a="1"/>
  <c r="F91" i="5" s="1"/>
  <c r="D91" i="5" a="1"/>
  <c r="D91" i="5" s="1"/>
  <c r="E91" i="5" a="1"/>
  <c r="E91" i="5" s="1"/>
  <c r="G91" i="5" a="1"/>
  <c r="G91" i="5" s="1"/>
  <c r="B91" i="5" a="1"/>
  <c r="B91" i="5" s="1"/>
  <c r="H27" i="5" a="1"/>
  <c r="H27" i="5" s="1"/>
  <c r="F27" i="5" a="1"/>
  <c r="F27" i="5" s="1"/>
  <c r="E27" i="5" a="1"/>
  <c r="E27" i="5" s="1"/>
  <c r="G27" i="5" a="1"/>
  <c r="G27" i="5" s="1"/>
  <c r="D27" i="5" a="1"/>
  <c r="D27" i="5" s="1"/>
  <c r="B27" i="5" a="1"/>
  <c r="B27" i="5" s="1"/>
  <c r="C27" i="5" a="1"/>
  <c r="C27" i="5" s="1"/>
  <c r="G74" i="5" a="1"/>
  <c r="G74" i="5" s="1"/>
  <c r="H74" i="5" a="1"/>
  <c r="H74" i="5" s="1"/>
  <c r="F74" i="5" a="1"/>
  <c r="F74" i="5" s="1"/>
  <c r="E74" i="5" a="1"/>
  <c r="E74" i="5" s="1"/>
  <c r="D74" i="5" a="1"/>
  <c r="D74" i="5" s="1"/>
  <c r="C74" i="5" a="1"/>
  <c r="C74" i="5" s="1"/>
  <c r="B74" i="5" a="1"/>
  <c r="B74" i="5" s="1"/>
  <c r="G10" i="5" a="1"/>
  <c r="G10" i="5" s="1"/>
  <c r="H10" i="5" a="1"/>
  <c r="H10" i="5" s="1"/>
  <c r="F10" i="5" a="1"/>
  <c r="F10" i="5" s="1"/>
  <c r="E10" i="5" a="1"/>
  <c r="E10" i="5" s="1"/>
  <c r="D10" i="5" a="1"/>
  <c r="D10" i="5" s="1"/>
  <c r="C10" i="5" a="1"/>
  <c r="C10" i="5" s="1"/>
  <c r="B10" i="5" a="1"/>
  <c r="B10" i="5" s="1"/>
  <c r="D96" i="5" a="1"/>
  <c r="D96" i="5" s="1"/>
  <c r="E96" i="5" a="1"/>
  <c r="E96" i="5" s="1"/>
  <c r="H96" i="5" a="1"/>
  <c r="H96" i="5" s="1"/>
  <c r="F96" i="5" a="1"/>
  <c r="F96" i="5" s="1"/>
  <c r="G96" i="5" a="1"/>
  <c r="G96" i="5" s="1"/>
  <c r="B96" i="5" a="1"/>
  <c r="B96" i="5" s="1"/>
  <c r="E32" i="5" a="1"/>
  <c r="E32" i="5" s="1"/>
  <c r="F32" i="5" a="1"/>
  <c r="F32" i="5" s="1"/>
  <c r="H32" i="5" a="1"/>
  <c r="H32" i="5" s="1"/>
  <c r="G32" i="5" a="1"/>
  <c r="G32" i="5" s="1"/>
  <c r="D32" i="5" a="1"/>
  <c r="D32" i="5" s="1"/>
  <c r="B32" i="5" a="1"/>
  <c r="B32" i="5" s="1"/>
  <c r="C32" i="5" a="1"/>
  <c r="C32" i="5" s="1"/>
  <c r="D33" i="5" a="1"/>
  <c r="D33" i="5" s="1"/>
  <c r="E33" i="5" a="1"/>
  <c r="E33" i="5" s="1"/>
  <c r="F33" i="5" a="1"/>
  <c r="F33" i="5" s="1"/>
  <c r="H33" i="5" a="1"/>
  <c r="H33" i="5" s="1"/>
  <c r="G33" i="5" a="1"/>
  <c r="G33" i="5" s="1"/>
  <c r="B33" i="5" a="1"/>
  <c r="B33" i="5" s="1"/>
  <c r="C33" i="5" a="1"/>
  <c r="C33" i="5" s="1"/>
  <c r="D47" i="5" a="1"/>
  <c r="D47" i="5" s="1"/>
  <c r="G47" i="5" a="1"/>
  <c r="G47" i="5" s="1"/>
  <c r="H47" i="5" a="1"/>
  <c r="H47" i="5" s="1"/>
  <c r="E47" i="5" a="1"/>
  <c r="E47" i="5" s="1"/>
  <c r="F47" i="5" a="1"/>
  <c r="F47" i="5" s="1"/>
  <c r="C47" i="5" a="1"/>
  <c r="C47" i="5" s="1"/>
  <c r="B47" i="5" a="1"/>
  <c r="B47" i="5" s="1"/>
  <c r="G86" i="5" a="1"/>
  <c r="G86" i="5" s="1"/>
  <c r="D86" i="5" a="1"/>
  <c r="D86" i="5" s="1"/>
  <c r="E86" i="5" a="1"/>
  <c r="E86" i="5" s="1"/>
  <c r="H86" i="5" a="1"/>
  <c r="H86" i="5" s="1"/>
  <c r="F86" i="5" a="1"/>
  <c r="F86" i="5" s="1"/>
  <c r="B86" i="5" a="1"/>
  <c r="B86" i="5" s="1"/>
  <c r="C86" i="5" a="1"/>
  <c r="C86" i="5" s="1"/>
  <c r="H85" i="5" a="1"/>
  <c r="H85" i="5" s="1"/>
  <c r="F85" i="5" a="1"/>
  <c r="F85" i="5" s="1"/>
  <c r="D85" i="5" a="1"/>
  <c r="D85" i="5" s="1"/>
  <c r="E85" i="5" a="1"/>
  <c r="E85" i="5" s="1"/>
  <c r="G85" i="5" a="1"/>
  <c r="G85" i="5" s="1"/>
  <c r="B85" i="5" a="1"/>
  <c r="B85" i="5" s="1"/>
  <c r="C85" i="5" a="1"/>
  <c r="C85" i="5" s="1"/>
  <c r="H21" i="5" a="1"/>
  <c r="H21" i="5" s="1"/>
  <c r="F21" i="5" a="1"/>
  <c r="F21" i="5" s="1"/>
  <c r="D21" i="5" a="1"/>
  <c r="D21" i="5" s="1"/>
  <c r="E21" i="5" a="1"/>
  <c r="E21" i="5" s="1"/>
  <c r="G21" i="5" a="1"/>
  <c r="G21" i="5" s="1"/>
  <c r="B21" i="5" a="1"/>
  <c r="B21" i="5" s="1"/>
  <c r="C21" i="5" a="1"/>
  <c r="C21" i="5" s="1"/>
  <c r="G100" i="5" a="1"/>
  <c r="G100" i="5" s="1"/>
  <c r="D100" i="5" a="1"/>
  <c r="D100" i="5" s="1"/>
  <c r="E100" i="5" a="1"/>
  <c r="E100" i="5" s="1"/>
  <c r="H100" i="5" a="1"/>
  <c r="H100" i="5" s="1"/>
  <c r="F100" i="5" a="1"/>
  <c r="F100" i="5" s="1"/>
  <c r="B100" i="5" a="1"/>
  <c r="B100" i="5" s="1"/>
  <c r="H36" i="5" a="1"/>
  <c r="H36" i="5" s="1"/>
  <c r="D36" i="5" a="1"/>
  <c r="D36" i="5" s="1"/>
  <c r="G36" i="5" a="1"/>
  <c r="G36" i="5" s="1"/>
  <c r="F36" i="5" a="1"/>
  <c r="F36" i="5" s="1"/>
  <c r="E36" i="5" a="1"/>
  <c r="E36" i="5" s="1"/>
  <c r="C36" i="5" a="1"/>
  <c r="C36" i="5" s="1"/>
  <c r="B36" i="5" a="1"/>
  <c r="B36" i="5" s="1"/>
  <c r="D83" i="5" a="1"/>
  <c r="D83" i="5" s="1"/>
  <c r="G83" i="5" a="1"/>
  <c r="G83" i="5" s="1"/>
  <c r="F83" i="5" a="1"/>
  <c r="F83" i="5" s="1"/>
  <c r="H83" i="5" a="1"/>
  <c r="H83" i="5" s="1"/>
  <c r="E83" i="5" a="1"/>
  <c r="E83" i="5" s="1"/>
  <c r="B83" i="5" a="1"/>
  <c r="B83" i="5" s="1"/>
  <c r="C83" i="5" a="1"/>
  <c r="C83" i="5" s="1"/>
  <c r="G19" i="5" a="1"/>
  <c r="G19" i="5" s="1"/>
  <c r="D19" i="5" a="1"/>
  <c r="D19" i="5" s="1"/>
  <c r="F19" i="5" a="1"/>
  <c r="F19" i="5" s="1"/>
  <c r="E19" i="5" a="1"/>
  <c r="E19" i="5" s="1"/>
  <c r="H19" i="5" a="1"/>
  <c r="H19" i="5" s="1"/>
  <c r="B19" i="5" a="1"/>
  <c r="B19" i="5" s="1"/>
  <c r="C19" i="5" a="1"/>
  <c r="C19" i="5" s="1"/>
  <c r="H66" i="5" a="1"/>
  <c r="H66" i="5" s="1"/>
  <c r="F66" i="5" a="1"/>
  <c r="F66" i="5" s="1"/>
  <c r="E66" i="5" a="1"/>
  <c r="E66" i="5" s="1"/>
  <c r="G66" i="5" a="1"/>
  <c r="G66" i="5" s="1"/>
  <c r="D66" i="5" a="1"/>
  <c r="D66" i="5" s="1"/>
  <c r="B66" i="5" a="1"/>
  <c r="B66" i="5" s="1"/>
  <c r="C66" i="5" a="1"/>
  <c r="C66" i="5" s="1"/>
  <c r="D2" i="5" a="1"/>
  <c r="D2" i="5" s="1"/>
  <c r="F2" i="5" a="1"/>
  <c r="F2" i="5" s="1"/>
  <c r="G2" i="5" a="1"/>
  <c r="G2" i="5" s="1"/>
  <c r="B2" i="5" a="1"/>
  <c r="B2" i="5" s="1"/>
  <c r="C2" i="5" a="1"/>
  <c r="C2" i="5" s="1"/>
  <c r="E2" i="5" a="1"/>
  <c r="E2" i="5" s="1"/>
  <c r="D88" i="5" a="1"/>
  <c r="D88" i="5" s="1"/>
  <c r="H88" i="5" a="1"/>
  <c r="H88" i="5" s="1"/>
  <c r="F88" i="5" a="1"/>
  <c r="F88" i="5" s="1"/>
  <c r="G88" i="5" a="1"/>
  <c r="G88" i="5" s="1"/>
  <c r="E88" i="5" a="1"/>
  <c r="E88" i="5" s="1"/>
  <c r="B88" i="5" a="1"/>
  <c r="B88" i="5" s="1"/>
  <c r="H24" i="5" a="1"/>
  <c r="H24" i="5" s="1"/>
  <c r="F24" i="5" a="1"/>
  <c r="F24" i="5" s="1"/>
  <c r="G24" i="5" a="1"/>
  <c r="G24" i="5" s="1"/>
  <c r="D24" i="5" a="1"/>
  <c r="D24" i="5" s="1"/>
  <c r="E24" i="5" a="1"/>
  <c r="E24" i="5" s="1"/>
  <c r="B24" i="5" a="1"/>
  <c r="B24" i="5" s="1"/>
  <c r="C24" i="5" a="1"/>
  <c r="C24" i="5" s="1"/>
  <c r="D17" i="5" a="1"/>
  <c r="D17" i="5" s="1"/>
  <c r="H17" i="5" a="1"/>
  <c r="H17" i="5" s="1"/>
  <c r="G17" i="5" a="1"/>
  <c r="G17" i="5" s="1"/>
  <c r="E17" i="5" a="1"/>
  <c r="E17" i="5" s="1"/>
  <c r="F17" i="5" a="1"/>
  <c r="F17" i="5" s="1"/>
  <c r="B17" i="5" a="1"/>
  <c r="B17" i="5" s="1"/>
  <c r="C17" i="5" a="1"/>
  <c r="C17" i="5" s="1"/>
  <c r="D39" i="5" a="1"/>
  <c r="D39" i="5" s="1"/>
  <c r="H39" i="5" a="1"/>
  <c r="H39" i="5" s="1"/>
  <c r="F39" i="5" a="1"/>
  <c r="F39" i="5" s="1"/>
  <c r="G39" i="5" a="1"/>
  <c r="G39" i="5" s="1"/>
  <c r="E39" i="5" a="1"/>
  <c r="E39" i="5" s="1"/>
  <c r="C39" i="5" a="1"/>
  <c r="C39" i="5" s="1"/>
  <c r="B39" i="5" a="1"/>
  <c r="B39" i="5" s="1"/>
  <c r="E78" i="5" a="1"/>
  <c r="E78" i="5" s="1"/>
  <c r="G78" i="5" a="1"/>
  <c r="G78" i="5" s="1"/>
  <c r="H78" i="5" a="1"/>
  <c r="H78" i="5" s="1"/>
  <c r="F78" i="5" a="1"/>
  <c r="F78" i="5" s="1"/>
  <c r="D78" i="5" a="1"/>
  <c r="D78" i="5" s="1"/>
  <c r="B78" i="5" a="1"/>
  <c r="B78" i="5" s="1"/>
  <c r="C78" i="5" a="1"/>
  <c r="C78" i="5" s="1"/>
  <c r="E77" i="5" a="1"/>
  <c r="E77" i="5" s="1"/>
  <c r="D77" i="5" a="1"/>
  <c r="D77" i="5" s="1"/>
  <c r="G77" i="5" a="1"/>
  <c r="G77" i="5" s="1"/>
  <c r="F77" i="5" a="1"/>
  <c r="F77" i="5" s="1"/>
  <c r="H77" i="5" a="1"/>
  <c r="H77" i="5" s="1"/>
  <c r="B77" i="5" a="1"/>
  <c r="B77" i="5" s="1"/>
  <c r="C77" i="5" a="1"/>
  <c r="C77" i="5" s="1"/>
  <c r="E13" i="5" a="1"/>
  <c r="E13" i="5" s="1"/>
  <c r="D13" i="5" a="1"/>
  <c r="D13" i="5" s="1"/>
  <c r="G13" i="5" a="1"/>
  <c r="G13" i="5" s="1"/>
  <c r="F13" i="5" a="1"/>
  <c r="F13" i="5" s="1"/>
  <c r="H13" i="5" a="1"/>
  <c r="H13" i="5" s="1"/>
  <c r="B13" i="5" a="1"/>
  <c r="B13" i="5" s="1"/>
  <c r="C13" i="5" a="1"/>
  <c r="C13" i="5" s="1"/>
  <c r="D92" i="5" a="1"/>
  <c r="D92" i="5" s="1"/>
  <c r="H92" i="5" a="1"/>
  <c r="H92" i="5" s="1"/>
  <c r="F92" i="5" a="1"/>
  <c r="F92" i="5" s="1"/>
  <c r="G92" i="5" a="1"/>
  <c r="G92" i="5" s="1"/>
  <c r="E92" i="5" a="1"/>
  <c r="E92" i="5" s="1"/>
  <c r="B92" i="5" a="1"/>
  <c r="B92" i="5" s="1"/>
  <c r="F28" i="5" a="1"/>
  <c r="F28" i="5" s="1"/>
  <c r="G28" i="5" a="1"/>
  <c r="G28" i="5" s="1"/>
  <c r="H28" i="5" a="1"/>
  <c r="H28" i="5" s="1"/>
  <c r="E28" i="5" a="1"/>
  <c r="E28" i="5" s="1"/>
  <c r="D28" i="5" a="1"/>
  <c r="D28" i="5" s="1"/>
  <c r="B28" i="5" a="1"/>
  <c r="B28" i="5" s="1"/>
  <c r="C28" i="5" a="1"/>
  <c r="C28" i="5" s="1"/>
  <c r="D75" i="5" a="1"/>
  <c r="D75" i="5" s="1"/>
  <c r="H75" i="5" a="1"/>
  <c r="H75" i="5" s="1"/>
  <c r="F75" i="5" a="1"/>
  <c r="F75" i="5" s="1"/>
  <c r="E75" i="5" a="1"/>
  <c r="E75" i="5" s="1"/>
  <c r="G75" i="5" a="1"/>
  <c r="G75" i="5" s="1"/>
  <c r="B75" i="5" a="1"/>
  <c r="B75" i="5" s="1"/>
  <c r="C75" i="5" a="1"/>
  <c r="C75" i="5" s="1"/>
  <c r="H11" i="5" a="1"/>
  <c r="H11" i="5" s="1"/>
  <c r="F11" i="5" a="1"/>
  <c r="F11" i="5" s="1"/>
  <c r="E11" i="5" a="1"/>
  <c r="E11" i="5" s="1"/>
  <c r="G11" i="5" a="1"/>
  <c r="G11" i="5" s="1"/>
  <c r="D11" i="5" a="1"/>
  <c r="D11" i="5" s="1"/>
  <c r="B11" i="5" a="1"/>
  <c r="B11" i="5" s="1"/>
  <c r="C11" i="5" a="1"/>
  <c r="C11" i="5" s="1"/>
  <c r="G58" i="5" a="1"/>
  <c r="G58" i="5" s="1"/>
  <c r="D58" i="5" a="1"/>
  <c r="D58" i="5" s="1"/>
  <c r="E58" i="5" a="1"/>
  <c r="E58" i="5" s="1"/>
  <c r="H58" i="5" a="1"/>
  <c r="H58" i="5" s="1"/>
  <c r="F58" i="5" a="1"/>
  <c r="F58" i="5" s="1"/>
  <c r="C58" i="5" a="1"/>
  <c r="C58" i="5" s="1"/>
  <c r="B58" i="5" a="1"/>
  <c r="B58" i="5" s="1"/>
  <c r="H9" i="5" a="1"/>
  <c r="H9" i="5" s="1"/>
  <c r="E9" i="5" a="1"/>
  <c r="E9" i="5" s="1"/>
  <c r="D9" i="5" a="1"/>
  <c r="D9" i="5" s="1"/>
  <c r="G9" i="5" a="1"/>
  <c r="G9" i="5" s="1"/>
  <c r="F9" i="5" a="1"/>
  <c r="F9" i="5" s="1"/>
  <c r="C9" i="5" a="1"/>
  <c r="C9" i="5" s="1"/>
  <c r="B9" i="5" a="1"/>
  <c r="B9" i="5" s="1"/>
  <c r="H80" i="5" a="1"/>
  <c r="H80" i="5" s="1"/>
  <c r="F80" i="5" a="1"/>
  <c r="F80" i="5" s="1"/>
  <c r="E80" i="5" a="1"/>
  <c r="E80" i="5" s="1"/>
  <c r="G80" i="5" a="1"/>
  <c r="G80" i="5" s="1"/>
  <c r="D80" i="5" a="1"/>
  <c r="D80" i="5" s="1"/>
  <c r="B80" i="5" a="1"/>
  <c r="B80" i="5" s="1"/>
  <c r="C80" i="5" a="1"/>
  <c r="C80" i="5" s="1"/>
  <c r="H16" i="5" a="1"/>
  <c r="H16" i="5" s="1"/>
  <c r="F16" i="5" a="1"/>
  <c r="F16" i="5" s="1"/>
  <c r="E16" i="5" a="1"/>
  <c r="E16" i="5" s="1"/>
  <c r="G16" i="5" a="1"/>
  <c r="G16" i="5" s="1"/>
  <c r="D16" i="5" a="1"/>
  <c r="D16" i="5" s="1"/>
  <c r="B16" i="5" a="1"/>
  <c r="B16" i="5" s="1"/>
  <c r="C16" i="5" a="1"/>
  <c r="C16" i="5" s="1"/>
  <c r="H95" i="5" a="1"/>
  <c r="H95" i="5" s="1"/>
  <c r="F95" i="5" a="1"/>
  <c r="F95" i="5" s="1"/>
  <c r="G95" i="5" a="1"/>
  <c r="G95" i="5" s="1"/>
  <c r="E95" i="5" a="1"/>
  <c r="E95" i="5" s="1"/>
  <c r="D95" i="5" a="1"/>
  <c r="D95" i="5" s="1"/>
  <c r="B95" i="5" a="1"/>
  <c r="B95" i="5" s="1"/>
  <c r="H31" i="5" a="1"/>
  <c r="H31" i="5" s="1"/>
  <c r="F31" i="5" a="1"/>
  <c r="F31" i="5" s="1"/>
  <c r="G31" i="5" a="1"/>
  <c r="G31" i="5" s="1"/>
  <c r="D31" i="5" a="1"/>
  <c r="D31" i="5" s="1"/>
  <c r="E31" i="5" a="1"/>
  <c r="E31" i="5" s="1"/>
  <c r="C31" i="5" a="1"/>
  <c r="C31" i="5" s="1"/>
  <c r="B31" i="5" a="1"/>
  <c r="B31" i="5" s="1"/>
  <c r="E46" i="5" a="1"/>
  <c r="E46" i="5" s="1"/>
  <c r="G46" i="5" a="1"/>
  <c r="G46" i="5" s="1"/>
  <c r="H46" i="5" a="1"/>
  <c r="H46" i="5" s="1"/>
  <c r="F46" i="5" a="1"/>
  <c r="F46" i="5" s="1"/>
  <c r="D46" i="5" a="1"/>
  <c r="D46" i="5" s="1"/>
  <c r="B46" i="5" a="1"/>
  <c r="B46" i="5" s="1"/>
  <c r="C46" i="5" a="1"/>
  <c r="C46" i="5" s="1"/>
  <c r="D69" i="5" a="1"/>
  <c r="D69" i="5" s="1"/>
  <c r="H69" i="5" a="1"/>
  <c r="H69" i="5" s="1"/>
  <c r="F69" i="5" a="1"/>
  <c r="F69" i="5" s="1"/>
  <c r="E69" i="5" a="1"/>
  <c r="E69" i="5" s="1"/>
  <c r="G69" i="5" a="1"/>
  <c r="G69" i="5" s="1"/>
  <c r="B69" i="5" a="1"/>
  <c r="B69" i="5" s="1"/>
  <c r="C69" i="5" a="1"/>
  <c r="C69" i="5" s="1"/>
  <c r="D5" i="5" a="1"/>
  <c r="D5" i="5" s="1"/>
  <c r="H5" i="5" a="1"/>
  <c r="H5" i="5" s="1"/>
  <c r="F5" i="5" a="1"/>
  <c r="F5" i="5" s="1"/>
  <c r="E5" i="5" a="1"/>
  <c r="E5" i="5" s="1"/>
  <c r="G5" i="5" a="1"/>
  <c r="G5" i="5" s="1"/>
  <c r="B5" i="5" a="1"/>
  <c r="B5" i="5" s="1"/>
  <c r="C5" i="5" a="1"/>
  <c r="C5" i="5" s="1"/>
  <c r="J3" i="5" l="1"/>
  <c r="K3" i="5" s="1"/>
  <c r="P9" i="5"/>
  <c r="M9" i="5"/>
  <c r="O9" i="5"/>
  <c r="L9" i="5"/>
  <c r="N9" i="5"/>
  <c r="A9" i="6"/>
  <c r="O78" i="5"/>
  <c r="L78" i="5"/>
  <c r="N78" i="5"/>
  <c r="P78" i="5"/>
  <c r="M78" i="5"/>
  <c r="A78" i="6"/>
  <c r="M48" i="5"/>
  <c r="O48" i="5"/>
  <c r="L48" i="5"/>
  <c r="N48" i="5"/>
  <c r="P48" i="5"/>
  <c r="M72" i="5"/>
  <c r="O72" i="5"/>
  <c r="L72" i="5"/>
  <c r="P72" i="5"/>
  <c r="N72" i="5"/>
  <c r="A72" i="6"/>
  <c r="O46" i="5"/>
  <c r="L46" i="5"/>
  <c r="N46" i="5"/>
  <c r="M46" i="5"/>
  <c r="P46" i="5"/>
  <c r="A46" i="6"/>
  <c r="P58" i="5"/>
  <c r="M58" i="5"/>
  <c r="O58" i="5"/>
  <c r="L58" i="5"/>
  <c r="N58" i="5"/>
  <c r="N11" i="5"/>
  <c r="L11" i="5"/>
  <c r="P11" i="5"/>
  <c r="M11" i="5"/>
  <c r="O11" i="5"/>
  <c r="A11" i="6"/>
  <c r="N83" i="5"/>
  <c r="P83" i="5"/>
  <c r="M83" i="5"/>
  <c r="L83" i="5"/>
  <c r="O83" i="5"/>
  <c r="A83" i="6"/>
  <c r="L47" i="5"/>
  <c r="O47" i="5"/>
  <c r="N47" i="5"/>
  <c r="P47" i="5"/>
  <c r="M47" i="5"/>
  <c r="A47" i="6"/>
  <c r="P33" i="5"/>
  <c r="M33" i="5"/>
  <c r="O33" i="5"/>
  <c r="L33" i="5"/>
  <c r="N33" i="5"/>
  <c r="N91" i="5"/>
  <c r="P91" i="5"/>
  <c r="M91" i="5"/>
  <c r="O91" i="5"/>
  <c r="L91" i="5"/>
  <c r="A91" i="6"/>
  <c r="L55" i="5"/>
  <c r="O55" i="5"/>
  <c r="N55" i="5"/>
  <c r="P55" i="5"/>
  <c r="M55" i="5"/>
  <c r="A55" i="6"/>
  <c r="N99" i="5"/>
  <c r="P99" i="5"/>
  <c r="M99" i="5"/>
  <c r="L99" i="5"/>
  <c r="O99" i="5"/>
  <c r="A99" i="6"/>
  <c r="P49" i="5"/>
  <c r="M49" i="5"/>
  <c r="O49" i="5"/>
  <c r="N49" i="5"/>
  <c r="L49" i="5"/>
  <c r="A49" i="6"/>
  <c r="O22" i="5"/>
  <c r="L22" i="5"/>
  <c r="N22" i="5"/>
  <c r="M22" i="5"/>
  <c r="P22" i="5"/>
  <c r="A22" i="6"/>
  <c r="P98" i="5"/>
  <c r="M98" i="5"/>
  <c r="O98" i="5"/>
  <c r="L98" i="5"/>
  <c r="N98" i="5"/>
  <c r="P89" i="5"/>
  <c r="M89" i="5"/>
  <c r="O89" i="5"/>
  <c r="L89" i="5"/>
  <c r="N89" i="5"/>
  <c r="N76" i="5"/>
  <c r="P76" i="5"/>
  <c r="O76" i="5"/>
  <c r="M76" i="5"/>
  <c r="L76" i="5"/>
  <c r="A76" i="6"/>
  <c r="L45" i="5"/>
  <c r="N45" i="5"/>
  <c r="P45" i="5"/>
  <c r="M45" i="5"/>
  <c r="O45" i="5"/>
  <c r="A45" i="6"/>
  <c r="O86" i="5"/>
  <c r="L86" i="5"/>
  <c r="N86" i="5"/>
  <c r="M86" i="5"/>
  <c r="P86" i="5"/>
  <c r="A86" i="6"/>
  <c r="N27" i="5"/>
  <c r="P27" i="5"/>
  <c r="M27" i="5"/>
  <c r="L27" i="5"/>
  <c r="O27" i="5"/>
  <c r="A27" i="6"/>
  <c r="N35" i="5"/>
  <c r="P35" i="5"/>
  <c r="M35" i="5"/>
  <c r="O35" i="5"/>
  <c r="L35" i="5"/>
  <c r="A35" i="6"/>
  <c r="P34" i="5"/>
  <c r="M34" i="5"/>
  <c r="O34" i="5"/>
  <c r="L34" i="5"/>
  <c r="N34" i="5"/>
  <c r="N12" i="5"/>
  <c r="P12" i="5"/>
  <c r="M12" i="5"/>
  <c r="O12" i="5"/>
  <c r="L12" i="5"/>
  <c r="A12" i="6"/>
  <c r="L13" i="5"/>
  <c r="N13" i="5"/>
  <c r="O13" i="5"/>
  <c r="P13" i="5"/>
  <c r="M13" i="5"/>
  <c r="A13" i="6"/>
  <c r="L85" i="5"/>
  <c r="N85" i="5"/>
  <c r="P85" i="5"/>
  <c r="M85" i="5"/>
  <c r="O85" i="5"/>
  <c r="A85" i="6"/>
  <c r="P10" i="5"/>
  <c r="M10" i="5"/>
  <c r="O10" i="5"/>
  <c r="L10" i="5"/>
  <c r="N10" i="5"/>
  <c r="L93" i="5"/>
  <c r="N93" i="5"/>
  <c r="P93" i="5"/>
  <c r="M93" i="5"/>
  <c r="O93" i="5"/>
  <c r="A93" i="6"/>
  <c r="P18" i="5"/>
  <c r="M18" i="5"/>
  <c r="O18" i="5"/>
  <c r="L18" i="5"/>
  <c r="N18" i="5"/>
  <c r="P82" i="5"/>
  <c r="M82" i="5"/>
  <c r="O82" i="5"/>
  <c r="L82" i="5"/>
  <c r="N82" i="5"/>
  <c r="A82" i="6"/>
  <c r="O62" i="5"/>
  <c r="L62" i="5"/>
  <c r="N62" i="5"/>
  <c r="M62" i="5"/>
  <c r="P62" i="5"/>
  <c r="A62" i="6"/>
  <c r="P65" i="5"/>
  <c r="M65" i="5"/>
  <c r="O65" i="5"/>
  <c r="L65" i="5"/>
  <c r="N65" i="5"/>
  <c r="O30" i="5"/>
  <c r="L30" i="5"/>
  <c r="N30" i="5"/>
  <c r="P30" i="5"/>
  <c r="M30" i="5"/>
  <c r="A30" i="6"/>
  <c r="N59" i="5"/>
  <c r="P59" i="5"/>
  <c r="M59" i="5"/>
  <c r="O59" i="5"/>
  <c r="L59" i="5"/>
  <c r="A59" i="6"/>
  <c r="N3" i="5"/>
  <c r="P3" i="5"/>
  <c r="M3" i="5"/>
  <c r="O3" i="5"/>
  <c r="L3" i="5"/>
  <c r="A3" i="6"/>
  <c r="N19" i="5"/>
  <c r="P19" i="5"/>
  <c r="M19" i="5"/>
  <c r="L19" i="5"/>
  <c r="O19" i="5"/>
  <c r="A19" i="6"/>
  <c r="L79" i="5"/>
  <c r="O79" i="5"/>
  <c r="N79" i="5"/>
  <c r="P79" i="5"/>
  <c r="M79" i="5"/>
  <c r="A79" i="6"/>
  <c r="N20" i="5"/>
  <c r="P20" i="5"/>
  <c r="O20" i="5"/>
  <c r="M20" i="5"/>
  <c r="L20" i="5"/>
  <c r="A20" i="6"/>
  <c r="P74" i="5"/>
  <c r="M74" i="5"/>
  <c r="O74" i="5"/>
  <c r="L74" i="5"/>
  <c r="N74" i="5"/>
  <c r="L63" i="5"/>
  <c r="O63" i="5"/>
  <c r="P63" i="5"/>
  <c r="N63" i="5"/>
  <c r="M63" i="5"/>
  <c r="A63" i="6"/>
  <c r="L87" i="5"/>
  <c r="O87" i="5"/>
  <c r="N87" i="5"/>
  <c r="P87" i="5"/>
  <c r="M87" i="5"/>
  <c r="A87" i="6"/>
  <c r="L15" i="5"/>
  <c r="O15" i="5"/>
  <c r="P15" i="5"/>
  <c r="N15" i="5"/>
  <c r="M15" i="5"/>
  <c r="A15" i="6"/>
  <c r="M80" i="5"/>
  <c r="O80" i="5"/>
  <c r="L80" i="5"/>
  <c r="P80" i="5"/>
  <c r="N80" i="5"/>
  <c r="M16" i="5"/>
  <c r="O16" i="5"/>
  <c r="L16" i="5"/>
  <c r="N16" i="5"/>
  <c r="P16" i="5"/>
  <c r="A16" i="6"/>
  <c r="N92" i="5"/>
  <c r="P92" i="5"/>
  <c r="M92" i="5"/>
  <c r="O92" i="5"/>
  <c r="L92" i="5"/>
  <c r="A92" i="6"/>
  <c r="M88" i="5"/>
  <c r="P88" i="5"/>
  <c r="O88" i="5"/>
  <c r="L88" i="5"/>
  <c r="N88" i="5"/>
  <c r="L2" i="5"/>
  <c r="N2" i="5"/>
  <c r="P2" i="5"/>
  <c r="M2" i="5"/>
  <c r="O2" i="5"/>
  <c r="L21" i="5"/>
  <c r="N21" i="5"/>
  <c r="P21" i="5"/>
  <c r="M21" i="5"/>
  <c r="O21" i="5"/>
  <c r="A21" i="6"/>
  <c r="P25" i="5"/>
  <c r="M25" i="5"/>
  <c r="O25" i="5"/>
  <c r="N25" i="5"/>
  <c r="L25" i="5"/>
  <c r="O6" i="5"/>
  <c r="L6" i="5"/>
  <c r="N6" i="5"/>
  <c r="M6" i="5"/>
  <c r="P6" i="5"/>
  <c r="A6" i="6"/>
  <c r="N43" i="5"/>
  <c r="P43" i="5"/>
  <c r="M43" i="5"/>
  <c r="L43" i="5"/>
  <c r="O43" i="5"/>
  <c r="A43" i="6"/>
  <c r="P73" i="5"/>
  <c r="M73" i="5"/>
  <c r="O73" i="5"/>
  <c r="N73" i="5"/>
  <c r="L73" i="5"/>
  <c r="A73" i="6"/>
  <c r="M56" i="5"/>
  <c r="O56" i="5"/>
  <c r="L56" i="5"/>
  <c r="P56" i="5"/>
  <c r="N56" i="5"/>
  <c r="A56" i="6"/>
  <c r="N68" i="5"/>
  <c r="P68" i="5"/>
  <c r="M68" i="5"/>
  <c r="O68" i="5"/>
  <c r="L68" i="5"/>
  <c r="A68" i="6"/>
  <c r="O38" i="5"/>
  <c r="L38" i="5"/>
  <c r="N38" i="5"/>
  <c r="M38" i="5"/>
  <c r="P38" i="5"/>
  <c r="A38" i="6"/>
  <c r="P42" i="5"/>
  <c r="M42" i="5"/>
  <c r="O42" i="5"/>
  <c r="L42" i="5"/>
  <c r="N42" i="5"/>
  <c r="O54" i="5"/>
  <c r="L54" i="5"/>
  <c r="N54" i="5"/>
  <c r="P54" i="5"/>
  <c r="M54" i="5"/>
  <c r="A54" i="6"/>
  <c r="P97" i="5"/>
  <c r="M97" i="5"/>
  <c r="O97" i="5"/>
  <c r="L97" i="5"/>
  <c r="N97" i="5"/>
  <c r="L69" i="5"/>
  <c r="N69" i="5"/>
  <c r="P69" i="5"/>
  <c r="M69" i="5"/>
  <c r="O69" i="5"/>
  <c r="A69" i="6"/>
  <c r="P57" i="5"/>
  <c r="M57" i="5"/>
  <c r="O57" i="5"/>
  <c r="L57" i="5"/>
  <c r="N57" i="5"/>
  <c r="N60" i="5"/>
  <c r="P60" i="5"/>
  <c r="M60" i="5"/>
  <c r="O60" i="5"/>
  <c r="L60" i="5"/>
  <c r="A60" i="6"/>
  <c r="L5" i="5"/>
  <c r="O5" i="5"/>
  <c r="N5" i="5"/>
  <c r="P5" i="5"/>
  <c r="M5" i="5"/>
  <c r="A5" i="6"/>
  <c r="P66" i="5"/>
  <c r="M66" i="5"/>
  <c r="O66" i="5"/>
  <c r="L66" i="5"/>
  <c r="N66" i="5"/>
  <c r="L95" i="5"/>
  <c r="O95" i="5"/>
  <c r="P95" i="5"/>
  <c r="N95" i="5"/>
  <c r="M95" i="5"/>
  <c r="A95" i="6"/>
  <c r="N100" i="5"/>
  <c r="P100" i="5"/>
  <c r="O100" i="5"/>
  <c r="M100" i="5"/>
  <c r="L100" i="5"/>
  <c r="A100" i="6"/>
  <c r="L29" i="5"/>
  <c r="N29" i="5"/>
  <c r="P29" i="5"/>
  <c r="M29" i="5"/>
  <c r="O29" i="5"/>
  <c r="A29" i="6"/>
  <c r="O14" i="5"/>
  <c r="L14" i="5"/>
  <c r="N14" i="5"/>
  <c r="P14" i="5"/>
  <c r="M14" i="5"/>
  <c r="A14" i="6"/>
  <c r="P90" i="5"/>
  <c r="M90" i="5"/>
  <c r="O90" i="5"/>
  <c r="L90" i="5"/>
  <c r="N90" i="5"/>
  <c r="N4" i="5"/>
  <c r="P4" i="5"/>
  <c r="M4" i="5"/>
  <c r="O4" i="5"/>
  <c r="L4" i="5"/>
  <c r="A4" i="6"/>
  <c r="N84" i="5"/>
  <c r="P84" i="5"/>
  <c r="M84" i="5"/>
  <c r="O84" i="5"/>
  <c r="L84" i="5"/>
  <c r="A84" i="6"/>
  <c r="L53" i="5"/>
  <c r="N53" i="5"/>
  <c r="P53" i="5"/>
  <c r="M53" i="5"/>
  <c r="O53" i="5"/>
  <c r="A53" i="6"/>
  <c r="L77" i="5"/>
  <c r="N77" i="5"/>
  <c r="P77" i="5"/>
  <c r="M77" i="5"/>
  <c r="O77" i="5"/>
  <c r="A77" i="6"/>
  <c r="M96" i="5"/>
  <c r="O96" i="5"/>
  <c r="L96" i="5"/>
  <c r="P96" i="5"/>
  <c r="N96" i="5"/>
  <c r="A96" i="6"/>
  <c r="L31" i="5"/>
  <c r="O31" i="5"/>
  <c r="N31" i="5"/>
  <c r="P31" i="5"/>
  <c r="M31" i="5"/>
  <c r="A31" i="6"/>
  <c r="N28" i="5"/>
  <c r="P28" i="5"/>
  <c r="M28" i="5"/>
  <c r="O28" i="5"/>
  <c r="L28" i="5"/>
  <c r="A28" i="6"/>
  <c r="M24" i="5"/>
  <c r="P24" i="5"/>
  <c r="O24" i="5"/>
  <c r="L24" i="5"/>
  <c r="N24" i="5"/>
  <c r="A24" i="6"/>
  <c r="N36" i="5"/>
  <c r="P36" i="5"/>
  <c r="M36" i="5"/>
  <c r="O36" i="5"/>
  <c r="L36" i="5"/>
  <c r="A36" i="6"/>
  <c r="O70" i="5"/>
  <c r="L70" i="5"/>
  <c r="N70" i="5"/>
  <c r="M70" i="5"/>
  <c r="P70" i="5"/>
  <c r="A70" i="6"/>
  <c r="P41" i="5"/>
  <c r="M41" i="5"/>
  <c r="O41" i="5"/>
  <c r="L41" i="5"/>
  <c r="N41" i="5"/>
  <c r="A41" i="6"/>
  <c r="M40" i="5"/>
  <c r="P40" i="5"/>
  <c r="O40" i="5"/>
  <c r="L40" i="5"/>
  <c r="N40" i="5"/>
  <c r="A40" i="6"/>
  <c r="N52" i="5"/>
  <c r="P52" i="5"/>
  <c r="O52" i="5"/>
  <c r="M52" i="5"/>
  <c r="L52" i="5"/>
  <c r="A52" i="6"/>
  <c r="L37" i="5"/>
  <c r="N37" i="5"/>
  <c r="P37" i="5"/>
  <c r="M37" i="5"/>
  <c r="O37" i="5"/>
  <c r="A37" i="6"/>
  <c r="P26" i="5"/>
  <c r="M26" i="5"/>
  <c r="O26" i="5"/>
  <c r="L26" i="5"/>
  <c r="N26" i="5"/>
  <c r="L71" i="5"/>
  <c r="O71" i="5"/>
  <c r="N71" i="5"/>
  <c r="P71" i="5"/>
  <c r="M71" i="5"/>
  <c r="A71" i="6"/>
  <c r="P81" i="5"/>
  <c r="M81" i="5"/>
  <c r="O81" i="5"/>
  <c r="L81" i="5"/>
  <c r="N81" i="5"/>
  <c r="A81" i="6"/>
  <c r="M8" i="5"/>
  <c r="O8" i="5"/>
  <c r="L8" i="5"/>
  <c r="P8" i="5"/>
  <c r="N8" i="5"/>
  <c r="A8" i="6"/>
  <c r="O94" i="5"/>
  <c r="L94" i="5"/>
  <c r="N94" i="5"/>
  <c r="M94" i="5"/>
  <c r="P94" i="5"/>
  <c r="A94" i="6"/>
  <c r="N75" i="5"/>
  <c r="L75" i="5"/>
  <c r="P75" i="5"/>
  <c r="M75" i="5"/>
  <c r="O75" i="5"/>
  <c r="A75" i="6"/>
  <c r="L39" i="5"/>
  <c r="O39" i="5"/>
  <c r="P39" i="5"/>
  <c r="N39" i="5"/>
  <c r="M39" i="5"/>
  <c r="A39" i="6"/>
  <c r="P17" i="5"/>
  <c r="M17" i="5"/>
  <c r="O17" i="5"/>
  <c r="L17" i="5"/>
  <c r="N17" i="5"/>
  <c r="A17" i="6"/>
  <c r="M32" i="5"/>
  <c r="O32" i="5"/>
  <c r="L32" i="5"/>
  <c r="P32" i="5"/>
  <c r="N32" i="5"/>
  <c r="N44" i="5"/>
  <c r="P44" i="5"/>
  <c r="M44" i="5"/>
  <c r="O44" i="5"/>
  <c r="L44" i="5"/>
  <c r="A44" i="6"/>
  <c r="O7" i="5"/>
  <c r="L7" i="5"/>
  <c r="N7" i="5"/>
  <c r="P7" i="5"/>
  <c r="M7" i="5"/>
  <c r="A7" i="6"/>
  <c r="N51" i="5"/>
  <c r="P51" i="5"/>
  <c r="M51" i="5"/>
  <c r="L51" i="5"/>
  <c r="O51" i="5"/>
  <c r="A51" i="6"/>
  <c r="P50" i="5"/>
  <c r="M50" i="5"/>
  <c r="O50" i="5"/>
  <c r="L50" i="5"/>
  <c r="N50" i="5"/>
  <c r="A50" i="6"/>
  <c r="N67" i="5"/>
  <c r="P67" i="5"/>
  <c r="M67" i="5"/>
  <c r="L67" i="5"/>
  <c r="O67" i="5"/>
  <c r="A67" i="6"/>
  <c r="M64" i="5"/>
  <c r="P64" i="5"/>
  <c r="O64" i="5"/>
  <c r="L64" i="5"/>
  <c r="N64" i="5"/>
  <c r="A64" i="6"/>
  <c r="L61" i="5"/>
  <c r="N61" i="5"/>
  <c r="P61" i="5"/>
  <c r="M61" i="5"/>
  <c r="O61" i="5"/>
  <c r="A61" i="6"/>
  <c r="L23" i="5"/>
  <c r="O23" i="5"/>
  <c r="N23" i="5"/>
  <c r="P23" i="5"/>
  <c r="M23" i="5"/>
  <c r="A23" i="6"/>
  <c r="A57" i="6" l="1"/>
  <c r="A65" i="6"/>
  <c r="A42" i="6"/>
  <c r="A98" i="6"/>
  <c r="A25" i="6"/>
  <c r="A18" i="6"/>
  <c r="A89" i="6"/>
  <c r="A97" i="6"/>
  <c r="A88" i="6"/>
  <c r="A33" i="6"/>
  <c r="A58" i="6"/>
  <c r="A90" i="6"/>
  <c r="A32" i="6"/>
  <c r="A26" i="6"/>
  <c r="A66" i="6"/>
  <c r="A2" i="6"/>
  <c r="A80" i="6"/>
  <c r="A74" i="6"/>
  <c r="A10" i="6"/>
  <c r="A34" i="6"/>
  <c r="A4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<sst xmlns="http://schemas.openxmlformats.org/spreadsheetml/2006/main" count="19" uniqueCount="16">
  <si>
    <t>Description</t>
  </si>
  <si>
    <t>Rate</t>
  </si>
  <si>
    <t>Amount</t>
  </si>
  <si>
    <t>SRU Name</t>
  </si>
  <si>
    <t>Rate Type</t>
  </si>
  <si>
    <t>MR Total</t>
  </si>
  <si>
    <t>Effective Rate</t>
  </si>
  <si>
    <t>Net Units</t>
  </si>
  <si>
    <t>Effective Unit</t>
  </si>
  <si>
    <t xml:space="preserve">Serial Number </t>
  </si>
  <si>
    <t>Combine Data</t>
  </si>
  <si>
    <t>Effective rate</t>
  </si>
  <si>
    <t xml:space="preserve">Net Units </t>
  </si>
  <si>
    <t>Serial Number</t>
  </si>
  <si>
    <t xml:space="preserve">Utilisation </t>
  </si>
  <si>
    <t>Utilization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</si>
</sst>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2" fontId="1" fillId="2" borderId="0" xfId="0" applyNumberFormat="1" applyFont="1" applyFill="1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0E4F-C7B5-48A7-8830-7ACA437B42B8}">
  <dimension ref="A1"/>
  <sheetViews>
    <sheetView workbookViewId="0">
      <selection activeCell="B3" sqref="B3"/>
    </sheetView>
  </sheetViews>
  <sheetFormatPr defaultColWidth="8.81640625" defaultRowHeight="14.75" x14ac:dyDescent="0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FE84-9118-45D2-83C0-0E9CF725B487}">
  <dimension ref="A1:K100"/>
  <sheetViews>
    <sheetView workbookViewId="0">
      <selection activeCell="A2" sqref="A2"/>
    </sheetView>
  </sheetViews>
  <sheetFormatPr defaultColWidth="8.81640625" defaultRowHeight="14.75" x14ac:dyDescent="0.75"/>
  <cols>
    <col min="2" max="2" width="8.76953125" bestFit="1" customWidth="1"/>
    <col min="7" max="7" width="14.26953125" customWidth="1"/>
    <col min="8" max="8" width="15.04296875" bestFit="1" customWidth="1"/>
  </cols>
  <sheetData>
    <row r="1" spans="1:11" x14ac:dyDescent="0.7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15</v>
      </c>
      <c r="I1" s="2" t="s">
        <v>10</v>
      </c>
    </row>
    <row r="2" spans="1:11" x14ac:dyDescent="0.75">
      <c r="A2" t="str">
        <f>IF(SF_Data!A2="","",SF_Data!A2)</f>
        <v/>
      </c>
      <c r="B2" t="str">
        <f>IF(A2="","",SF_Data!H2)</f>
        <v/>
      </c>
      <c r="C2" t="str">
        <f>IF(A2="", "", IF(B2="MAX", INDEX(SF_Data!G:G, MATCH(SF_Data!K2, SF_Data!J:J, 0)), SF_Data!G2))</f>
        <v/>
      </c>
      <c r="D2" t="str">
        <f>IF(A2="","",IF(B2="MAX",IF(E2=0,INDEX(SF_Data!L:L,MATCH(SF_Data!K2,SF_Data!J:J,0)),INDEX(SF_Data!E:E,MATCH(SF_Data!K2,SF_Data!J:J,0))),IF(E2=0,SF_Data!L2,SF_Data!E2)))</f>
        <v/>
      </c>
      <c r="E2" t="str">
        <f>IF(A2="", "", IF(B2="MAX", INDEX(SF_Data!F:F, MATCH(SF_Data!K2, SF_Data!J:J, 0)), SF_Data!F2))</f>
        <v/>
      </c>
      <c r="F2" t="str">
        <f>IF(A2="", "", IF(B2="MAX", INDEX(SF_Data!D:D, MATCH(SF_Data!K2, SF_Data!J:J, 0)), SF_Data!D2))</f>
        <v/>
      </c>
      <c r="G2" t="str">
        <f>IF(A2="","",SF_Data!C2)</f>
        <v/>
      </c>
      <c r="H2" t="str">
        <f>IF(A2="","",SF_Data!M2)</f>
        <v/>
      </c>
      <c r="I2" t="str">
        <f>IF(A2="", "", TEXT(A2,"@")&amp;"|"&amp;TEXT(B2,"@")&amp;"|"&amp;TEXT(C2,"@")&amp;"|"&amp;TEXT(D2,"@")&amp;"|"&amp;TEXT(E2,"@")&amp;"|"&amp;TEXT(F2,"@")&amp;"|"&amp;TEXT(G2,"@")&amp;"|"&amp;TEXT(H2,"@"))</f>
        <v/>
      </c>
      <c r="J2" t="str">
        <f>IF(A2="", "", IF(COUNTIF($I$2:I2, I2)=1, "Unique", IF(AND(COUNTIF($I$2:I2, I2)&gt;1, B2="MAX"), "Duplicate", "Unique")))</f>
        <v/>
      </c>
      <c r="K2" t="str">
        <f>IF(J2="Unique", ROW(), "")</f>
        <v/>
      </c>
    </row>
    <row r="3" spans="1:11" x14ac:dyDescent="0.75">
      <c r="A3" t="str">
        <f>IF(SF_Data!A3="","",SF_Data!A3)</f>
        <v/>
      </c>
      <c r="B3" t="str">
        <f>IF(A3="","",SF_Data!H3)</f>
        <v/>
      </c>
      <c r="C3" t="str">
        <f>IF(A3="", "", IF(B3="MAX", INDEX(SF_Data!G:G, MATCH(SF_Data!K3, SF_Data!J:J, 0)), SF_Data!G3))</f>
        <v/>
      </c>
      <c r="D3" t="str">
        <f>IF(A3="","",IF(B3="MAX",IF(E3=0,INDEX(SF_Data!L:L,MATCH(SF_Data!K3,SF_Data!J:J,0)),INDEX(SF_Data!E:E,MATCH(SF_Data!K3,SF_Data!J:J,0))),IF(E3=0,SF_Data!L3,SF_Data!E3)))</f>
        <v/>
      </c>
      <c r="E3" t="str">
        <f>IF(A3="", "", IF(B3="MAX", INDEX(SF_Data!F:F, MATCH(SF_Data!K3, SF_Data!J:J, 0)), SF_Data!F3))</f>
        <v/>
      </c>
      <c r="F3" t="str">
        <f>IF(A3="", "", IF(B3="MAX", INDEX(SF_Data!D:D, MATCH(SF_Data!K3, SF_Data!J:J, 0)), SF_Data!D3))</f>
        <v/>
      </c>
      <c r="G3" t="str">
        <f>IF(A3="","",SF_Data!C3)</f>
        <v/>
      </c>
      <c r="H3" t="str">
        <f>IF(A3="","",SF_Data!M3)</f>
        <v/>
      </c>
      <c r="I3" t="str">
        <f t="shared" ref="I3:I66" si="0">IF(A3="", "", TEXT(A3,"@")&amp;"|"&amp;TEXT(B3,"@")&amp;"|"&amp;TEXT(C3,"@")&amp;"|"&amp;TEXT(D3,"@")&amp;"|"&amp;TEXT(E3,"@")&amp;"|"&amp;TEXT(F3,"@")&amp;"|"&amp;TEXT(G3,"@")&amp;"|"&amp;TEXT(H3,"@"))</f>
        <v/>
      </c>
      <c r="J3" t="str">
        <f>IF(A3="", "", IF(COUNTIF($I$2:I3, I3)=1, "Unique", IF(AND(COUNTIF($I$2:I3, I3)&gt;1, B3="MAX"), "Duplicate", "Unique")))</f>
        <v/>
      </c>
      <c r="K3" t="str">
        <f t="shared" ref="K3:K66" si="1">IF(J3="Unique", ROW(), "")</f>
        <v/>
      </c>
    </row>
    <row r="4" spans="1:11" x14ac:dyDescent="0.75">
      <c r="A4" t="str">
        <f>IF(SF_Data!A4="","",SF_Data!A4)</f>
        <v/>
      </c>
      <c r="B4" t="str">
        <f>IF(A4="","",SF_Data!H4)</f>
        <v/>
      </c>
      <c r="C4" t="str">
        <f>IF(A4="", "", IF(B4="MAX", INDEX(SF_Data!G:G, MATCH(SF_Data!K4, SF_Data!J:J, 0)), SF_Data!G4))</f>
        <v/>
      </c>
      <c r="D4" t="str">
        <f>IF(A4="","",IF(B4="MAX",IF(E4=0,INDEX(SF_Data!L:L,MATCH(SF_Data!K4,SF_Data!J:J,0)),INDEX(SF_Data!E:E,MATCH(SF_Data!K4,SF_Data!J:J,0))),IF(E4=0,SF_Data!L4,SF_Data!E4)))</f>
        <v/>
      </c>
      <c r="E4" t="str">
        <f>IF(A4="", "", IF(B4="MAX", INDEX(SF_Data!F:F, MATCH(SF_Data!K4, SF_Data!J:J, 0)), SF_Data!F4))</f>
        <v/>
      </c>
      <c r="F4" t="str">
        <f>IF(A4="", "", IF(B4="MAX", INDEX(SF_Data!D:D, MATCH(SF_Data!K4, SF_Data!J:J, 0)), SF_Data!D4))</f>
        <v/>
      </c>
      <c r="G4" t="str">
        <f>IF(A4="","",SF_Data!C4)</f>
        <v/>
      </c>
      <c r="H4" t="str">
        <f>IF(A4="","",SF_Data!M4)</f>
        <v/>
      </c>
      <c r="I4" t="str">
        <f t="shared" si="0"/>
        <v/>
      </c>
      <c r="J4" t="str">
        <f>IF(A4="", "", IF(COUNTIF($I$2:I4, I4)=1, "Unique", IF(AND(COUNTIF($I$2:I4, I4)&gt;1, B4="MAX"), "Duplicate", "Unique")))</f>
        <v/>
      </c>
      <c r="K4" t="str">
        <f t="shared" si="1"/>
        <v/>
      </c>
    </row>
    <row r="5" spans="1:11" x14ac:dyDescent="0.75">
      <c r="A5" t="str">
        <f>IF(SF_Data!A5="","",SF_Data!A5)</f>
        <v/>
      </c>
      <c r="B5" t="str">
        <f>IF(A5="","",SF_Data!H5)</f>
        <v/>
      </c>
      <c r="C5" t="str">
        <f>IF(A5="", "", IF(B5="MAX", INDEX(SF_Data!G:G, MATCH(SF_Data!K5, SF_Data!J:J, 0)), SF_Data!G5))</f>
        <v/>
      </c>
      <c r="D5" t="str">
        <f>IF(A5="","",IF(B5="MAX",IF(E5=0,INDEX(SF_Data!L:L,MATCH(SF_Data!K5,SF_Data!J:J,0)),INDEX(SF_Data!E:E,MATCH(SF_Data!K5,SF_Data!J:J,0))),IF(E5=0,SF_Data!L5,SF_Data!E5)))</f>
        <v/>
      </c>
      <c r="E5" t="str">
        <f>IF(A5="", "", IF(B5="MAX", INDEX(SF_Data!F:F, MATCH(SF_Data!K5, SF_Data!J:J, 0)), SF_Data!F5))</f>
        <v/>
      </c>
      <c r="F5" t="str">
        <f>IF(A5="", "", IF(B5="MAX", INDEX(SF_Data!D:D, MATCH(SF_Data!K5, SF_Data!J:J, 0)), SF_Data!D5))</f>
        <v/>
      </c>
      <c r="G5" t="str">
        <f>IF(A5="","",SF_Data!C5)</f>
        <v/>
      </c>
      <c r="H5" t="str">
        <f>IF(A5="","",SF_Data!M5)</f>
        <v/>
      </c>
      <c r="I5" t="str">
        <f t="shared" si="0"/>
        <v/>
      </c>
      <c r="J5" t="str">
        <f>IF(A5="", "", IF(COUNTIF($I$2:I5, I5)=1, "Unique", IF(AND(COUNTIF($I$2:I5, I5)&gt;1, B5="MAX"), "Duplicate", "Unique")))</f>
        <v/>
      </c>
      <c r="K5" t="str">
        <f t="shared" si="1"/>
        <v/>
      </c>
    </row>
    <row r="6" spans="1:11" x14ac:dyDescent="0.75">
      <c r="A6" t="str">
        <f>IF(SF_Data!A6="","",SF_Data!A6)</f>
        <v/>
      </c>
      <c r="B6" t="str">
        <f>IF(A6="","",SF_Data!H6)</f>
        <v/>
      </c>
      <c r="C6" t="str">
        <f>IF(A6="", "", IF(B6="MAX", INDEX(SF_Data!G:G, MATCH(SF_Data!K6, SF_Data!J:J, 0)), SF_Data!G6))</f>
        <v/>
      </c>
      <c r="D6" t="str">
        <f>IF(A6="","",IF(B6="MAX",IF(E6=0,INDEX(SF_Data!L:L,MATCH(SF_Data!K6,SF_Data!J:J,0)),INDEX(SF_Data!E:E,MATCH(SF_Data!K6,SF_Data!J:J,0))),IF(E6=0,SF_Data!L6,SF_Data!E6)))</f>
        <v/>
      </c>
      <c r="E6" t="str">
        <f>IF(A6="", "", IF(B6="MAX", INDEX(SF_Data!F:F, MATCH(SF_Data!K6, SF_Data!J:J, 0)), SF_Data!F6))</f>
        <v/>
      </c>
      <c r="F6" t="str">
        <f>IF(A6="", "", IF(B6="MAX", INDEX(SF_Data!D:D, MATCH(SF_Data!K6, SF_Data!J:J, 0)), SF_Data!D6))</f>
        <v/>
      </c>
      <c r="G6" t="str">
        <f>IF(A6="","",SF_Data!C6)</f>
        <v/>
      </c>
      <c r="H6" t="str">
        <f>IF(A6="","",SF_Data!M6)</f>
        <v/>
      </c>
      <c r="I6" t="str">
        <f t="shared" si="0"/>
        <v/>
      </c>
      <c r="J6" t="str">
        <f>IF(A6="", "", IF(COUNTIF($I$2:I6, I6)=1, "Unique", IF(AND(COUNTIF($I$2:I6, I6)&gt;1, B6="MAX"), "Duplicate", "Unique")))</f>
        <v/>
      </c>
      <c r="K6" t="str">
        <f t="shared" si="1"/>
        <v/>
      </c>
    </row>
    <row r="7" spans="1:11" x14ac:dyDescent="0.75">
      <c r="A7" t="str">
        <f>IF(SF_Data!A7="","",SF_Data!A7)</f>
        <v/>
      </c>
      <c r="B7" t="str">
        <f>IF(A7="","",SF_Data!H7)</f>
        <v/>
      </c>
      <c r="C7" t="str">
        <f>IF(A7="", "", IF(B7="MAX", INDEX(SF_Data!G:G, MATCH(SF_Data!K7, SF_Data!J:J, 0)), SF_Data!G7))</f>
        <v/>
      </c>
      <c r="D7" t="str">
        <f>IF(A7="","",IF(B7="MAX",IF(E7=0,INDEX(SF_Data!L:L,MATCH(SF_Data!K7,SF_Data!J:J,0)),INDEX(SF_Data!E:E,MATCH(SF_Data!K7,SF_Data!J:J,0))),IF(E7=0,SF_Data!L7,SF_Data!E7)))</f>
        <v/>
      </c>
      <c r="E7" t="str">
        <f>IF(A7="", "", IF(B7="MAX", INDEX(SF_Data!F:F, MATCH(SF_Data!K7, SF_Data!J:J, 0)), SF_Data!F7))</f>
        <v/>
      </c>
      <c r="F7" t="str">
        <f>IF(A7="", "", IF(B7="MAX", INDEX(SF_Data!D:D, MATCH(SF_Data!K7, SF_Data!J:J, 0)), SF_Data!D7))</f>
        <v/>
      </c>
      <c r="G7" t="str">
        <f>IF(A7="","",SF_Data!C7)</f>
        <v/>
      </c>
      <c r="H7" t="str">
        <f>IF(A7="","",SF_Data!M7)</f>
        <v/>
      </c>
      <c r="I7" t="str">
        <f t="shared" si="0"/>
        <v/>
      </c>
      <c r="J7" t="str">
        <f>IF(A7="", "", IF(COUNTIF($I$2:I7, I7)=1, "Unique", IF(AND(COUNTIF($I$2:I7, I7)&gt;1, B7="MAX"), "Duplicate", "Unique")))</f>
        <v/>
      </c>
      <c r="K7" t="str">
        <f t="shared" si="1"/>
        <v/>
      </c>
    </row>
    <row r="8" spans="1:11" x14ac:dyDescent="0.75">
      <c r="A8" t="str">
        <f>IF(SF_Data!A8="","",SF_Data!A8)</f>
        <v/>
      </c>
      <c r="B8" t="str">
        <f>IF(A8="","",SF_Data!H8)</f>
        <v/>
      </c>
      <c r="C8" t="str">
        <f>IF(A8="", "", IF(B8="MAX", INDEX(SF_Data!G:G, MATCH(SF_Data!K8, SF_Data!J:J, 0)), SF_Data!G8))</f>
        <v/>
      </c>
      <c r="D8" t="str">
        <f>IF(A8="","",IF(B8="MAX",IF(E8=0,INDEX(SF_Data!L:L,MATCH(SF_Data!K8,SF_Data!J:J,0)),INDEX(SF_Data!E:E,MATCH(SF_Data!K8,SF_Data!J:J,0))),IF(E8=0,SF_Data!L8,SF_Data!E8)))</f>
        <v/>
      </c>
      <c r="E8" t="str">
        <f>IF(A8="", "", IF(B8="MAX", INDEX(SF_Data!F:F, MATCH(SF_Data!K8, SF_Data!J:J, 0)), SF_Data!F8))</f>
        <v/>
      </c>
      <c r="F8" t="str">
        <f>IF(A8="", "", IF(B8="MAX", INDEX(SF_Data!D:D, MATCH(SF_Data!K8, SF_Data!J:J, 0)), SF_Data!D8))</f>
        <v/>
      </c>
      <c r="G8" t="str">
        <f>IF(A8="","",SF_Data!C8)</f>
        <v/>
      </c>
      <c r="H8" t="str">
        <f>IF(A8="","",SF_Data!M8)</f>
        <v/>
      </c>
      <c r="I8" t="str">
        <f t="shared" si="0"/>
        <v/>
      </c>
      <c r="J8" t="str">
        <f>IF(A8="", "", IF(COUNTIF($I$2:I8, I8)=1, "Unique", IF(AND(COUNTIF($I$2:I8, I8)&gt;1, B8="MAX"), "Duplicate", "Unique")))</f>
        <v/>
      </c>
      <c r="K8" t="str">
        <f t="shared" si="1"/>
        <v/>
      </c>
    </row>
    <row r="9" spans="1:11" x14ac:dyDescent="0.75">
      <c r="A9" t="str">
        <f>IF(SF_Data!A9="","",SF_Data!A9)</f>
        <v/>
      </c>
      <c r="B9" t="str">
        <f>IF(A9="","",SF_Data!H9)</f>
        <v/>
      </c>
      <c r="C9" t="str">
        <f>IF(A9="", "", IF(B9="MAX", INDEX(SF_Data!G:G, MATCH(SF_Data!K9, SF_Data!J:J, 0)), SF_Data!G9))</f>
        <v/>
      </c>
      <c r="D9" t="str">
        <f>IF(A9="","",IF(B9="MAX",IF(E9=0,INDEX(SF_Data!L:L,MATCH(SF_Data!K9,SF_Data!J:J,0)),INDEX(SF_Data!E:E,MATCH(SF_Data!K9,SF_Data!J:J,0))),IF(E9=0,SF_Data!L9,SF_Data!E9)))</f>
        <v/>
      </c>
      <c r="E9" t="str">
        <f>IF(A9="", "", IF(B9="MAX", INDEX(SF_Data!F:F, MATCH(SF_Data!K9, SF_Data!J:J, 0)), SF_Data!F9))</f>
        <v/>
      </c>
      <c r="F9" t="str">
        <f>IF(A9="", "", IF(B9="MAX", INDEX(SF_Data!D:D, MATCH(SF_Data!K9, SF_Data!J:J, 0)), SF_Data!D9))</f>
        <v/>
      </c>
      <c r="G9" t="str">
        <f>IF(A9="","",SF_Data!C9)</f>
        <v/>
      </c>
      <c r="H9" t="str">
        <f>IF(A9="","",SF_Data!M9)</f>
        <v/>
      </c>
      <c r="I9" t="str">
        <f t="shared" si="0"/>
        <v/>
      </c>
      <c r="J9" t="str">
        <f>IF(A9="", "", IF(COUNTIF($I$2:I9, I9)=1, "Unique", IF(AND(COUNTIF($I$2:I9, I9)&gt;1, B9="MAX"), "Duplicate", "Unique")))</f>
        <v/>
      </c>
      <c r="K9" t="str">
        <f t="shared" si="1"/>
        <v/>
      </c>
    </row>
    <row r="10" spans="1:11" x14ac:dyDescent="0.75">
      <c r="A10" t="str">
        <f>IF(SF_Data!A10="","",SF_Data!A10)</f>
        <v/>
      </c>
      <c r="B10" t="str">
        <f>IF(A10="","",SF_Data!H10)</f>
        <v/>
      </c>
      <c r="C10" t="str">
        <f>IF(A10="", "", IF(B10="MAX", INDEX(SF_Data!G:G, MATCH(SF_Data!K10, SF_Data!J:J, 0)), SF_Data!G10))</f>
        <v/>
      </c>
      <c r="D10" t="str">
        <f>IF(A10="","",IF(B10="MAX",IF(E10=0,INDEX(SF_Data!L:L,MATCH(SF_Data!K10,SF_Data!J:J,0)),INDEX(SF_Data!E:E,MATCH(SF_Data!K10,SF_Data!J:J,0))),IF(E10=0,SF_Data!L10,SF_Data!E10)))</f>
        <v/>
      </c>
      <c r="E10" t="str">
        <f>IF(A10="", "", IF(B10="MAX", INDEX(SF_Data!F:F, MATCH(SF_Data!K10, SF_Data!J:J, 0)), SF_Data!F10))</f>
        <v/>
      </c>
      <c r="F10" t="str">
        <f>IF(A10="", "", IF(B10="MAX", INDEX(SF_Data!D:D, MATCH(SF_Data!K10, SF_Data!J:J, 0)), SF_Data!D10))</f>
        <v/>
      </c>
      <c r="G10" t="str">
        <f>IF(A10="","",SF_Data!C10)</f>
        <v/>
      </c>
      <c r="H10" t="str">
        <f>IF(A10="","",SF_Data!M10)</f>
        <v/>
      </c>
      <c r="I10" t="str">
        <f t="shared" si="0"/>
        <v/>
      </c>
      <c r="J10" t="str">
        <f>IF(A10="", "", IF(COUNTIF($I$2:I10, I10)=1, "Unique", IF(AND(COUNTIF($I$2:I10, I10)&gt;1, B10="MAX"), "Duplicate", "Unique")))</f>
        <v/>
      </c>
      <c r="K10" t="str">
        <f t="shared" si="1"/>
        <v/>
      </c>
    </row>
    <row r="11" spans="1:11" x14ac:dyDescent="0.75">
      <c r="A11" t="str">
        <f>IF(SF_Data!A11="","",SF_Data!A11)</f>
        <v/>
      </c>
      <c r="B11" t="str">
        <f>IF(A11="","",SF_Data!H11)</f>
        <v/>
      </c>
      <c r="C11" t="str">
        <f>IF(A11="", "", IF(B11="MAX", INDEX(SF_Data!G:G, MATCH(SF_Data!K11, SF_Data!J:J, 0)), SF_Data!G11))</f>
        <v/>
      </c>
      <c r="D11" t="str">
        <f>IF(A11="","",IF(B11="MAX",IF(E11=0,INDEX(SF_Data!L:L,MATCH(SF_Data!K11,SF_Data!J:J,0)),INDEX(SF_Data!E:E,MATCH(SF_Data!K11,SF_Data!J:J,0))),IF(E11=0,SF_Data!L11,SF_Data!E11)))</f>
        <v/>
      </c>
      <c r="E11" t="str">
        <f>IF(A11="", "", IF(B11="MAX", INDEX(SF_Data!F:F, MATCH(SF_Data!K11, SF_Data!J:J, 0)), SF_Data!F11))</f>
        <v/>
      </c>
      <c r="F11" t="str">
        <f>IF(A11="", "", IF(B11="MAX", INDEX(SF_Data!D:D, MATCH(SF_Data!K11, SF_Data!J:J, 0)), SF_Data!D11))</f>
        <v/>
      </c>
      <c r="G11" t="str">
        <f>IF(A11="","",SF_Data!C11)</f>
        <v/>
      </c>
      <c r="H11" t="str">
        <f>IF(A11="","",SF_Data!M11)</f>
        <v/>
      </c>
      <c r="I11" t="str">
        <f t="shared" si="0"/>
        <v/>
      </c>
      <c r="J11" t="str">
        <f>IF(A11="", "", IF(COUNTIF($I$2:I11, I11)=1, "Unique", IF(AND(COUNTIF($I$2:I11, I11)&gt;1, B11="MAX"), "Duplicate", "Unique")))</f>
        <v/>
      </c>
      <c r="K11" t="str">
        <f t="shared" si="1"/>
        <v/>
      </c>
    </row>
    <row r="12" spans="1:11" x14ac:dyDescent="0.75">
      <c r="A12" t="str">
        <f>IF(SF_Data!A12="","",SF_Data!A12)</f>
        <v/>
      </c>
      <c r="B12" t="str">
        <f>IF(A12="","",SF_Data!H12)</f>
        <v/>
      </c>
      <c r="C12" t="str">
        <f>IF(A12="", "", IF(B12="MAX", INDEX(SF_Data!G:G, MATCH(SF_Data!K12, SF_Data!J:J, 0)), SF_Data!G12))</f>
        <v/>
      </c>
      <c r="D12" t="str">
        <f>IF(A12="","",IF(B12="MAX",IF(E12=0,INDEX(SF_Data!L:L,MATCH(SF_Data!K12,SF_Data!J:J,0)),INDEX(SF_Data!E:E,MATCH(SF_Data!K12,SF_Data!J:J,0))),IF(E12=0,SF_Data!L12,SF_Data!E12)))</f>
        <v/>
      </c>
      <c r="E12" t="str">
        <f>IF(A12="", "", IF(B12="MAX", INDEX(SF_Data!F:F, MATCH(SF_Data!K12, SF_Data!J:J, 0)), SF_Data!F12))</f>
        <v/>
      </c>
      <c r="F12" t="str">
        <f>IF(A12="", "", IF(B12="MAX", INDEX(SF_Data!D:D, MATCH(SF_Data!K12, SF_Data!J:J, 0)), SF_Data!D12))</f>
        <v/>
      </c>
      <c r="G12" t="str">
        <f>IF(A12="","",SF_Data!C12)</f>
        <v/>
      </c>
      <c r="H12" t="str">
        <f>IF(A12="","",SF_Data!M12)</f>
        <v/>
      </c>
      <c r="I12" t="str">
        <f t="shared" si="0"/>
        <v/>
      </c>
      <c r="J12" t="str">
        <f>IF(A12="", "", IF(COUNTIF($I$2:I12, I12)=1, "Unique", IF(AND(COUNTIF($I$2:I12, I12)&gt;1, B12="MAX"), "Duplicate", "Unique")))</f>
        <v/>
      </c>
      <c r="K12" t="str">
        <f t="shared" si="1"/>
        <v/>
      </c>
    </row>
    <row r="13" spans="1:11" x14ac:dyDescent="0.75">
      <c r="A13" t="str">
        <f>IF(SF_Data!A13="","",SF_Data!A13)</f>
        <v/>
      </c>
      <c r="B13" t="str">
        <f>IF(A13="","",SF_Data!H13)</f>
        <v/>
      </c>
      <c r="C13" t="str">
        <f>IF(A13="", "", IF(B13="MAX", INDEX(SF_Data!G:G, MATCH(SF_Data!K13, SF_Data!J:J, 0)), SF_Data!G13))</f>
        <v/>
      </c>
      <c r="D13" t="str">
        <f>IF(A13="","",IF(B13="MAX",IF(E13=0,INDEX(SF_Data!L:L,MATCH(SF_Data!K13,SF_Data!J:J,0)),INDEX(SF_Data!E:E,MATCH(SF_Data!K13,SF_Data!J:J,0))),IF(E13=0,SF_Data!L13,SF_Data!E13)))</f>
        <v/>
      </c>
      <c r="E13" t="str">
        <f>IF(A13="", "", IF(B13="MAX", INDEX(SF_Data!F:F, MATCH(SF_Data!K13, SF_Data!J:J, 0)), SF_Data!F13))</f>
        <v/>
      </c>
      <c r="F13" t="str">
        <f>IF(A13="", "", IF(B13="MAX", INDEX(SF_Data!D:D, MATCH(SF_Data!K13, SF_Data!J:J, 0)), SF_Data!D13))</f>
        <v/>
      </c>
      <c r="G13" t="str">
        <f>IF(A13="","",SF_Data!C13)</f>
        <v/>
      </c>
      <c r="H13" t="str">
        <f>IF(A13="","",SF_Data!M13)</f>
        <v/>
      </c>
      <c r="I13" t="str">
        <f t="shared" si="0"/>
        <v/>
      </c>
      <c r="J13" t="str">
        <f>IF(A13="", "", IF(COUNTIF($I$2:I13, I13)=1, "Unique", IF(AND(COUNTIF($I$2:I13, I13)&gt;1, B13="MAX"), "Duplicate", "Unique")))</f>
        <v/>
      </c>
      <c r="K13" t="str">
        <f t="shared" si="1"/>
        <v/>
      </c>
    </row>
    <row r="14" spans="1:11" x14ac:dyDescent="0.75">
      <c r="A14" t="str">
        <f>IF(SF_Data!A14="","",SF_Data!A14)</f>
        <v/>
      </c>
      <c r="B14" t="str">
        <f>IF(A14="","",SF_Data!H14)</f>
        <v/>
      </c>
      <c r="C14" t="str">
        <f>IF(A14="", "", IF(B14="MAX", INDEX(SF_Data!G:G, MATCH(SF_Data!K14, SF_Data!J:J, 0)), SF_Data!G14))</f>
        <v/>
      </c>
      <c r="D14" t="str">
        <f>IF(A14="","",IF(B14="MAX",IF(E14=0,INDEX(SF_Data!L:L,MATCH(SF_Data!K14,SF_Data!J:J,0)),INDEX(SF_Data!E:E,MATCH(SF_Data!K14,SF_Data!J:J,0))),IF(E14=0,SF_Data!L14,SF_Data!E14)))</f>
        <v/>
      </c>
      <c r="E14" t="str">
        <f>IF(A14="", "", IF(B14="MAX", INDEX(SF_Data!F:F, MATCH(SF_Data!K14, SF_Data!J:J, 0)), SF_Data!F14))</f>
        <v/>
      </c>
      <c r="F14" t="str">
        <f>IF(A14="", "", IF(B14="MAX", INDEX(SF_Data!D:D, MATCH(SF_Data!K14, SF_Data!J:J, 0)), SF_Data!D14))</f>
        <v/>
      </c>
      <c r="G14" t="str">
        <f>IF(A14="","",SF_Data!C14)</f>
        <v/>
      </c>
      <c r="H14" t="str">
        <f>IF(A14="","",SF_Data!M14)</f>
        <v/>
      </c>
      <c r="I14" t="str">
        <f t="shared" si="0"/>
        <v/>
      </c>
      <c r="J14" t="str">
        <f>IF(A14="", "", IF(COUNTIF($I$2:I14, I14)=1, "Unique", IF(AND(COUNTIF($I$2:I14, I14)&gt;1, B14="MAX"), "Duplicate", "Unique")))</f>
        <v/>
      </c>
      <c r="K14" t="str">
        <f t="shared" si="1"/>
        <v/>
      </c>
    </row>
    <row r="15" spans="1:11" x14ac:dyDescent="0.75">
      <c r="A15" t="str">
        <f>IF(SF_Data!A15="","",SF_Data!A15)</f>
        <v/>
      </c>
      <c r="B15" t="str">
        <f>IF(A15="","",SF_Data!H15)</f>
        <v/>
      </c>
      <c r="C15" t="str">
        <f>IF(A15="", "", IF(B15="MAX", INDEX(SF_Data!G:G, MATCH(SF_Data!K15, SF_Data!J:J, 0)), SF_Data!G15))</f>
        <v/>
      </c>
      <c r="D15" t="str">
        <f>IF(A15="","",IF(B15="MAX",IF(E15=0,INDEX(SF_Data!L:L,MATCH(SF_Data!K15,SF_Data!J:J,0)),INDEX(SF_Data!E:E,MATCH(SF_Data!K15,SF_Data!J:J,0))),IF(E15=0,SF_Data!L15,SF_Data!E15)))</f>
        <v/>
      </c>
      <c r="E15" t="str">
        <f>IF(A15="", "", IF(B15="MAX", INDEX(SF_Data!F:F, MATCH(SF_Data!K15, SF_Data!J:J, 0)), SF_Data!F15))</f>
        <v/>
      </c>
      <c r="F15" t="str">
        <f>IF(A15="", "", IF(B15="MAX", INDEX(SF_Data!D:D, MATCH(SF_Data!K15, SF_Data!J:J, 0)), SF_Data!D15))</f>
        <v/>
      </c>
      <c r="G15" t="str">
        <f>IF(A15="","",SF_Data!C15)</f>
        <v/>
      </c>
      <c r="H15" t="str">
        <f>IF(A15="","",SF_Data!M15)</f>
        <v/>
      </c>
      <c r="I15" t="str">
        <f t="shared" si="0"/>
        <v/>
      </c>
      <c r="J15" t="str">
        <f>IF(A15="", "", IF(COUNTIF($I$2:I15, I15)=1, "Unique", IF(AND(COUNTIF($I$2:I15, I15)&gt;1, B15="MAX"), "Duplicate", "Unique")))</f>
        <v/>
      </c>
      <c r="K15" t="str">
        <f t="shared" si="1"/>
        <v/>
      </c>
    </row>
    <row r="16" spans="1:11" x14ac:dyDescent="0.75">
      <c r="A16" t="str">
        <f>IF(SF_Data!A16="","",SF_Data!A16)</f>
        <v/>
      </c>
      <c r="B16" t="str">
        <f>IF(A16="","",SF_Data!H16)</f>
        <v/>
      </c>
      <c r="C16" t="str">
        <f>IF(A16="", "", IF(B16="MAX", INDEX(SF_Data!G:G, MATCH(SF_Data!K16, SF_Data!J:J, 0)), SF_Data!G16))</f>
        <v/>
      </c>
      <c r="D16" t="str">
        <f>IF(A16="","",IF(B16="MAX",IF(E16=0,INDEX(SF_Data!L:L,MATCH(SF_Data!K16,SF_Data!J:J,0)),INDEX(SF_Data!E:E,MATCH(SF_Data!K16,SF_Data!J:J,0))),IF(E16=0,SF_Data!L16,SF_Data!E16)))</f>
        <v/>
      </c>
      <c r="E16" t="str">
        <f>IF(A16="", "", IF(B16="MAX", INDEX(SF_Data!F:F, MATCH(SF_Data!K16, SF_Data!J:J, 0)), SF_Data!F16))</f>
        <v/>
      </c>
      <c r="F16" t="str">
        <f>IF(A16="", "", IF(B16="MAX", INDEX(SF_Data!D:D, MATCH(SF_Data!K16, SF_Data!J:J, 0)), SF_Data!D16))</f>
        <v/>
      </c>
      <c r="G16" t="str">
        <f>IF(A16="","",SF_Data!C16)</f>
        <v/>
      </c>
      <c r="H16" t="str">
        <f>IF(A16="","",SF_Data!M16)</f>
        <v/>
      </c>
      <c r="I16" t="str">
        <f t="shared" si="0"/>
        <v/>
      </c>
      <c r="J16" t="str">
        <f>IF(A16="", "", IF(COUNTIF($I$2:I16, I16)=1, "Unique", IF(AND(COUNTIF($I$2:I16, I16)&gt;1, B16="MAX"), "Duplicate", "Unique")))</f>
        <v/>
      </c>
      <c r="K16" t="str">
        <f t="shared" si="1"/>
        <v/>
      </c>
    </row>
    <row r="17" spans="1:11" x14ac:dyDescent="0.75">
      <c r="A17" t="str">
        <f>IF(SF_Data!A17="","",SF_Data!A17)</f>
        <v/>
      </c>
      <c r="B17" t="str">
        <f>IF(A17="","",SF_Data!H17)</f>
        <v/>
      </c>
      <c r="C17" t="str">
        <f>IF(A17="", "", IF(B17="MAX", INDEX(SF_Data!G:G, MATCH(SF_Data!K17, SF_Data!J:J, 0)), SF_Data!G17))</f>
        <v/>
      </c>
      <c r="D17" t="str">
        <f>IF(A17="","",IF(B17="MAX",IF(E17=0,INDEX(SF_Data!L:L,MATCH(SF_Data!K17,SF_Data!J:J,0)),INDEX(SF_Data!E:E,MATCH(SF_Data!K17,SF_Data!J:J,0))),IF(E17=0,SF_Data!L17,SF_Data!E17)))</f>
        <v/>
      </c>
      <c r="E17" t="str">
        <f>IF(A17="", "", IF(B17="MAX", INDEX(SF_Data!F:F, MATCH(SF_Data!K17, SF_Data!J:J, 0)), SF_Data!F17))</f>
        <v/>
      </c>
      <c r="F17" t="str">
        <f>IF(A17="", "", IF(B17="MAX", INDEX(SF_Data!D:D, MATCH(SF_Data!K17, SF_Data!J:J, 0)), SF_Data!D17))</f>
        <v/>
      </c>
      <c r="G17" t="str">
        <f>IF(A17="","",SF_Data!C17)</f>
        <v/>
      </c>
      <c r="H17" t="str">
        <f>IF(A17="","",SF_Data!M17)</f>
        <v/>
      </c>
      <c r="I17" t="str">
        <f t="shared" si="0"/>
        <v/>
      </c>
      <c r="J17" t="str">
        <f>IF(A17="", "", IF(COUNTIF($I$2:I17, I17)=1, "Unique", IF(AND(COUNTIF($I$2:I17, I17)&gt;1, B17="MAX"), "Duplicate", "Unique")))</f>
        <v/>
      </c>
      <c r="K17" t="str">
        <f t="shared" si="1"/>
        <v/>
      </c>
    </row>
    <row r="18" spans="1:11" x14ac:dyDescent="0.75">
      <c r="A18" t="str">
        <f>IF(SF_Data!A18="","",SF_Data!A18)</f>
        <v/>
      </c>
      <c r="B18" t="str">
        <f>IF(A18="","",SF_Data!H18)</f>
        <v/>
      </c>
      <c r="C18" t="str">
        <f>IF(A18="", "", IF(B18="MAX", INDEX(SF_Data!G:G, MATCH(SF_Data!K18, SF_Data!J:J, 0)), SF_Data!G18))</f>
        <v/>
      </c>
      <c r="D18" t="str">
        <f>IF(A18="","",IF(B18="MAX",IF(E18=0,INDEX(SF_Data!L:L,MATCH(SF_Data!K18,SF_Data!J:J,0)),INDEX(SF_Data!E:E,MATCH(SF_Data!K18,SF_Data!J:J,0))),IF(E18=0,SF_Data!L18,SF_Data!E18)))</f>
        <v/>
      </c>
      <c r="E18" t="str">
        <f>IF(A18="", "", IF(B18="MAX", INDEX(SF_Data!F:F, MATCH(SF_Data!K18, SF_Data!J:J, 0)), SF_Data!F18))</f>
        <v/>
      </c>
      <c r="F18" t="str">
        <f>IF(A18="", "", IF(B18="MAX", INDEX(SF_Data!D:D, MATCH(SF_Data!K18, SF_Data!J:J, 0)), SF_Data!D18))</f>
        <v/>
      </c>
      <c r="G18" t="str">
        <f>IF(A18="","",SF_Data!C18)</f>
        <v/>
      </c>
      <c r="H18" t="str">
        <f>IF(A18="","",SF_Data!M18)</f>
        <v/>
      </c>
      <c r="I18" t="str">
        <f t="shared" si="0"/>
        <v/>
      </c>
      <c r="J18" t="str">
        <f>IF(A18="", "", IF(COUNTIF($I$2:I18, I18)=1, "Unique", IF(AND(COUNTIF($I$2:I18, I18)&gt;1, B18="MAX"), "Duplicate", "Unique")))</f>
        <v/>
      </c>
      <c r="K18" t="str">
        <f t="shared" si="1"/>
        <v/>
      </c>
    </row>
    <row r="19" spans="1:11" x14ac:dyDescent="0.75">
      <c r="A19" t="str">
        <f>IF(SF_Data!A19="","",SF_Data!A19)</f>
        <v/>
      </c>
      <c r="B19" t="str">
        <f>IF(A19="","",SF_Data!H19)</f>
        <v/>
      </c>
      <c r="C19" t="str">
        <f>IF(A19="", "", IF(B19="MAX", INDEX(SF_Data!G:G, MATCH(SF_Data!K19, SF_Data!J:J, 0)), SF_Data!G19))</f>
        <v/>
      </c>
      <c r="D19" t="str">
        <f>IF(A19="","",IF(B19="MAX",IF(E19=0,INDEX(SF_Data!L:L,MATCH(SF_Data!K19,SF_Data!J:J,0)),INDEX(SF_Data!E:E,MATCH(SF_Data!K19,SF_Data!J:J,0))),IF(E19=0,SF_Data!L19,SF_Data!E19)))</f>
        <v/>
      </c>
      <c r="E19" t="str">
        <f>IF(A19="", "", IF(B19="MAX", INDEX(SF_Data!F:F, MATCH(SF_Data!K19, SF_Data!J:J, 0)), SF_Data!F19))</f>
        <v/>
      </c>
      <c r="F19" t="str">
        <f>IF(A19="", "", IF(B19="MAX", INDEX(SF_Data!D:D, MATCH(SF_Data!K19, SF_Data!J:J, 0)), SF_Data!D19))</f>
        <v/>
      </c>
      <c r="G19" t="str">
        <f>IF(A19="","",SF_Data!C19)</f>
        <v/>
      </c>
      <c r="H19" t="str">
        <f>IF(A19="","",SF_Data!M19)</f>
        <v/>
      </c>
      <c r="I19" t="str">
        <f t="shared" si="0"/>
        <v/>
      </c>
      <c r="J19" t="str">
        <f>IF(A19="", "", IF(COUNTIF($I$2:I19, I19)=1, "Unique", IF(AND(COUNTIF($I$2:I19, I19)&gt;1, B19="MAX"), "Duplicate", "Unique")))</f>
        <v/>
      </c>
      <c r="K19" t="str">
        <f t="shared" si="1"/>
        <v/>
      </c>
    </row>
    <row r="20" spans="1:11" x14ac:dyDescent="0.75">
      <c r="A20" t="str">
        <f>IF(SF_Data!A20="","",SF_Data!A20)</f>
        <v/>
      </c>
      <c r="B20" t="str">
        <f>IF(A20="","",SF_Data!H20)</f>
        <v/>
      </c>
      <c r="C20" t="str">
        <f>IF(A20="", "", IF(B20="MAX", INDEX(SF_Data!G:G, MATCH(SF_Data!K20, SF_Data!J:J, 0)), SF_Data!G20))</f>
        <v/>
      </c>
      <c r="D20" t="str">
        <f>IF(A20="","",IF(B20="MAX",IF(E20=0,INDEX(SF_Data!L:L,MATCH(SF_Data!K20,SF_Data!J:J,0)),INDEX(SF_Data!E:E,MATCH(SF_Data!K20,SF_Data!J:J,0))),IF(E20=0,SF_Data!L20,SF_Data!E20)))</f>
        <v/>
      </c>
      <c r="E20" t="str">
        <f>IF(A20="", "", IF(B20="MAX", INDEX(SF_Data!F:F, MATCH(SF_Data!K20, SF_Data!J:J, 0)), SF_Data!F20))</f>
        <v/>
      </c>
      <c r="F20" t="str">
        <f>IF(A20="", "", IF(B20="MAX", INDEX(SF_Data!D:D, MATCH(SF_Data!K20, SF_Data!J:J, 0)), SF_Data!D20))</f>
        <v/>
      </c>
      <c r="G20" t="str">
        <f>IF(A20="","",SF_Data!C20)</f>
        <v/>
      </c>
      <c r="H20" t="str">
        <f>IF(A20="","",SF_Data!M20)</f>
        <v/>
      </c>
      <c r="I20" t="str">
        <f t="shared" si="0"/>
        <v/>
      </c>
      <c r="J20" t="str">
        <f>IF(A20="", "", IF(COUNTIF($I$2:I20, I20)=1, "Unique", IF(AND(COUNTIF($I$2:I20, I20)&gt;1, B20="MAX"), "Duplicate", "Unique")))</f>
        <v/>
      </c>
      <c r="K20" t="str">
        <f t="shared" si="1"/>
        <v/>
      </c>
    </row>
    <row r="21" spans="1:11" x14ac:dyDescent="0.75">
      <c r="A21" t="str">
        <f>IF(SF_Data!A21="","",SF_Data!A21)</f>
        <v/>
      </c>
      <c r="B21" t="str">
        <f>IF(A21="","",SF_Data!H21)</f>
        <v/>
      </c>
      <c r="C21" t="str">
        <f>IF(A21="", "", IF(B21="MAX", INDEX(SF_Data!G:G, MATCH(SF_Data!K21, SF_Data!J:J, 0)), SF_Data!G21))</f>
        <v/>
      </c>
      <c r="D21" t="str">
        <f>IF(A21="","",IF(B21="MAX",IF(E21=0,INDEX(SF_Data!L:L,MATCH(SF_Data!K21,SF_Data!J:J,0)),INDEX(SF_Data!E:E,MATCH(SF_Data!K21,SF_Data!J:J,0))),IF(E21=0,SF_Data!L21,SF_Data!E21)))</f>
        <v/>
      </c>
      <c r="E21" t="str">
        <f>IF(A21="", "", IF(B21="MAX", INDEX(SF_Data!F:F, MATCH(SF_Data!K21, SF_Data!J:J, 0)), SF_Data!F21))</f>
        <v/>
      </c>
      <c r="F21" t="str">
        <f>IF(A21="", "", IF(B21="MAX", INDEX(SF_Data!D:D, MATCH(SF_Data!K21, SF_Data!J:J, 0)), SF_Data!D21))</f>
        <v/>
      </c>
      <c r="G21" t="str">
        <f>IF(A21="","",SF_Data!C21)</f>
        <v/>
      </c>
      <c r="H21" t="str">
        <f>IF(A21="","",SF_Data!M21)</f>
        <v/>
      </c>
      <c r="I21" t="str">
        <f t="shared" si="0"/>
        <v/>
      </c>
      <c r="J21" t="str">
        <f>IF(A21="", "", IF(COUNTIF($I$2:I21, I21)=1, "Unique", IF(AND(COUNTIF($I$2:I21, I21)&gt;1, B21="MAX"), "Duplicate", "Unique")))</f>
        <v/>
      </c>
      <c r="K21" t="str">
        <f t="shared" si="1"/>
        <v/>
      </c>
    </row>
    <row r="22" spans="1:11" x14ac:dyDescent="0.75">
      <c r="A22" t="str">
        <f>IF(SF_Data!A22="","",SF_Data!A22)</f>
        <v/>
      </c>
      <c r="B22" t="str">
        <f>IF(A22="","",SF_Data!H22)</f>
        <v/>
      </c>
      <c r="C22" t="str">
        <f>IF(A22="", "", IF(B22="MAX", INDEX(SF_Data!G:G, MATCH(SF_Data!K22, SF_Data!J:J, 0)), SF_Data!G22))</f>
        <v/>
      </c>
      <c r="D22" t="str">
        <f>IF(A22="","",IF(B22="MAX",IF(E22=0,INDEX(SF_Data!L:L,MATCH(SF_Data!K22,SF_Data!J:J,0)),INDEX(SF_Data!E:E,MATCH(SF_Data!K22,SF_Data!J:J,0))),IF(E22=0,SF_Data!L22,SF_Data!E22)))</f>
        <v/>
      </c>
      <c r="E22" t="str">
        <f>IF(A22="", "", IF(B22="MAX", INDEX(SF_Data!F:F, MATCH(SF_Data!K22, SF_Data!J:J, 0)), SF_Data!F22))</f>
        <v/>
      </c>
      <c r="F22" t="str">
        <f>IF(A22="", "", IF(B22="MAX", INDEX(SF_Data!D:D, MATCH(SF_Data!K22, SF_Data!J:J, 0)), SF_Data!D22))</f>
        <v/>
      </c>
      <c r="G22" t="str">
        <f>IF(A22="","",SF_Data!C22)</f>
        <v/>
      </c>
      <c r="H22" t="str">
        <f>IF(A22="","",SF_Data!M22)</f>
        <v/>
      </c>
      <c r="I22" t="str">
        <f t="shared" si="0"/>
        <v/>
      </c>
      <c r="J22" t="str">
        <f>IF(A22="", "", IF(COUNTIF($I$2:I22, I22)=1, "Unique", IF(AND(COUNTIF($I$2:I22, I22)&gt;1, B22="MAX"), "Duplicate", "Unique")))</f>
        <v/>
      </c>
      <c r="K22" t="str">
        <f t="shared" si="1"/>
        <v/>
      </c>
    </row>
    <row r="23" spans="1:11" x14ac:dyDescent="0.75">
      <c r="A23" t="str">
        <f>IF(SF_Data!A23="","",SF_Data!A23)</f>
        <v/>
      </c>
      <c r="B23" t="str">
        <f>IF(A23="","",SF_Data!H23)</f>
        <v/>
      </c>
      <c r="C23" t="str">
        <f>IF(A23="", "", IF(B23="MAX", INDEX(SF_Data!G:G, MATCH(SF_Data!K23, SF_Data!J:J, 0)), SF_Data!G23))</f>
        <v/>
      </c>
      <c r="D23" t="str">
        <f>IF(A23="","",IF(B23="MAX",IF(E23=0,INDEX(SF_Data!L:L,MATCH(SF_Data!K23,SF_Data!J:J,0)),INDEX(SF_Data!E:E,MATCH(SF_Data!K23,SF_Data!J:J,0))),IF(E23=0,SF_Data!L23,SF_Data!E23)))</f>
        <v/>
      </c>
      <c r="E23" t="str">
        <f>IF(A23="", "", IF(B23="MAX", INDEX(SF_Data!F:F, MATCH(SF_Data!K23, SF_Data!J:J, 0)), SF_Data!F23))</f>
        <v/>
      </c>
      <c r="F23" t="str">
        <f>IF(A23="", "", IF(B23="MAX", INDEX(SF_Data!D:D, MATCH(SF_Data!K23, SF_Data!J:J, 0)), SF_Data!D23))</f>
        <v/>
      </c>
      <c r="G23" t="str">
        <f>IF(A23="","",SF_Data!C23)</f>
        <v/>
      </c>
      <c r="H23" t="str">
        <f>IF(A23="","",SF_Data!M23)</f>
        <v/>
      </c>
      <c r="I23" t="str">
        <f t="shared" si="0"/>
        <v/>
      </c>
      <c r="J23" t="str">
        <f>IF(A23="", "", IF(COUNTIF($I$2:I23, I23)=1, "Unique", IF(AND(COUNTIF($I$2:I23, I23)&gt;1, B23="MAX"), "Duplicate", "Unique")))</f>
        <v/>
      </c>
      <c r="K23" t="str">
        <f t="shared" si="1"/>
        <v/>
      </c>
    </row>
    <row r="24" spans="1:11" x14ac:dyDescent="0.75">
      <c r="A24" t="str">
        <f>IF(SF_Data!A24="","",SF_Data!A24)</f>
        <v/>
      </c>
      <c r="B24" t="str">
        <f>IF(A24="","",SF_Data!H24)</f>
        <v/>
      </c>
      <c r="C24" t="str">
        <f>IF(A24="", "", IF(B24="MAX", INDEX(SF_Data!G:G, MATCH(SF_Data!K24, SF_Data!J:J, 0)), SF_Data!G24))</f>
        <v/>
      </c>
      <c r="D24" t="str">
        <f>IF(A24="","",IF(B24="MAX",IF(E24=0,INDEX(SF_Data!L:L,MATCH(SF_Data!K24,SF_Data!J:J,0)),INDEX(SF_Data!E:E,MATCH(SF_Data!K24,SF_Data!J:J,0))),IF(E24=0,SF_Data!L24,SF_Data!E24)))</f>
        <v/>
      </c>
      <c r="E24" t="str">
        <f>IF(A24="", "", IF(B24="MAX", INDEX(SF_Data!F:F, MATCH(SF_Data!K24, SF_Data!J:J, 0)), SF_Data!F24))</f>
        <v/>
      </c>
      <c r="F24" t="str">
        <f>IF(A24="", "", IF(B24="MAX", INDEX(SF_Data!D:D, MATCH(SF_Data!K24, SF_Data!J:J, 0)), SF_Data!D24))</f>
        <v/>
      </c>
      <c r="G24" t="str">
        <f>IF(A24="","",SF_Data!C24)</f>
        <v/>
      </c>
      <c r="H24" t="str">
        <f>IF(A24="","",SF_Data!M24)</f>
        <v/>
      </c>
      <c r="I24" t="str">
        <f t="shared" si="0"/>
        <v/>
      </c>
      <c r="J24" t="str">
        <f>IF(A24="", "", IF(COUNTIF($I$2:I24, I24)=1, "Unique", IF(AND(COUNTIF($I$2:I24, I24)&gt;1, B24="MAX"), "Duplicate", "Unique")))</f>
        <v/>
      </c>
      <c r="K24" t="str">
        <f t="shared" si="1"/>
        <v/>
      </c>
    </row>
    <row r="25" spans="1:11" x14ac:dyDescent="0.75">
      <c r="A25" t="str">
        <f>IF(SF_Data!A25="","",SF_Data!A25)</f>
        <v/>
      </c>
      <c r="B25" t="str">
        <f>IF(A25="","",SF_Data!H25)</f>
        <v/>
      </c>
      <c r="C25" t="str">
        <f>IF(A25="", "", IF(B25="MAX", INDEX(SF_Data!G:G, MATCH(SF_Data!K25, SF_Data!J:J, 0)), SF_Data!G25))</f>
        <v/>
      </c>
      <c r="D25" t="str">
        <f>IF(A25="","",IF(B25="MAX",IF(E25=0,INDEX(SF_Data!L:L,MATCH(SF_Data!K25,SF_Data!J:J,0)),INDEX(SF_Data!E:E,MATCH(SF_Data!K25,SF_Data!J:J,0))),IF(E25=0,SF_Data!L25,SF_Data!E25)))</f>
        <v/>
      </c>
      <c r="E25" t="str">
        <f>IF(A25="", "", IF(B25="MAX", INDEX(SF_Data!F:F, MATCH(SF_Data!K25, SF_Data!J:J, 0)), SF_Data!F25))</f>
        <v/>
      </c>
      <c r="F25" t="str">
        <f>IF(A25="", "", IF(B25="MAX", INDEX(SF_Data!D:D, MATCH(SF_Data!K25, SF_Data!J:J, 0)), SF_Data!D25))</f>
        <v/>
      </c>
      <c r="G25" t="str">
        <f>IF(A25="","",SF_Data!C25)</f>
        <v/>
      </c>
      <c r="H25" t="str">
        <f>IF(A25="","",SF_Data!M25)</f>
        <v/>
      </c>
      <c r="I25" t="str">
        <f t="shared" si="0"/>
        <v/>
      </c>
      <c r="J25" t="str">
        <f>IF(A25="", "", IF(COUNTIF($I$2:I25, I25)=1, "Unique", IF(AND(COUNTIF($I$2:I25, I25)&gt;1, B25="MAX"), "Duplicate", "Unique")))</f>
        <v/>
      </c>
      <c r="K25" t="str">
        <f t="shared" si="1"/>
        <v/>
      </c>
    </row>
    <row r="26" spans="1:11" x14ac:dyDescent="0.75">
      <c r="A26" t="str">
        <f>IF(SF_Data!A26="","",SF_Data!A26)</f>
        <v/>
      </c>
      <c r="B26" t="str">
        <f>IF(A26="","",SF_Data!H26)</f>
        <v/>
      </c>
      <c r="C26" t="str">
        <f>IF(A26="", "", IF(B26="MAX", INDEX(SF_Data!G:G, MATCH(SF_Data!K26, SF_Data!J:J, 0)), SF_Data!G26))</f>
        <v/>
      </c>
      <c r="D26" t="str">
        <f>IF(A26="","",IF(B26="MAX",IF(E26=0,INDEX(SF_Data!L:L,MATCH(SF_Data!K26,SF_Data!J:J,0)),INDEX(SF_Data!E:E,MATCH(SF_Data!K26,SF_Data!J:J,0))),IF(E26=0,SF_Data!L26,SF_Data!E26)))</f>
        <v/>
      </c>
      <c r="E26" t="str">
        <f>IF(A26="", "", IF(B26="MAX", INDEX(SF_Data!F:F, MATCH(SF_Data!K26, SF_Data!J:J, 0)), SF_Data!F26))</f>
        <v/>
      </c>
      <c r="F26" t="str">
        <f>IF(A26="", "", IF(B26="MAX", INDEX(SF_Data!D:D, MATCH(SF_Data!K26, SF_Data!J:J, 0)), SF_Data!D26))</f>
        <v/>
      </c>
      <c r="G26" t="str">
        <f>IF(A26="","",SF_Data!C26)</f>
        <v/>
      </c>
      <c r="H26" t="str">
        <f>IF(A26="","",SF_Data!M26)</f>
        <v/>
      </c>
      <c r="I26" t="str">
        <f t="shared" si="0"/>
        <v/>
      </c>
      <c r="J26" t="str">
        <f>IF(A26="", "", IF(COUNTIF($I$2:I26, I26)=1, "Unique", IF(AND(COUNTIF($I$2:I26, I26)&gt;1, B26="MAX"), "Duplicate", "Unique")))</f>
        <v/>
      </c>
      <c r="K26" t="str">
        <f t="shared" si="1"/>
        <v/>
      </c>
    </row>
    <row r="27" spans="1:11" x14ac:dyDescent="0.75">
      <c r="A27" t="str">
        <f>IF(SF_Data!A27="","",SF_Data!A27)</f>
        <v/>
      </c>
      <c r="B27" t="str">
        <f>IF(A27="","",SF_Data!H27)</f>
        <v/>
      </c>
      <c r="C27" t="str">
        <f>IF(A27="", "", IF(B27="MAX", INDEX(SF_Data!G:G, MATCH(SF_Data!K27, SF_Data!J:J, 0)), SF_Data!G27))</f>
        <v/>
      </c>
      <c r="D27" t="str">
        <f>IF(A27="","",IF(B27="MAX",IF(E27=0,INDEX(SF_Data!L:L,MATCH(SF_Data!K27,SF_Data!J:J,0)),INDEX(SF_Data!E:E,MATCH(SF_Data!K27,SF_Data!J:J,0))),IF(E27=0,SF_Data!L27,SF_Data!E27)))</f>
        <v/>
      </c>
      <c r="E27" t="str">
        <f>IF(A27="", "", IF(B27="MAX", INDEX(SF_Data!F:F, MATCH(SF_Data!K27, SF_Data!J:J, 0)), SF_Data!F27))</f>
        <v/>
      </c>
      <c r="F27" t="str">
        <f>IF(A27="", "", IF(B27="MAX", INDEX(SF_Data!D:D, MATCH(SF_Data!K27, SF_Data!J:J, 0)), SF_Data!D27))</f>
        <v/>
      </c>
      <c r="G27" t="str">
        <f>IF(A27="","",SF_Data!C27)</f>
        <v/>
      </c>
      <c r="H27" t="str">
        <f>IF(A27="","",SF_Data!M27)</f>
        <v/>
      </c>
      <c r="I27" t="str">
        <f t="shared" si="0"/>
        <v/>
      </c>
      <c r="J27" t="str">
        <f>IF(A27="", "", IF(COUNTIF($I$2:I27, I27)=1, "Unique", IF(AND(COUNTIF($I$2:I27, I27)&gt;1, B27="MAX"), "Duplicate", "Unique")))</f>
        <v/>
      </c>
      <c r="K27" t="str">
        <f t="shared" si="1"/>
        <v/>
      </c>
    </row>
    <row r="28" spans="1:11" x14ac:dyDescent="0.75">
      <c r="A28" t="str">
        <f>IF(SF_Data!A28="","",SF_Data!A28)</f>
        <v/>
      </c>
      <c r="B28" t="str">
        <f>IF(A28="","",SF_Data!H28)</f>
        <v/>
      </c>
      <c r="C28" t="str">
        <f>IF(A28="", "", IF(B28="MAX", INDEX(SF_Data!G:G, MATCH(SF_Data!K28, SF_Data!J:J, 0)), SF_Data!G28))</f>
        <v/>
      </c>
      <c r="D28" t="str">
        <f>IF(A28="","",IF(B28="MAX",IF(E28=0,INDEX(SF_Data!L:L,MATCH(SF_Data!K28,SF_Data!J:J,0)),INDEX(SF_Data!E:E,MATCH(SF_Data!K28,SF_Data!J:J,0))),IF(E28=0,SF_Data!L28,SF_Data!E28)))</f>
        <v/>
      </c>
      <c r="E28" t="str">
        <f>IF(A28="", "", IF(B28="MAX", INDEX(SF_Data!F:F, MATCH(SF_Data!K28, SF_Data!J:J, 0)), SF_Data!F28))</f>
        <v/>
      </c>
      <c r="F28" t="str">
        <f>IF(A28="", "", IF(B28="MAX", INDEX(SF_Data!D:D, MATCH(SF_Data!K28, SF_Data!J:J, 0)), SF_Data!D28))</f>
        <v/>
      </c>
      <c r="G28" t="str">
        <f>IF(A28="","",SF_Data!C28)</f>
        <v/>
      </c>
      <c r="H28" t="str">
        <f>IF(A28="","",SF_Data!M28)</f>
        <v/>
      </c>
      <c r="I28" t="str">
        <f t="shared" si="0"/>
        <v/>
      </c>
      <c r="J28" t="str">
        <f>IF(A28="", "", IF(COUNTIF($I$2:I28, I28)=1, "Unique", IF(AND(COUNTIF($I$2:I28, I28)&gt;1, B28="MAX"), "Duplicate", "Unique")))</f>
        <v/>
      </c>
      <c r="K28" t="str">
        <f t="shared" si="1"/>
        <v/>
      </c>
    </row>
    <row r="29" spans="1:11" x14ac:dyDescent="0.75">
      <c r="A29" t="str">
        <f>IF(SF_Data!A29="","",SF_Data!A29)</f>
        <v/>
      </c>
      <c r="B29" t="str">
        <f>IF(A29="","",SF_Data!H29)</f>
        <v/>
      </c>
      <c r="C29" t="str">
        <f>IF(A29="", "", IF(B29="MAX", INDEX(SF_Data!G:G, MATCH(SF_Data!K29, SF_Data!J:J, 0)), SF_Data!G29))</f>
        <v/>
      </c>
      <c r="D29" t="str">
        <f>IF(A29="","",IF(B29="MAX",IF(E29=0,INDEX(SF_Data!L:L,MATCH(SF_Data!K29,SF_Data!J:J,0)),INDEX(SF_Data!E:E,MATCH(SF_Data!K29,SF_Data!J:J,0))),IF(E29=0,SF_Data!L29,SF_Data!E29)))</f>
        <v/>
      </c>
      <c r="E29" t="str">
        <f>IF(A29="", "", IF(B29="MAX", INDEX(SF_Data!F:F, MATCH(SF_Data!K29, SF_Data!J:J, 0)), SF_Data!F29))</f>
        <v/>
      </c>
      <c r="F29" t="str">
        <f>IF(A29="", "", IF(B29="MAX", INDEX(SF_Data!D:D, MATCH(SF_Data!K29, SF_Data!J:J, 0)), SF_Data!D29))</f>
        <v/>
      </c>
      <c r="G29" t="str">
        <f>IF(A29="","",SF_Data!C29)</f>
        <v/>
      </c>
      <c r="H29" t="str">
        <f>IF(A29="","",SF_Data!M29)</f>
        <v/>
      </c>
      <c r="I29" t="str">
        <f t="shared" si="0"/>
        <v/>
      </c>
      <c r="J29" t="str">
        <f>IF(A29="", "", IF(COUNTIF($I$2:I29, I29)=1, "Unique", IF(AND(COUNTIF($I$2:I29, I29)&gt;1, B29="MAX"), "Duplicate", "Unique")))</f>
        <v/>
      </c>
      <c r="K29" t="str">
        <f t="shared" si="1"/>
        <v/>
      </c>
    </row>
    <row r="30" spans="1:11" x14ac:dyDescent="0.75">
      <c r="A30" t="str">
        <f>IF(SF_Data!A30="","",SF_Data!A30)</f>
        <v/>
      </c>
      <c r="B30" t="str">
        <f>IF(A30="","",SF_Data!H30)</f>
        <v/>
      </c>
      <c r="C30" t="str">
        <f>IF(A30="", "", IF(B30="MAX", INDEX(SF_Data!G:G, MATCH(SF_Data!K30, SF_Data!J:J, 0)), SF_Data!G30))</f>
        <v/>
      </c>
      <c r="D30" t="str">
        <f>IF(A30="","",IF(B30="MAX",IF(E30=0,INDEX(SF_Data!L:L,MATCH(SF_Data!K30,SF_Data!J:J,0)),INDEX(SF_Data!E:E,MATCH(SF_Data!K30,SF_Data!J:J,0))),IF(E30=0,SF_Data!L30,SF_Data!E30)))</f>
        <v/>
      </c>
      <c r="E30" t="str">
        <f>IF(A30="", "", IF(B30="MAX", INDEX(SF_Data!F:F, MATCH(SF_Data!K30, SF_Data!J:J, 0)), SF_Data!F30))</f>
        <v/>
      </c>
      <c r="F30" t="str">
        <f>IF(A30="", "", IF(B30="MAX", INDEX(SF_Data!D:D, MATCH(SF_Data!K30, SF_Data!J:J, 0)), SF_Data!D30))</f>
        <v/>
      </c>
      <c r="G30" t="str">
        <f>IF(A30="","",SF_Data!C30)</f>
        <v/>
      </c>
      <c r="H30" t="str">
        <f>IF(A30="","",SF_Data!M30)</f>
        <v/>
      </c>
      <c r="I30" t="str">
        <f t="shared" si="0"/>
        <v/>
      </c>
      <c r="J30" t="str">
        <f>IF(A30="", "", IF(COUNTIF($I$2:I30, I30)=1, "Unique", IF(AND(COUNTIF($I$2:I30, I30)&gt;1, B30="MAX"), "Duplicate", "Unique")))</f>
        <v/>
      </c>
      <c r="K30" t="str">
        <f t="shared" si="1"/>
        <v/>
      </c>
    </row>
    <row r="31" spans="1:11" x14ac:dyDescent="0.75">
      <c r="A31" t="str">
        <f>IF(SF_Data!A31="","",SF_Data!A31)</f>
        <v/>
      </c>
      <c r="B31" t="str">
        <f>IF(A31="","",SF_Data!H31)</f>
        <v/>
      </c>
      <c r="C31" t="str">
        <f>IF(A31="", "", IF(B31="MAX", INDEX(SF_Data!G:G, MATCH(SF_Data!K31, SF_Data!J:J, 0)), SF_Data!G31))</f>
        <v/>
      </c>
      <c r="D31" t="str">
        <f>IF(A31="","",IF(B31="MAX",IF(E31=0,INDEX(SF_Data!L:L,MATCH(SF_Data!K31,SF_Data!J:J,0)),INDEX(SF_Data!E:E,MATCH(SF_Data!K31,SF_Data!J:J,0))),IF(E31=0,SF_Data!L31,SF_Data!E31)))</f>
        <v/>
      </c>
      <c r="E31" t="str">
        <f>IF(A31="", "", IF(B31="MAX", INDEX(SF_Data!F:F, MATCH(SF_Data!K31, SF_Data!J:J, 0)), SF_Data!F31))</f>
        <v/>
      </c>
      <c r="F31" t="str">
        <f>IF(A31="", "", IF(B31="MAX", INDEX(SF_Data!D:D, MATCH(SF_Data!K31, SF_Data!J:J, 0)), SF_Data!D31))</f>
        <v/>
      </c>
      <c r="G31" t="str">
        <f>IF(A31="","",SF_Data!C31)</f>
        <v/>
      </c>
      <c r="H31" t="str">
        <f>IF(A31="","",SF_Data!M31)</f>
        <v/>
      </c>
      <c r="I31" t="str">
        <f t="shared" si="0"/>
        <v/>
      </c>
      <c r="J31" t="str">
        <f>IF(A31="", "", IF(COUNTIF($I$2:I31, I31)=1, "Unique", IF(AND(COUNTIF($I$2:I31, I31)&gt;1, B31="MAX"), "Duplicate", "Unique")))</f>
        <v/>
      </c>
      <c r="K31" t="str">
        <f t="shared" si="1"/>
        <v/>
      </c>
    </row>
    <row r="32" spans="1:11" x14ac:dyDescent="0.75">
      <c r="A32" t="str">
        <f>IF(SF_Data!A32="","",SF_Data!A32)</f>
        <v/>
      </c>
      <c r="B32" t="str">
        <f>IF(A32="","",SF_Data!H32)</f>
        <v/>
      </c>
      <c r="C32" t="str">
        <f>IF(A32="", "", IF(B32="MAX", INDEX(SF_Data!G:G, MATCH(SF_Data!K32, SF_Data!J:J, 0)), SF_Data!G32))</f>
        <v/>
      </c>
      <c r="D32" t="str">
        <f>IF(A32="","",IF(B32="MAX",IF(E32=0,INDEX(SF_Data!L:L,MATCH(SF_Data!K32,SF_Data!J:J,0)),INDEX(SF_Data!E:E,MATCH(SF_Data!K32,SF_Data!J:J,0))),IF(E32=0,SF_Data!L32,SF_Data!E32)))</f>
        <v/>
      </c>
      <c r="E32" t="str">
        <f>IF(A32="", "", IF(B32="MAX", INDEX(SF_Data!F:F, MATCH(SF_Data!K32, SF_Data!J:J, 0)), SF_Data!F32))</f>
        <v/>
      </c>
      <c r="F32" t="str">
        <f>IF(A32="", "", IF(B32="MAX", INDEX(SF_Data!D:D, MATCH(SF_Data!K32, SF_Data!J:J, 0)), SF_Data!D32))</f>
        <v/>
      </c>
      <c r="G32" t="str">
        <f>IF(A32="","",SF_Data!C32)</f>
        <v/>
      </c>
      <c r="H32" t="str">
        <f>IF(A32="","",SF_Data!M32)</f>
        <v/>
      </c>
      <c r="I32" t="str">
        <f t="shared" si="0"/>
        <v/>
      </c>
      <c r="J32" t="str">
        <f>IF(A32="", "", IF(COUNTIF($I$2:I32, I32)=1, "Unique", IF(AND(COUNTIF($I$2:I32, I32)&gt;1, B32="MAX"), "Duplicate", "Unique")))</f>
        <v/>
      </c>
      <c r="K32" t="str">
        <f t="shared" si="1"/>
        <v/>
      </c>
    </row>
    <row r="33" spans="1:11" x14ac:dyDescent="0.75">
      <c r="A33" t="str">
        <f>IF(SF_Data!A33="","",SF_Data!A33)</f>
        <v/>
      </c>
      <c r="B33" t="str">
        <f>IF(A33="","",SF_Data!H33)</f>
        <v/>
      </c>
      <c r="C33" t="str">
        <f>IF(A33="", "", IF(B33="MAX", INDEX(SF_Data!G:G, MATCH(SF_Data!K33, SF_Data!J:J, 0)), SF_Data!G33))</f>
        <v/>
      </c>
      <c r="D33" t="str">
        <f>IF(A33="","",IF(B33="MAX",IF(E33=0,INDEX(SF_Data!L:L,MATCH(SF_Data!K33,SF_Data!J:J,0)),INDEX(SF_Data!E:E,MATCH(SF_Data!K33,SF_Data!J:J,0))),IF(E33=0,SF_Data!L33,SF_Data!E33)))</f>
        <v/>
      </c>
      <c r="E33" t="str">
        <f>IF(A33="", "", IF(B33="MAX", INDEX(SF_Data!F:F, MATCH(SF_Data!K33, SF_Data!J:J, 0)), SF_Data!F33))</f>
        <v/>
      </c>
      <c r="F33" t="str">
        <f>IF(A33="", "", IF(B33="MAX", INDEX(SF_Data!D:D, MATCH(SF_Data!K33, SF_Data!J:J, 0)), SF_Data!D33))</f>
        <v/>
      </c>
      <c r="G33" t="str">
        <f>IF(A33="","",SF_Data!C33)</f>
        <v/>
      </c>
      <c r="H33" t="str">
        <f>IF(A33="","",SF_Data!M33)</f>
        <v/>
      </c>
      <c r="I33" t="str">
        <f t="shared" si="0"/>
        <v/>
      </c>
      <c r="J33" t="str">
        <f>IF(A33="", "", IF(COUNTIF($I$2:I33, I33)=1, "Unique", IF(AND(COUNTIF($I$2:I33, I33)&gt;1, B33="MAX"), "Duplicate", "Unique")))</f>
        <v/>
      </c>
      <c r="K33" t="str">
        <f t="shared" si="1"/>
        <v/>
      </c>
    </row>
    <row r="34" spans="1:11" x14ac:dyDescent="0.75">
      <c r="A34" t="str">
        <f>IF(SF_Data!A34="","",SF_Data!A34)</f>
        <v/>
      </c>
      <c r="B34" t="str">
        <f>IF(A34="","",SF_Data!H34)</f>
        <v/>
      </c>
      <c r="C34" t="str">
        <f>IF(A34="", "", IF(B34="MAX", INDEX(SF_Data!G:G, MATCH(SF_Data!K34, SF_Data!J:J, 0)), SF_Data!G34))</f>
        <v/>
      </c>
      <c r="D34" t="str">
        <f>IF(A34="","",IF(B34="MAX",IF(E34=0,INDEX(SF_Data!L:L,MATCH(SF_Data!K34,SF_Data!J:J,0)),INDEX(SF_Data!E:E,MATCH(SF_Data!K34,SF_Data!J:J,0))),IF(E34=0,SF_Data!L34,SF_Data!E34)))</f>
        <v/>
      </c>
      <c r="E34" t="str">
        <f>IF(A34="", "", IF(B34="MAX", INDEX(SF_Data!F:F, MATCH(SF_Data!K34, SF_Data!J:J, 0)), SF_Data!F34))</f>
        <v/>
      </c>
      <c r="F34" t="str">
        <f>IF(A34="", "", IF(B34="MAX", INDEX(SF_Data!D:D, MATCH(SF_Data!K34, SF_Data!J:J, 0)), SF_Data!D34))</f>
        <v/>
      </c>
      <c r="G34" t="str">
        <f>IF(A34="","",SF_Data!C34)</f>
        <v/>
      </c>
      <c r="H34" t="str">
        <f>IF(A34="","",SF_Data!M34)</f>
        <v/>
      </c>
      <c r="I34" t="str">
        <f t="shared" si="0"/>
        <v/>
      </c>
      <c r="J34" t="str">
        <f>IF(A34="", "", IF(COUNTIF($I$2:I34, I34)=1, "Unique", IF(AND(COUNTIF($I$2:I34, I34)&gt;1, B34="MAX"), "Duplicate", "Unique")))</f>
        <v/>
      </c>
      <c r="K34" t="str">
        <f t="shared" si="1"/>
        <v/>
      </c>
    </row>
    <row r="35" spans="1:11" x14ac:dyDescent="0.75">
      <c r="A35" t="str">
        <f>IF(SF_Data!A35="","",SF_Data!A35)</f>
        <v/>
      </c>
      <c r="B35" t="str">
        <f>IF(A35="","",SF_Data!H35)</f>
        <v/>
      </c>
      <c r="C35" t="str">
        <f>IF(A35="", "", IF(B35="MAX", INDEX(SF_Data!G:G, MATCH(SF_Data!K35, SF_Data!J:J, 0)), SF_Data!G35))</f>
        <v/>
      </c>
      <c r="D35" t="str">
        <f>IF(A35="","",IF(B35="MAX",IF(E35=0,INDEX(SF_Data!L:L,MATCH(SF_Data!K35,SF_Data!J:J,0)),INDEX(SF_Data!E:E,MATCH(SF_Data!K35,SF_Data!J:J,0))),IF(E35=0,SF_Data!L35,SF_Data!E35)))</f>
        <v/>
      </c>
      <c r="E35" t="str">
        <f>IF(A35="", "", IF(B35="MAX", INDEX(SF_Data!F:F, MATCH(SF_Data!K35, SF_Data!J:J, 0)), SF_Data!F35))</f>
        <v/>
      </c>
      <c r="F35" t="str">
        <f>IF(A35="", "", IF(B35="MAX", INDEX(SF_Data!D:D, MATCH(SF_Data!K35, SF_Data!J:J, 0)), SF_Data!D35))</f>
        <v/>
      </c>
      <c r="G35" t="str">
        <f>IF(A35="","",SF_Data!C35)</f>
        <v/>
      </c>
      <c r="H35" t="str">
        <f>IF(A35="","",SF_Data!M35)</f>
        <v/>
      </c>
      <c r="I35" t="str">
        <f t="shared" si="0"/>
        <v/>
      </c>
      <c r="J35" t="str">
        <f>IF(A35="", "", IF(COUNTIF($I$2:I35, I35)=1, "Unique", IF(AND(COUNTIF($I$2:I35, I35)&gt;1, B35="MAX"), "Duplicate", "Unique")))</f>
        <v/>
      </c>
      <c r="K35" t="str">
        <f t="shared" si="1"/>
        <v/>
      </c>
    </row>
    <row r="36" spans="1:11" x14ac:dyDescent="0.75">
      <c r="A36" t="str">
        <f>IF(SF_Data!A36="","",SF_Data!A36)</f>
        <v/>
      </c>
      <c r="B36" t="str">
        <f>IF(A36="","",SF_Data!H36)</f>
        <v/>
      </c>
      <c r="C36" t="str">
        <f>IF(A36="", "", IF(B36="MAX", INDEX(SF_Data!G:G, MATCH(SF_Data!K36, SF_Data!J:J, 0)), SF_Data!G36))</f>
        <v/>
      </c>
      <c r="D36" t="str">
        <f>IF(A36="","",IF(B36="MAX",IF(E36=0,INDEX(SF_Data!L:L,MATCH(SF_Data!K36,SF_Data!J:J,0)),INDEX(SF_Data!E:E,MATCH(SF_Data!K36,SF_Data!J:J,0))),IF(E36=0,SF_Data!L36,SF_Data!E36)))</f>
        <v/>
      </c>
      <c r="E36" t="str">
        <f>IF(A36="", "", IF(B36="MAX", INDEX(SF_Data!F:F, MATCH(SF_Data!K36, SF_Data!J:J, 0)), SF_Data!F36))</f>
        <v/>
      </c>
      <c r="F36" t="str">
        <f>IF(A36="", "", IF(B36="MAX", INDEX(SF_Data!D:D, MATCH(SF_Data!K36, SF_Data!J:J, 0)), SF_Data!D36))</f>
        <v/>
      </c>
      <c r="G36" t="str">
        <f>IF(A36="","",SF_Data!C36)</f>
        <v/>
      </c>
      <c r="H36" t="str">
        <f>IF(A36="","",SF_Data!M36)</f>
        <v/>
      </c>
      <c r="I36" t="str">
        <f t="shared" si="0"/>
        <v/>
      </c>
      <c r="J36" t="str">
        <f>IF(A36="", "", IF(COUNTIF($I$2:I36, I36)=1, "Unique", IF(AND(COUNTIF($I$2:I36, I36)&gt;1, B36="MAX"), "Duplicate", "Unique")))</f>
        <v/>
      </c>
      <c r="K36" t="str">
        <f t="shared" si="1"/>
        <v/>
      </c>
    </row>
    <row r="37" spans="1:11" x14ac:dyDescent="0.75">
      <c r="A37" t="str">
        <f>IF(SF_Data!A37="","",SF_Data!A37)</f>
        <v/>
      </c>
      <c r="B37" t="str">
        <f>IF(A37="","",SF_Data!H37)</f>
        <v/>
      </c>
      <c r="C37" t="str">
        <f>IF(A37="", "", IF(B37="MAX", INDEX(SF_Data!G:G, MATCH(SF_Data!K37, SF_Data!J:J, 0)), SF_Data!G37))</f>
        <v/>
      </c>
      <c r="D37" t="str">
        <f>IF(A37="","",IF(B37="MAX",IF(E37=0,INDEX(SF_Data!L:L,MATCH(SF_Data!K37,SF_Data!J:J,0)),INDEX(SF_Data!E:E,MATCH(SF_Data!K37,SF_Data!J:J,0))),IF(E37=0,SF_Data!L37,SF_Data!E37)))</f>
        <v/>
      </c>
      <c r="E37" t="str">
        <f>IF(A37="", "", IF(B37="MAX", INDEX(SF_Data!F:F, MATCH(SF_Data!K37, SF_Data!J:J, 0)), SF_Data!F37))</f>
        <v/>
      </c>
      <c r="F37" t="str">
        <f>IF(A37="", "", IF(B37="MAX", INDEX(SF_Data!D:D, MATCH(SF_Data!K37, SF_Data!J:J, 0)), SF_Data!D37))</f>
        <v/>
      </c>
      <c r="G37" t="str">
        <f>IF(A37="","",SF_Data!C37)</f>
        <v/>
      </c>
      <c r="H37" t="str">
        <f>IF(A37="","",SF_Data!M37)</f>
        <v/>
      </c>
      <c r="I37" t="str">
        <f t="shared" si="0"/>
        <v/>
      </c>
      <c r="J37" t="str">
        <f>IF(A37="", "", IF(COUNTIF($I$2:I37, I37)=1, "Unique", IF(AND(COUNTIF($I$2:I37, I37)&gt;1, B37="MAX"), "Duplicate", "Unique")))</f>
        <v/>
      </c>
      <c r="K37" t="str">
        <f t="shared" si="1"/>
        <v/>
      </c>
    </row>
    <row r="38" spans="1:11" x14ac:dyDescent="0.75">
      <c r="A38" t="str">
        <f>IF(SF_Data!A38="","",SF_Data!A38)</f>
        <v/>
      </c>
      <c r="B38" t="str">
        <f>IF(A38="","",SF_Data!H38)</f>
        <v/>
      </c>
      <c r="C38" t="str">
        <f>IF(A38="", "", IF(B38="MAX", INDEX(SF_Data!G:G, MATCH(SF_Data!K38, SF_Data!J:J, 0)), SF_Data!G38))</f>
        <v/>
      </c>
      <c r="D38" t="str">
        <f>IF(A38="","",IF(B38="MAX",IF(E38=0,INDEX(SF_Data!L:L,MATCH(SF_Data!K38,SF_Data!J:J,0)),INDEX(SF_Data!E:E,MATCH(SF_Data!K38,SF_Data!J:J,0))),IF(E38=0,SF_Data!L38,SF_Data!E38)))</f>
        <v/>
      </c>
      <c r="E38" t="str">
        <f>IF(A38="", "", IF(B38="MAX", INDEX(SF_Data!F:F, MATCH(SF_Data!K38, SF_Data!J:J, 0)), SF_Data!F38))</f>
        <v/>
      </c>
      <c r="F38" t="str">
        <f>IF(A38="", "", IF(B38="MAX", INDEX(SF_Data!D:D, MATCH(SF_Data!K38, SF_Data!J:J, 0)), SF_Data!D38))</f>
        <v/>
      </c>
      <c r="G38" t="str">
        <f>IF(A38="","",SF_Data!C38)</f>
        <v/>
      </c>
      <c r="H38" t="str">
        <f>IF(A38="","",SF_Data!M38)</f>
        <v/>
      </c>
      <c r="I38" t="str">
        <f t="shared" si="0"/>
        <v/>
      </c>
      <c r="J38" t="str">
        <f>IF(A38="", "", IF(COUNTIF($I$2:I38, I38)=1, "Unique", IF(AND(COUNTIF($I$2:I38, I38)&gt;1, B38="MAX"), "Duplicate", "Unique")))</f>
        <v/>
      </c>
      <c r="K38" t="str">
        <f t="shared" si="1"/>
        <v/>
      </c>
    </row>
    <row r="39" spans="1:11" x14ac:dyDescent="0.75">
      <c r="A39" t="str">
        <f>IF(SF_Data!A39="","",SF_Data!A39)</f>
        <v/>
      </c>
      <c r="B39" t="str">
        <f>IF(A39="","",SF_Data!H39)</f>
        <v/>
      </c>
      <c r="C39" t="str">
        <f>IF(A39="", "", IF(B39="MAX", INDEX(SF_Data!G:G, MATCH(SF_Data!K39, SF_Data!J:J, 0)), SF_Data!G39))</f>
        <v/>
      </c>
      <c r="D39" t="str">
        <f>IF(A39="","",IF(B39="MAX",IF(E39=0,INDEX(SF_Data!L:L,MATCH(SF_Data!K39,SF_Data!J:J,0)),INDEX(SF_Data!E:E,MATCH(SF_Data!K39,SF_Data!J:J,0))),IF(E39=0,SF_Data!L39,SF_Data!E39)))</f>
        <v/>
      </c>
      <c r="E39" t="str">
        <f>IF(A39="", "", IF(B39="MAX", INDEX(SF_Data!F:F, MATCH(SF_Data!K39, SF_Data!J:J, 0)), SF_Data!F39))</f>
        <v/>
      </c>
      <c r="F39" t="str">
        <f>IF(A39="", "", IF(B39="MAX", INDEX(SF_Data!D:D, MATCH(SF_Data!K39, SF_Data!J:J, 0)), SF_Data!D39))</f>
        <v/>
      </c>
      <c r="G39" t="str">
        <f>IF(A39="","",SF_Data!C39)</f>
        <v/>
      </c>
      <c r="H39" t="str">
        <f>IF(A39="","",SF_Data!M39)</f>
        <v/>
      </c>
      <c r="I39" t="str">
        <f t="shared" si="0"/>
        <v/>
      </c>
      <c r="J39" t="str">
        <f>IF(A39="", "", IF(COUNTIF($I$2:I39, I39)=1, "Unique", IF(AND(COUNTIF($I$2:I39, I39)&gt;1, B39="MAX"), "Duplicate", "Unique")))</f>
        <v/>
      </c>
      <c r="K39" t="str">
        <f t="shared" si="1"/>
        <v/>
      </c>
    </row>
    <row r="40" spans="1:11" x14ac:dyDescent="0.75">
      <c r="A40" t="str">
        <f>IF(SF_Data!A40="","",SF_Data!A40)</f>
        <v/>
      </c>
      <c r="B40" t="str">
        <f>IF(A40="","",SF_Data!H40)</f>
        <v/>
      </c>
      <c r="C40" t="str">
        <f>IF(A40="", "", IF(B40="MAX", INDEX(SF_Data!G:G, MATCH(SF_Data!K40, SF_Data!J:J, 0)), SF_Data!G40))</f>
        <v/>
      </c>
      <c r="D40" t="str">
        <f>IF(A40="","",IF(B40="MAX",IF(E40=0,INDEX(SF_Data!L:L,MATCH(SF_Data!K40,SF_Data!J:J,0)),INDEX(SF_Data!E:E,MATCH(SF_Data!K40,SF_Data!J:J,0))),IF(E40=0,SF_Data!L40,SF_Data!E40)))</f>
        <v/>
      </c>
      <c r="E40" t="str">
        <f>IF(A40="", "", IF(B40="MAX", INDEX(SF_Data!F:F, MATCH(SF_Data!K40, SF_Data!J:J, 0)), SF_Data!F40))</f>
        <v/>
      </c>
      <c r="F40" t="str">
        <f>IF(A40="", "", IF(B40="MAX", INDEX(SF_Data!D:D, MATCH(SF_Data!K40, SF_Data!J:J, 0)), SF_Data!D40))</f>
        <v/>
      </c>
      <c r="G40" t="str">
        <f>IF(A40="","",SF_Data!C40)</f>
        <v/>
      </c>
      <c r="H40" t="str">
        <f>IF(A40="","",SF_Data!M40)</f>
        <v/>
      </c>
      <c r="I40" t="str">
        <f t="shared" si="0"/>
        <v/>
      </c>
      <c r="J40" t="str">
        <f>IF(A40="", "", IF(COUNTIF($I$2:I40, I40)=1, "Unique", IF(AND(COUNTIF($I$2:I40, I40)&gt;1, B40="MAX"), "Duplicate", "Unique")))</f>
        <v/>
      </c>
      <c r="K40" t="str">
        <f t="shared" si="1"/>
        <v/>
      </c>
    </row>
    <row r="41" spans="1:11" x14ac:dyDescent="0.75">
      <c r="A41" t="str">
        <f>IF(SF_Data!A41="","",SF_Data!A41)</f>
        <v/>
      </c>
      <c r="B41" t="str">
        <f>IF(A41="","",SF_Data!H41)</f>
        <v/>
      </c>
      <c r="C41" t="str">
        <f>IF(A41="", "", IF(B41="MAX", INDEX(SF_Data!G:G, MATCH(SF_Data!K41, SF_Data!J:J, 0)), SF_Data!G41))</f>
        <v/>
      </c>
      <c r="D41" t="str">
        <f>IF(A41="","",IF(B41="MAX",IF(E41=0,INDEX(SF_Data!L:L,MATCH(SF_Data!K41,SF_Data!J:J,0)),INDEX(SF_Data!E:E,MATCH(SF_Data!K41,SF_Data!J:J,0))),IF(E41=0,SF_Data!L41,SF_Data!E41)))</f>
        <v/>
      </c>
      <c r="E41" t="str">
        <f>IF(A41="", "", IF(B41="MAX", INDEX(SF_Data!F:F, MATCH(SF_Data!K41, SF_Data!J:J, 0)), SF_Data!F41))</f>
        <v/>
      </c>
      <c r="F41" t="str">
        <f>IF(A41="", "", IF(B41="MAX", INDEX(SF_Data!D:D, MATCH(SF_Data!K41, SF_Data!J:J, 0)), SF_Data!D41))</f>
        <v/>
      </c>
      <c r="G41" t="str">
        <f>IF(A41="","",SF_Data!C41)</f>
        <v/>
      </c>
      <c r="H41" t="str">
        <f>IF(A41="","",SF_Data!M41)</f>
        <v/>
      </c>
      <c r="I41" t="str">
        <f t="shared" si="0"/>
        <v/>
      </c>
      <c r="J41" t="str">
        <f>IF(A41="", "", IF(COUNTIF($I$2:I41, I41)=1, "Unique", IF(AND(COUNTIF($I$2:I41, I41)&gt;1, B41="MAX"), "Duplicate", "Unique")))</f>
        <v/>
      </c>
      <c r="K41" t="str">
        <f t="shared" si="1"/>
        <v/>
      </c>
    </row>
    <row r="42" spans="1:11" x14ac:dyDescent="0.75">
      <c r="A42" t="str">
        <f>IF(SF_Data!A42="","",SF_Data!A42)</f>
        <v/>
      </c>
      <c r="B42" t="str">
        <f>IF(A42="","",SF_Data!H42)</f>
        <v/>
      </c>
      <c r="C42" t="str">
        <f>IF(A42="", "", IF(B42="MAX", INDEX(SF_Data!G:G, MATCH(SF_Data!K42, SF_Data!J:J, 0)), SF_Data!G42))</f>
        <v/>
      </c>
      <c r="D42" t="str">
        <f>IF(A42="","",IF(B42="MAX",IF(E42=0,INDEX(SF_Data!L:L,MATCH(SF_Data!K42,SF_Data!J:J,0)),INDEX(SF_Data!E:E,MATCH(SF_Data!K42,SF_Data!J:J,0))),IF(E42=0,SF_Data!L42,SF_Data!E42)))</f>
        <v/>
      </c>
      <c r="E42" t="str">
        <f>IF(A42="", "", IF(B42="MAX", INDEX(SF_Data!F:F, MATCH(SF_Data!K42, SF_Data!J:J, 0)), SF_Data!F42))</f>
        <v/>
      </c>
      <c r="F42" t="str">
        <f>IF(A42="", "", IF(B42="MAX", INDEX(SF_Data!D:D, MATCH(SF_Data!K42, SF_Data!J:J, 0)), SF_Data!D42))</f>
        <v/>
      </c>
      <c r="G42" t="str">
        <f>IF(A42="","",SF_Data!C42)</f>
        <v/>
      </c>
      <c r="H42" t="str">
        <f>IF(A42="","",SF_Data!M42)</f>
        <v/>
      </c>
      <c r="I42" t="str">
        <f t="shared" si="0"/>
        <v/>
      </c>
      <c r="J42" t="str">
        <f>IF(A42="", "", IF(COUNTIF($I$2:I42, I42)=1, "Unique", IF(AND(COUNTIF($I$2:I42, I42)&gt;1, B42="MAX"), "Duplicate", "Unique")))</f>
        <v/>
      </c>
      <c r="K42" t="str">
        <f t="shared" si="1"/>
        <v/>
      </c>
    </row>
    <row r="43" spans="1:11" x14ac:dyDescent="0.75">
      <c r="A43" t="str">
        <f>IF(SF_Data!A43="","",SF_Data!A43)</f>
        <v/>
      </c>
      <c r="B43" t="str">
        <f>IF(A43="","",SF_Data!H43)</f>
        <v/>
      </c>
      <c r="C43" t="str">
        <f>IF(A43="", "", IF(B43="MAX", INDEX(SF_Data!G:G, MATCH(SF_Data!K43, SF_Data!J:J, 0)), SF_Data!G43))</f>
        <v/>
      </c>
      <c r="D43" t="str">
        <f>IF(A43="","",IF(B43="MAX",IF(E43=0,INDEX(SF_Data!L:L,MATCH(SF_Data!K43,SF_Data!J:J,0)),INDEX(SF_Data!E:E,MATCH(SF_Data!K43,SF_Data!J:J,0))),IF(E43=0,SF_Data!L43,SF_Data!E43)))</f>
        <v/>
      </c>
      <c r="E43" t="str">
        <f>IF(A43="", "", IF(B43="MAX", INDEX(SF_Data!F:F, MATCH(SF_Data!K43, SF_Data!J:J, 0)), SF_Data!F43))</f>
        <v/>
      </c>
      <c r="F43" t="str">
        <f>IF(A43="", "", IF(B43="MAX", INDEX(SF_Data!D:D, MATCH(SF_Data!K43, SF_Data!J:J, 0)), SF_Data!D43))</f>
        <v/>
      </c>
      <c r="G43" t="str">
        <f>IF(A43="","",SF_Data!C43)</f>
        <v/>
      </c>
      <c r="H43" t="str">
        <f>IF(A43="","",SF_Data!M43)</f>
        <v/>
      </c>
      <c r="I43" t="str">
        <f t="shared" si="0"/>
        <v/>
      </c>
      <c r="J43" t="str">
        <f>IF(A43="", "", IF(COUNTIF($I$2:I43, I43)=1, "Unique", IF(AND(COUNTIF($I$2:I43, I43)&gt;1, B43="MAX"), "Duplicate", "Unique")))</f>
        <v/>
      </c>
      <c r="K43" t="str">
        <f t="shared" si="1"/>
        <v/>
      </c>
    </row>
    <row r="44" spans="1:11" x14ac:dyDescent="0.75">
      <c r="A44" t="str">
        <f>IF(SF_Data!A44="","",SF_Data!A44)</f>
        <v/>
      </c>
      <c r="B44" t="str">
        <f>IF(A44="","",SF_Data!H44)</f>
        <v/>
      </c>
      <c r="C44" t="str">
        <f>IF(A44="", "", IF(B44="MAX", INDEX(SF_Data!G:G, MATCH(SF_Data!K44, SF_Data!J:J, 0)), SF_Data!G44))</f>
        <v/>
      </c>
      <c r="D44" t="str">
        <f>IF(A44="","",IF(B44="MAX",IF(E44=0,INDEX(SF_Data!L:L,MATCH(SF_Data!K44,SF_Data!J:J,0)),INDEX(SF_Data!E:E,MATCH(SF_Data!K44,SF_Data!J:J,0))),IF(E44=0,SF_Data!L44,SF_Data!E44)))</f>
        <v/>
      </c>
      <c r="E44" t="str">
        <f>IF(A44="", "", IF(B44="MAX", INDEX(SF_Data!F:F, MATCH(SF_Data!K44, SF_Data!J:J, 0)), SF_Data!F44))</f>
        <v/>
      </c>
      <c r="F44" t="str">
        <f>IF(A44="", "", IF(B44="MAX", INDEX(SF_Data!D:D, MATCH(SF_Data!K44, SF_Data!J:J, 0)), SF_Data!D44))</f>
        <v/>
      </c>
      <c r="G44" t="str">
        <f>IF(A44="","",SF_Data!C44)</f>
        <v/>
      </c>
      <c r="H44" t="str">
        <f>IF(A44="","",SF_Data!M44)</f>
        <v/>
      </c>
      <c r="I44" t="str">
        <f t="shared" si="0"/>
        <v/>
      </c>
      <c r="J44" t="str">
        <f>IF(A44="", "", IF(COUNTIF($I$2:I44, I44)=1, "Unique", IF(AND(COUNTIF($I$2:I44, I44)&gt;1, B44="MAX"), "Duplicate", "Unique")))</f>
        <v/>
      </c>
      <c r="K44" t="str">
        <f t="shared" si="1"/>
        <v/>
      </c>
    </row>
    <row r="45" spans="1:11" x14ac:dyDescent="0.75">
      <c r="A45" t="str">
        <f>IF(SF_Data!A45="","",SF_Data!A45)</f>
        <v/>
      </c>
      <c r="B45" t="str">
        <f>IF(A45="","",SF_Data!H45)</f>
        <v/>
      </c>
      <c r="C45" t="str">
        <f>IF(A45="", "", IF(B45="MAX", INDEX(SF_Data!G:G, MATCH(SF_Data!K45, SF_Data!J:J, 0)), SF_Data!G45))</f>
        <v/>
      </c>
      <c r="D45" t="str">
        <f>IF(A45="","",IF(B45="MAX",IF(E45=0,INDEX(SF_Data!L:L,MATCH(SF_Data!K45,SF_Data!J:J,0)),INDEX(SF_Data!E:E,MATCH(SF_Data!K45,SF_Data!J:J,0))),IF(E45=0,SF_Data!L45,SF_Data!E45)))</f>
        <v/>
      </c>
      <c r="E45" t="str">
        <f>IF(A45="", "", IF(B45="MAX", INDEX(SF_Data!F:F, MATCH(SF_Data!K45, SF_Data!J:J, 0)), SF_Data!F45))</f>
        <v/>
      </c>
      <c r="F45" t="str">
        <f>IF(A45="", "", IF(B45="MAX", INDEX(SF_Data!D:D, MATCH(SF_Data!K45, SF_Data!J:J, 0)), SF_Data!D45))</f>
        <v/>
      </c>
      <c r="G45" t="str">
        <f>IF(A45="","",SF_Data!C45)</f>
        <v/>
      </c>
      <c r="H45" t="str">
        <f>IF(A45="","",SF_Data!M45)</f>
        <v/>
      </c>
      <c r="I45" t="str">
        <f t="shared" si="0"/>
        <v/>
      </c>
      <c r="J45" t="str">
        <f>IF(A45="", "", IF(COUNTIF($I$2:I45, I45)=1, "Unique", IF(AND(COUNTIF($I$2:I45, I45)&gt;1, B45="MAX"), "Duplicate", "Unique")))</f>
        <v/>
      </c>
      <c r="K45" t="str">
        <f t="shared" si="1"/>
        <v/>
      </c>
    </row>
    <row r="46" spans="1:11" x14ac:dyDescent="0.75">
      <c r="A46" t="str">
        <f>IF(SF_Data!A46="","",SF_Data!A46)</f>
        <v/>
      </c>
      <c r="B46" t="str">
        <f>IF(A46="","",SF_Data!H46)</f>
        <v/>
      </c>
      <c r="C46" t="str">
        <f>IF(A46="", "", IF(B46="MAX", INDEX(SF_Data!G:G, MATCH(SF_Data!K46, SF_Data!J:J, 0)), SF_Data!G46))</f>
        <v/>
      </c>
      <c r="D46" t="str">
        <f>IF(A46="","",IF(B46="MAX",IF(E46=0,INDEX(SF_Data!L:L,MATCH(SF_Data!K46,SF_Data!J:J,0)),INDEX(SF_Data!E:E,MATCH(SF_Data!K46,SF_Data!J:J,0))),IF(E46=0,SF_Data!L46,SF_Data!E46)))</f>
        <v/>
      </c>
      <c r="E46" t="str">
        <f>IF(A46="", "", IF(B46="MAX", INDEX(SF_Data!F:F, MATCH(SF_Data!K46, SF_Data!J:J, 0)), SF_Data!F46))</f>
        <v/>
      </c>
      <c r="F46" t="str">
        <f>IF(A46="", "", IF(B46="MAX", INDEX(SF_Data!D:D, MATCH(SF_Data!K46, SF_Data!J:J, 0)), SF_Data!D46))</f>
        <v/>
      </c>
      <c r="G46" t="str">
        <f>IF(A46="","",SF_Data!C46)</f>
        <v/>
      </c>
      <c r="H46" t="str">
        <f>IF(A46="","",SF_Data!M46)</f>
        <v/>
      </c>
      <c r="I46" t="str">
        <f t="shared" si="0"/>
        <v/>
      </c>
      <c r="J46" t="str">
        <f>IF(A46="", "", IF(COUNTIF($I$2:I46, I46)=1, "Unique", IF(AND(COUNTIF($I$2:I46, I46)&gt;1, B46="MAX"), "Duplicate", "Unique")))</f>
        <v/>
      </c>
      <c r="K46" t="str">
        <f t="shared" si="1"/>
        <v/>
      </c>
    </row>
    <row r="47" spans="1:11" x14ac:dyDescent="0.75">
      <c r="A47" t="str">
        <f>IF(SF_Data!A47="","",SF_Data!A47)</f>
        <v/>
      </c>
      <c r="B47" t="str">
        <f>IF(A47="","",SF_Data!H47)</f>
        <v/>
      </c>
      <c r="C47" t="str">
        <f>IF(A47="", "", IF(B47="MAX", INDEX(SF_Data!G:G, MATCH(SF_Data!K47, SF_Data!J:J, 0)), SF_Data!G47))</f>
        <v/>
      </c>
      <c r="D47" t="str">
        <f>IF(A47="","",IF(B47="MAX",IF(E47=0,INDEX(SF_Data!L:L,MATCH(SF_Data!K47,SF_Data!J:J,0)),INDEX(SF_Data!E:E,MATCH(SF_Data!K47,SF_Data!J:J,0))),IF(E47=0,SF_Data!L47,SF_Data!E47)))</f>
        <v/>
      </c>
      <c r="E47" t="str">
        <f>IF(A47="", "", IF(B47="MAX", INDEX(SF_Data!F:F, MATCH(SF_Data!K47, SF_Data!J:J, 0)), SF_Data!F47))</f>
        <v/>
      </c>
      <c r="F47" t="str">
        <f>IF(A47="", "", IF(B47="MAX", INDEX(SF_Data!D:D, MATCH(SF_Data!K47, SF_Data!J:J, 0)), SF_Data!D47))</f>
        <v/>
      </c>
      <c r="G47" t="str">
        <f>IF(A47="","",SF_Data!C47)</f>
        <v/>
      </c>
      <c r="H47" t="str">
        <f>IF(A47="","",SF_Data!M47)</f>
        <v/>
      </c>
      <c r="I47" t="str">
        <f t="shared" si="0"/>
        <v/>
      </c>
      <c r="J47" t="str">
        <f>IF(A47="", "", IF(COUNTIF($I$2:I47, I47)=1, "Unique", IF(AND(COUNTIF($I$2:I47, I47)&gt;1, B47="MAX"), "Duplicate", "Unique")))</f>
        <v/>
      </c>
      <c r="K47" t="str">
        <f t="shared" si="1"/>
        <v/>
      </c>
    </row>
    <row r="48" spans="1:11" x14ac:dyDescent="0.75">
      <c r="A48" t="str">
        <f>IF(SF_Data!A48="","",SF_Data!A48)</f>
        <v/>
      </c>
      <c r="B48" t="str">
        <f>IF(A48="","",SF_Data!H48)</f>
        <v/>
      </c>
      <c r="C48" t="str">
        <f>IF(A48="", "", IF(B48="MAX", INDEX(SF_Data!G:G, MATCH(SF_Data!K48, SF_Data!J:J, 0)), SF_Data!G48))</f>
        <v/>
      </c>
      <c r="D48" t="str">
        <f>IF(A48="","",IF(B48="MAX",IF(E48=0,INDEX(SF_Data!L:L,MATCH(SF_Data!K48,SF_Data!J:J,0)),INDEX(SF_Data!E:E,MATCH(SF_Data!K48,SF_Data!J:J,0))),IF(E48=0,SF_Data!L48,SF_Data!E48)))</f>
        <v/>
      </c>
      <c r="E48" t="str">
        <f>IF(A48="", "", IF(B48="MAX", INDEX(SF_Data!F:F, MATCH(SF_Data!K48, SF_Data!J:J, 0)), SF_Data!F48))</f>
        <v/>
      </c>
      <c r="F48" t="str">
        <f>IF(A48="", "", IF(B48="MAX", INDEX(SF_Data!D:D, MATCH(SF_Data!K48, SF_Data!J:J, 0)), SF_Data!D48))</f>
        <v/>
      </c>
      <c r="G48" t="str">
        <f>IF(A48="","",SF_Data!C48)</f>
        <v/>
      </c>
      <c r="H48" t="str">
        <f>IF(A48="","",SF_Data!M48)</f>
        <v/>
      </c>
      <c r="I48" t="str">
        <f t="shared" si="0"/>
        <v/>
      </c>
      <c r="J48" t="str">
        <f>IF(A48="", "", IF(COUNTIF($I$2:I48, I48)=1, "Unique", IF(AND(COUNTIF($I$2:I48, I48)&gt;1, B48="MAX"), "Duplicate", "Unique")))</f>
        <v/>
      </c>
      <c r="K48" t="str">
        <f t="shared" si="1"/>
        <v/>
      </c>
    </row>
    <row r="49" spans="1:11" x14ac:dyDescent="0.75">
      <c r="A49" t="str">
        <f>IF(SF_Data!A49="","",SF_Data!A49)</f>
        <v/>
      </c>
      <c r="B49" t="str">
        <f>IF(A49="","",SF_Data!H49)</f>
        <v/>
      </c>
      <c r="C49" t="str">
        <f>IF(A49="", "", IF(B49="MAX", INDEX(SF_Data!G:G, MATCH(SF_Data!K49, SF_Data!J:J, 0)), SF_Data!G49))</f>
        <v/>
      </c>
      <c r="D49" t="str">
        <f>IF(A49="","",IF(B49="MAX",IF(E49=0,INDEX(SF_Data!L:L,MATCH(SF_Data!K49,SF_Data!J:J,0)),INDEX(SF_Data!E:E,MATCH(SF_Data!K49,SF_Data!J:J,0))),IF(E49=0,SF_Data!L49,SF_Data!E49)))</f>
        <v/>
      </c>
      <c r="E49" t="str">
        <f>IF(A49="", "", IF(B49="MAX", INDEX(SF_Data!F:F, MATCH(SF_Data!K49, SF_Data!J:J, 0)), SF_Data!F49))</f>
        <v/>
      </c>
      <c r="F49" t="str">
        <f>IF(A49="", "", IF(B49="MAX", INDEX(SF_Data!D:D, MATCH(SF_Data!K49, SF_Data!J:J, 0)), SF_Data!D49))</f>
        <v/>
      </c>
      <c r="G49" t="str">
        <f>IF(A49="","",SF_Data!C49)</f>
        <v/>
      </c>
      <c r="H49" t="str">
        <f>IF(A49="","",SF_Data!M49)</f>
        <v/>
      </c>
      <c r="I49" t="str">
        <f t="shared" si="0"/>
        <v/>
      </c>
      <c r="J49" t="str">
        <f>IF(A49="", "", IF(COUNTIF($I$2:I49, I49)=1, "Unique", IF(AND(COUNTIF($I$2:I49, I49)&gt;1, B49="MAX"), "Duplicate", "Unique")))</f>
        <v/>
      </c>
      <c r="K49" t="str">
        <f t="shared" si="1"/>
        <v/>
      </c>
    </row>
    <row r="50" spans="1:11" x14ac:dyDescent="0.75">
      <c r="A50" t="str">
        <f>IF(SF_Data!A50="","",SF_Data!A50)</f>
        <v/>
      </c>
      <c r="B50" t="str">
        <f>IF(A50="","",SF_Data!H50)</f>
        <v/>
      </c>
      <c r="C50" t="str">
        <f>IF(A50="", "", IF(B50="MAX", INDEX(SF_Data!G:G, MATCH(SF_Data!K50, SF_Data!J:J, 0)), SF_Data!G50))</f>
        <v/>
      </c>
      <c r="D50" t="str">
        <f>IF(A50="","",IF(B50="MAX",IF(E50=0,INDEX(SF_Data!L:L,MATCH(SF_Data!K50,SF_Data!J:J,0)),INDEX(SF_Data!E:E,MATCH(SF_Data!K50,SF_Data!J:J,0))),IF(E50=0,SF_Data!L50,SF_Data!E50)))</f>
        <v/>
      </c>
      <c r="E50" t="str">
        <f>IF(A50="", "", IF(B50="MAX", INDEX(SF_Data!F:F, MATCH(SF_Data!K50, SF_Data!J:J, 0)), SF_Data!F50))</f>
        <v/>
      </c>
      <c r="F50" t="str">
        <f>IF(A50="", "", IF(B50="MAX", INDEX(SF_Data!D:D, MATCH(SF_Data!K50, SF_Data!J:J, 0)), SF_Data!D50))</f>
        <v/>
      </c>
      <c r="G50" t="str">
        <f>IF(A50="","",SF_Data!C50)</f>
        <v/>
      </c>
      <c r="H50" t="str">
        <f>IF(A50="","",SF_Data!M50)</f>
        <v/>
      </c>
      <c r="I50" t="str">
        <f t="shared" si="0"/>
        <v/>
      </c>
      <c r="J50" t="str">
        <f>IF(A50="", "", IF(COUNTIF($I$2:I50, I50)=1, "Unique", IF(AND(COUNTIF($I$2:I50, I50)&gt;1, B50="MAX"), "Duplicate", "Unique")))</f>
        <v/>
      </c>
      <c r="K50" t="str">
        <f t="shared" si="1"/>
        <v/>
      </c>
    </row>
    <row r="51" spans="1:11" x14ac:dyDescent="0.75">
      <c r="A51" t="str">
        <f>IF(SF_Data!A51="","",SF_Data!A51)</f>
        <v/>
      </c>
      <c r="B51" t="str">
        <f>IF(A51="","",SF_Data!H51)</f>
        <v/>
      </c>
      <c r="C51" t="str">
        <f>IF(A51="", "", IF(B51="MAX", INDEX(SF_Data!G:G, MATCH(SF_Data!K51, SF_Data!J:J, 0)), SF_Data!G51))</f>
        <v/>
      </c>
      <c r="D51" t="str">
        <f>IF(A51="","",IF(B51="MAX",IF(E51=0,INDEX(SF_Data!L:L,MATCH(SF_Data!K51,SF_Data!J:J,0)),INDEX(SF_Data!E:E,MATCH(SF_Data!K51,SF_Data!J:J,0))),IF(E51=0,SF_Data!L51,SF_Data!E51)))</f>
        <v/>
      </c>
      <c r="E51" t="str">
        <f>IF(A51="", "", IF(B51="MAX", INDEX(SF_Data!F:F, MATCH(SF_Data!K51, SF_Data!J:J, 0)), SF_Data!F51))</f>
        <v/>
      </c>
      <c r="F51" t="str">
        <f>IF(A51="", "", IF(B51="MAX", INDEX(SF_Data!D:D, MATCH(SF_Data!K51, SF_Data!J:J, 0)), SF_Data!D51))</f>
        <v/>
      </c>
      <c r="G51" t="str">
        <f>IF(A51="","",SF_Data!C51)</f>
        <v/>
      </c>
      <c r="H51" t="str">
        <f>IF(A51="","",SF_Data!M51)</f>
        <v/>
      </c>
      <c r="I51" t="str">
        <f t="shared" si="0"/>
        <v/>
      </c>
      <c r="J51" t="str">
        <f>IF(A51="", "", IF(COUNTIF($I$2:I51, I51)=1, "Unique", IF(AND(COUNTIF($I$2:I51, I51)&gt;1, B51="MAX"), "Duplicate", "Unique")))</f>
        <v/>
      </c>
      <c r="K51" t="str">
        <f t="shared" si="1"/>
        <v/>
      </c>
    </row>
    <row r="52" spans="1:11" x14ac:dyDescent="0.75">
      <c r="A52" t="str">
        <f>IF(SF_Data!A52="","",SF_Data!A52)</f>
        <v/>
      </c>
      <c r="B52" t="str">
        <f>IF(A52="","",SF_Data!H52)</f>
        <v/>
      </c>
      <c r="C52" t="str">
        <f>IF(A52="", "", IF(B52="MAX", INDEX(SF_Data!G:G, MATCH(SF_Data!K52, SF_Data!J:J, 0)), SF_Data!G52))</f>
        <v/>
      </c>
      <c r="D52" t="str">
        <f>IF(A52="","",IF(B52="MAX",IF(E52=0,INDEX(SF_Data!L:L,MATCH(SF_Data!K52,SF_Data!J:J,0)),INDEX(SF_Data!E:E,MATCH(SF_Data!K52,SF_Data!J:J,0))),IF(E52=0,SF_Data!L52,SF_Data!E52)))</f>
        <v/>
      </c>
      <c r="E52" t="str">
        <f>IF(A52="", "", IF(B52="MAX", INDEX(SF_Data!F:F, MATCH(SF_Data!K52, SF_Data!J:J, 0)), SF_Data!F52))</f>
        <v/>
      </c>
      <c r="F52" t="str">
        <f>IF(A52="", "", IF(B52="MAX", INDEX(SF_Data!D:D, MATCH(SF_Data!K52, SF_Data!J:J, 0)), SF_Data!D52))</f>
        <v/>
      </c>
      <c r="G52" t="str">
        <f>IF(A52="","",SF_Data!C52)</f>
        <v/>
      </c>
      <c r="H52" t="str">
        <f>IF(A52="","",SF_Data!M52)</f>
        <v/>
      </c>
      <c r="I52" t="str">
        <f t="shared" si="0"/>
        <v/>
      </c>
      <c r="J52" t="str">
        <f>IF(A52="", "", IF(COUNTIF($I$2:I52, I52)=1, "Unique", IF(AND(COUNTIF($I$2:I52, I52)&gt;1, B52="MAX"), "Duplicate", "Unique")))</f>
        <v/>
      </c>
      <c r="K52" t="str">
        <f t="shared" si="1"/>
        <v/>
      </c>
    </row>
    <row r="53" spans="1:11" x14ac:dyDescent="0.75">
      <c r="A53" t="str">
        <f>IF(SF_Data!A53="","",SF_Data!A53)</f>
        <v/>
      </c>
      <c r="B53" t="str">
        <f>IF(A53="","",SF_Data!H53)</f>
        <v/>
      </c>
      <c r="C53" t="str">
        <f>IF(A53="", "", IF(B53="MAX", INDEX(SF_Data!G:G, MATCH(SF_Data!K53, SF_Data!J:J, 0)), SF_Data!G53))</f>
        <v/>
      </c>
      <c r="D53" t="str">
        <f>IF(A53="","",IF(B53="MAX",IF(E53=0,INDEX(SF_Data!L:L,MATCH(SF_Data!K53,SF_Data!J:J,0)),INDEX(SF_Data!E:E,MATCH(SF_Data!K53,SF_Data!J:J,0))),IF(E53=0,SF_Data!L53,SF_Data!E53)))</f>
        <v/>
      </c>
      <c r="E53" t="str">
        <f>IF(A53="", "", IF(B53="MAX", INDEX(SF_Data!F:F, MATCH(SF_Data!K53, SF_Data!J:J, 0)), SF_Data!F53))</f>
        <v/>
      </c>
      <c r="F53" t="str">
        <f>IF(A53="", "", IF(B53="MAX", INDEX(SF_Data!D:D, MATCH(SF_Data!K53, SF_Data!J:J, 0)), SF_Data!D53))</f>
        <v/>
      </c>
      <c r="G53" t="str">
        <f>IF(A53="","",SF_Data!C53)</f>
        <v/>
      </c>
      <c r="H53" t="str">
        <f>IF(A53="","",SF_Data!M53)</f>
        <v/>
      </c>
      <c r="I53" t="str">
        <f t="shared" si="0"/>
        <v/>
      </c>
      <c r="J53" t="str">
        <f>IF(A53="", "", IF(COUNTIF($I$2:I53, I53)=1, "Unique", IF(AND(COUNTIF($I$2:I53, I53)&gt;1, B53="MAX"), "Duplicate", "Unique")))</f>
        <v/>
      </c>
      <c r="K53" t="str">
        <f t="shared" si="1"/>
        <v/>
      </c>
    </row>
    <row r="54" spans="1:11" x14ac:dyDescent="0.75">
      <c r="A54" t="str">
        <f>IF(SF_Data!A54="","",SF_Data!A54)</f>
        <v/>
      </c>
      <c r="B54" t="str">
        <f>IF(A54="","",SF_Data!H54)</f>
        <v/>
      </c>
      <c r="C54" t="str">
        <f>IF(A54="", "", IF(B54="MAX", INDEX(SF_Data!G:G, MATCH(SF_Data!K54, SF_Data!J:J, 0)), SF_Data!G54))</f>
        <v/>
      </c>
      <c r="D54" t="str">
        <f>IF(A54="","",IF(B54="MAX",IF(E54=0,INDEX(SF_Data!L:L,MATCH(SF_Data!K54,SF_Data!J:J,0)),INDEX(SF_Data!E:E,MATCH(SF_Data!K54,SF_Data!J:J,0))),IF(E54=0,SF_Data!L54,SF_Data!E54)))</f>
        <v/>
      </c>
      <c r="E54" t="str">
        <f>IF(A54="", "", IF(B54="MAX", INDEX(SF_Data!F:F, MATCH(SF_Data!K54, SF_Data!J:J, 0)), SF_Data!F54))</f>
        <v/>
      </c>
      <c r="F54" t="str">
        <f>IF(A54="", "", IF(B54="MAX", INDEX(SF_Data!D:D, MATCH(SF_Data!K54, SF_Data!J:J, 0)), SF_Data!D54))</f>
        <v/>
      </c>
      <c r="G54" t="str">
        <f>IF(A54="","",SF_Data!C54)</f>
        <v/>
      </c>
      <c r="H54" t="str">
        <f>IF(A54="","",SF_Data!M54)</f>
        <v/>
      </c>
      <c r="I54" t="str">
        <f t="shared" si="0"/>
        <v/>
      </c>
      <c r="J54" t="str">
        <f>IF(A54="", "", IF(COUNTIF($I$2:I54, I54)=1, "Unique", IF(AND(COUNTIF($I$2:I54, I54)&gt;1, B54="MAX"), "Duplicate", "Unique")))</f>
        <v/>
      </c>
      <c r="K54" t="str">
        <f t="shared" si="1"/>
        <v/>
      </c>
    </row>
    <row r="55" spans="1:11" x14ac:dyDescent="0.75">
      <c r="A55" t="str">
        <f>IF(SF_Data!A55="","",SF_Data!A55)</f>
        <v/>
      </c>
      <c r="B55" t="str">
        <f>IF(A55="","",SF_Data!H55)</f>
        <v/>
      </c>
      <c r="C55" t="str">
        <f>IF(A55="", "", IF(B55="MAX", INDEX(SF_Data!G:G, MATCH(SF_Data!K55, SF_Data!J:J, 0)), SF_Data!G55))</f>
        <v/>
      </c>
      <c r="D55" t="str">
        <f>IF(A55="","",IF(B55="MAX",IF(E55=0,INDEX(SF_Data!L:L,MATCH(SF_Data!K55,SF_Data!J:J,0)),INDEX(SF_Data!E:E,MATCH(SF_Data!K55,SF_Data!J:J,0))),IF(E55=0,SF_Data!L55,SF_Data!E55)))</f>
        <v/>
      </c>
      <c r="E55" t="str">
        <f>IF(A55="", "", IF(B55="MAX", INDEX(SF_Data!F:F, MATCH(SF_Data!K55, SF_Data!J:J, 0)), SF_Data!F55))</f>
        <v/>
      </c>
      <c r="F55" t="str">
        <f>IF(A55="", "", IF(B55="MAX", INDEX(SF_Data!D:D, MATCH(SF_Data!K55, SF_Data!J:J, 0)), SF_Data!D55))</f>
        <v/>
      </c>
      <c r="G55" t="str">
        <f>IF(A55="","",SF_Data!C55)</f>
        <v/>
      </c>
      <c r="H55" t="str">
        <f>IF(A55="","",SF_Data!M55)</f>
        <v/>
      </c>
      <c r="I55" t="str">
        <f t="shared" si="0"/>
        <v/>
      </c>
      <c r="J55" t="str">
        <f>IF(A55="", "", IF(COUNTIF($I$2:I55, I55)=1, "Unique", IF(AND(COUNTIF($I$2:I55, I55)&gt;1, B55="MAX"), "Duplicate", "Unique")))</f>
        <v/>
      </c>
      <c r="K55" t="str">
        <f t="shared" si="1"/>
        <v/>
      </c>
    </row>
    <row r="56" spans="1:11" x14ac:dyDescent="0.75">
      <c r="A56" t="str">
        <f>IF(SF_Data!A56="","",SF_Data!A56)</f>
        <v/>
      </c>
      <c r="B56" t="str">
        <f>IF(A56="","",SF_Data!H56)</f>
        <v/>
      </c>
      <c r="C56" t="str">
        <f>IF(A56="", "", IF(B56="MAX", INDEX(SF_Data!G:G, MATCH(SF_Data!K56, SF_Data!J:J, 0)), SF_Data!G56))</f>
        <v/>
      </c>
      <c r="D56" t="str">
        <f>IF(A56="","",IF(B56="MAX",IF(E56=0,INDEX(SF_Data!L:L,MATCH(SF_Data!K56,SF_Data!J:J,0)),INDEX(SF_Data!E:E,MATCH(SF_Data!K56,SF_Data!J:J,0))),IF(E56=0,SF_Data!L56,SF_Data!E56)))</f>
        <v/>
      </c>
      <c r="E56" t="str">
        <f>IF(A56="", "", IF(B56="MAX", INDEX(SF_Data!F:F, MATCH(SF_Data!K56, SF_Data!J:J, 0)), SF_Data!F56))</f>
        <v/>
      </c>
      <c r="F56" t="str">
        <f>IF(A56="", "", IF(B56="MAX", INDEX(SF_Data!D:D, MATCH(SF_Data!K56, SF_Data!J:J, 0)), SF_Data!D56))</f>
        <v/>
      </c>
      <c r="G56" t="str">
        <f>IF(A56="","",SF_Data!C56)</f>
        <v/>
      </c>
      <c r="H56" t="str">
        <f>IF(A56="","",SF_Data!M56)</f>
        <v/>
      </c>
      <c r="I56" t="str">
        <f t="shared" si="0"/>
        <v/>
      </c>
      <c r="J56" t="str">
        <f>IF(A56="", "", IF(COUNTIF($I$2:I56, I56)=1, "Unique", IF(AND(COUNTIF($I$2:I56, I56)&gt;1, B56="MAX"), "Duplicate", "Unique")))</f>
        <v/>
      </c>
      <c r="K56" t="str">
        <f t="shared" si="1"/>
        <v/>
      </c>
    </row>
    <row r="57" spans="1:11" x14ac:dyDescent="0.75">
      <c r="A57" t="str">
        <f>IF(SF_Data!A57="","",SF_Data!A57)</f>
        <v/>
      </c>
      <c r="B57" t="str">
        <f>IF(A57="","",SF_Data!H57)</f>
        <v/>
      </c>
      <c r="C57" t="str">
        <f>IF(A57="", "", IF(B57="MAX", INDEX(SF_Data!G:G, MATCH(SF_Data!K57, SF_Data!J:J, 0)), SF_Data!G57))</f>
        <v/>
      </c>
      <c r="D57" t="str">
        <f>IF(A57="","",IF(B57="MAX",IF(E57=0,INDEX(SF_Data!L:L,MATCH(SF_Data!K57,SF_Data!J:J,0)),INDEX(SF_Data!E:E,MATCH(SF_Data!K57,SF_Data!J:J,0))),IF(E57=0,SF_Data!L57,SF_Data!E57)))</f>
        <v/>
      </c>
      <c r="E57" t="str">
        <f>IF(A57="", "", IF(B57="MAX", INDEX(SF_Data!F:F, MATCH(SF_Data!K57, SF_Data!J:J, 0)), SF_Data!F57))</f>
        <v/>
      </c>
      <c r="F57" t="str">
        <f>IF(A57="", "", IF(B57="MAX", INDEX(SF_Data!D:D, MATCH(SF_Data!K57, SF_Data!J:J, 0)), SF_Data!D57))</f>
        <v/>
      </c>
      <c r="G57" t="str">
        <f>IF(A57="","",SF_Data!C57)</f>
        <v/>
      </c>
      <c r="H57" t="str">
        <f>IF(A57="","",SF_Data!M57)</f>
        <v/>
      </c>
      <c r="I57" t="str">
        <f t="shared" si="0"/>
        <v/>
      </c>
      <c r="J57" t="str">
        <f>IF(A57="", "", IF(COUNTIF($I$2:I57, I57)=1, "Unique", IF(AND(COUNTIF($I$2:I57, I57)&gt;1, B57="MAX"), "Duplicate", "Unique")))</f>
        <v/>
      </c>
      <c r="K57" t="str">
        <f t="shared" si="1"/>
        <v/>
      </c>
    </row>
    <row r="58" spans="1:11" x14ac:dyDescent="0.75">
      <c r="A58" t="str">
        <f>IF(SF_Data!A58="","",SF_Data!A58)</f>
        <v/>
      </c>
      <c r="B58" t="str">
        <f>IF(A58="","",SF_Data!H58)</f>
        <v/>
      </c>
      <c r="C58" t="str">
        <f>IF(A58="", "", IF(B58="MAX", INDEX(SF_Data!G:G, MATCH(SF_Data!K58, SF_Data!J:J, 0)), SF_Data!G58))</f>
        <v/>
      </c>
      <c r="D58" t="str">
        <f>IF(A58="","",IF(B58="MAX",IF(E58=0,INDEX(SF_Data!L:L,MATCH(SF_Data!K58,SF_Data!J:J,0)),INDEX(SF_Data!E:E,MATCH(SF_Data!K58,SF_Data!J:J,0))),IF(E58=0,SF_Data!L58,SF_Data!E58)))</f>
        <v/>
      </c>
      <c r="E58" t="str">
        <f>IF(A58="", "", IF(B58="MAX", INDEX(SF_Data!F:F, MATCH(SF_Data!K58, SF_Data!J:J, 0)), SF_Data!F58))</f>
        <v/>
      </c>
      <c r="F58" t="str">
        <f>IF(A58="", "", IF(B58="MAX", INDEX(SF_Data!D:D, MATCH(SF_Data!K58, SF_Data!J:J, 0)), SF_Data!D58))</f>
        <v/>
      </c>
      <c r="G58" t="str">
        <f>IF(A58="","",SF_Data!C58)</f>
        <v/>
      </c>
      <c r="H58" t="str">
        <f>IF(A58="","",SF_Data!M58)</f>
        <v/>
      </c>
      <c r="I58" t="str">
        <f t="shared" si="0"/>
        <v/>
      </c>
      <c r="J58" t="str">
        <f>IF(A58="", "", IF(COUNTIF($I$2:I58, I58)=1, "Unique", IF(AND(COUNTIF($I$2:I58, I58)&gt;1, B58="MAX"), "Duplicate", "Unique")))</f>
        <v/>
      </c>
      <c r="K58" t="str">
        <f t="shared" si="1"/>
        <v/>
      </c>
    </row>
    <row r="59" spans="1:11" x14ac:dyDescent="0.75">
      <c r="A59" t="str">
        <f>IF(SF_Data!A59="","",SF_Data!A59)</f>
        <v/>
      </c>
      <c r="B59" t="str">
        <f>IF(A59="","",SF_Data!H59)</f>
        <v/>
      </c>
      <c r="C59" t="str">
        <f>IF(A59="", "", IF(B59="MAX", INDEX(SF_Data!G:G, MATCH(SF_Data!K59, SF_Data!J:J, 0)), SF_Data!G59))</f>
        <v/>
      </c>
      <c r="D59" t="str">
        <f>IF(A59="","",IF(B59="MAX",IF(E59=0,INDEX(SF_Data!L:L,MATCH(SF_Data!K59,SF_Data!J:J,0)),INDEX(SF_Data!E:E,MATCH(SF_Data!K59,SF_Data!J:J,0))),IF(E59=0,SF_Data!L59,SF_Data!E59)))</f>
        <v/>
      </c>
      <c r="E59" t="str">
        <f>IF(A59="", "", IF(B59="MAX", INDEX(SF_Data!F:F, MATCH(SF_Data!K59, SF_Data!J:J, 0)), SF_Data!F59))</f>
        <v/>
      </c>
      <c r="F59" t="str">
        <f>IF(A59="", "", IF(B59="MAX", INDEX(SF_Data!D:D, MATCH(SF_Data!K59, SF_Data!J:J, 0)), SF_Data!D59))</f>
        <v/>
      </c>
      <c r="G59" t="str">
        <f>IF(A59="","",SF_Data!C59)</f>
        <v/>
      </c>
      <c r="H59" t="str">
        <f>IF(A59="","",SF_Data!M59)</f>
        <v/>
      </c>
      <c r="I59" t="str">
        <f t="shared" si="0"/>
        <v/>
      </c>
      <c r="J59" t="str">
        <f>IF(A59="", "", IF(COUNTIF($I$2:I59, I59)=1, "Unique", IF(AND(COUNTIF($I$2:I59, I59)&gt;1, B59="MAX"), "Duplicate", "Unique")))</f>
        <v/>
      </c>
      <c r="K59" t="str">
        <f t="shared" si="1"/>
        <v/>
      </c>
    </row>
    <row r="60" spans="1:11" x14ac:dyDescent="0.75">
      <c r="A60" t="str">
        <f>IF(SF_Data!A60="","",SF_Data!A60)</f>
        <v/>
      </c>
      <c r="B60" t="str">
        <f>IF(A60="","",SF_Data!H60)</f>
        <v/>
      </c>
      <c r="C60" t="str">
        <f>IF(A60="", "", IF(B60="MAX", INDEX(SF_Data!G:G, MATCH(SF_Data!K60, SF_Data!J:J, 0)), SF_Data!G60))</f>
        <v/>
      </c>
      <c r="D60" t="str">
        <f>IF(A60="","",IF(B60="MAX",IF(E60=0,INDEX(SF_Data!L:L,MATCH(SF_Data!K60,SF_Data!J:J,0)),INDEX(SF_Data!E:E,MATCH(SF_Data!K60,SF_Data!J:J,0))),IF(E60=0,SF_Data!L60,SF_Data!E60)))</f>
        <v/>
      </c>
      <c r="E60" t="str">
        <f>IF(A60="", "", IF(B60="MAX", INDEX(SF_Data!F:F, MATCH(SF_Data!K60, SF_Data!J:J, 0)), SF_Data!F60))</f>
        <v/>
      </c>
      <c r="F60" t="str">
        <f>IF(A60="", "", IF(B60="MAX", INDEX(SF_Data!D:D, MATCH(SF_Data!K60, SF_Data!J:J, 0)), SF_Data!D60))</f>
        <v/>
      </c>
      <c r="G60" t="str">
        <f>IF(A60="","",SF_Data!C60)</f>
        <v/>
      </c>
      <c r="H60" t="str">
        <f>IF(A60="","",SF_Data!M60)</f>
        <v/>
      </c>
      <c r="I60" t="str">
        <f t="shared" si="0"/>
        <v/>
      </c>
      <c r="J60" t="str">
        <f>IF(A60="", "", IF(COUNTIF($I$2:I60, I60)=1, "Unique", IF(AND(COUNTIF($I$2:I60, I60)&gt;1, B60="MAX"), "Duplicate", "Unique")))</f>
        <v/>
      </c>
      <c r="K60" t="str">
        <f t="shared" si="1"/>
        <v/>
      </c>
    </row>
    <row r="61" spans="1:11" x14ac:dyDescent="0.75">
      <c r="A61" t="str">
        <f>IF(SF_Data!A61="","",SF_Data!A61)</f>
        <v/>
      </c>
      <c r="B61" t="str">
        <f>IF(A61="","",SF_Data!H61)</f>
        <v/>
      </c>
      <c r="C61" t="str">
        <f>IF(A61="", "", IF(B61="MAX", INDEX(SF_Data!G:G, MATCH(SF_Data!K61, SF_Data!J:J, 0)), SF_Data!G61))</f>
        <v/>
      </c>
      <c r="D61" t="str">
        <f>IF(A61="","",IF(B61="MAX",IF(E61=0,INDEX(SF_Data!L:L,MATCH(SF_Data!K61,SF_Data!J:J,0)),INDEX(SF_Data!E:E,MATCH(SF_Data!K61,SF_Data!J:J,0))),IF(E61=0,SF_Data!L61,SF_Data!E61)))</f>
        <v/>
      </c>
      <c r="E61" t="str">
        <f>IF(A61="", "", IF(B61="MAX", INDEX(SF_Data!F:F, MATCH(SF_Data!K61, SF_Data!J:J, 0)), SF_Data!F61))</f>
        <v/>
      </c>
      <c r="F61" t="str">
        <f>IF(A61="", "", IF(B61="MAX", INDEX(SF_Data!D:D, MATCH(SF_Data!K61, SF_Data!J:J, 0)), SF_Data!D61))</f>
        <v/>
      </c>
      <c r="G61" t="str">
        <f>IF(A61="","",SF_Data!C61)</f>
        <v/>
      </c>
      <c r="H61" t="str">
        <f>IF(A61="","",SF_Data!M61)</f>
        <v/>
      </c>
      <c r="I61" t="str">
        <f t="shared" si="0"/>
        <v/>
      </c>
      <c r="J61" t="str">
        <f>IF(A61="", "", IF(COUNTIF($I$2:I61, I61)=1, "Unique", IF(AND(COUNTIF($I$2:I61, I61)&gt;1, B61="MAX"), "Duplicate", "Unique")))</f>
        <v/>
      </c>
      <c r="K61" t="str">
        <f t="shared" si="1"/>
        <v/>
      </c>
    </row>
    <row r="62" spans="1:11" x14ac:dyDescent="0.75">
      <c r="A62" t="str">
        <f>IF(SF_Data!A62="","",SF_Data!A62)</f>
        <v/>
      </c>
      <c r="B62" t="str">
        <f>IF(A62="","",SF_Data!H62)</f>
        <v/>
      </c>
      <c r="C62" t="str">
        <f>IF(A62="", "", IF(B62="MAX", INDEX(SF_Data!G:G, MATCH(SF_Data!K62, SF_Data!J:J, 0)), SF_Data!G62))</f>
        <v/>
      </c>
      <c r="D62" t="str">
        <f>IF(A62="","",IF(B62="MAX",IF(E62=0,INDEX(SF_Data!L:L,MATCH(SF_Data!K62,SF_Data!J:J,0)),INDEX(SF_Data!E:E,MATCH(SF_Data!K62,SF_Data!J:J,0))),IF(E62=0,SF_Data!L62,SF_Data!E62)))</f>
        <v/>
      </c>
      <c r="E62" t="str">
        <f>IF(A62="", "", IF(B62="MAX", INDEX(SF_Data!F:F, MATCH(SF_Data!K62, SF_Data!J:J, 0)), SF_Data!F62))</f>
        <v/>
      </c>
      <c r="F62" t="str">
        <f>IF(A62="", "", IF(B62="MAX", INDEX(SF_Data!D:D, MATCH(SF_Data!K62, SF_Data!J:J, 0)), SF_Data!D62))</f>
        <v/>
      </c>
      <c r="G62" t="str">
        <f>IF(A62="","",SF_Data!C62)</f>
        <v/>
      </c>
      <c r="H62" t="str">
        <f>IF(A62="","",SF_Data!M62)</f>
        <v/>
      </c>
      <c r="I62" t="str">
        <f t="shared" si="0"/>
        <v/>
      </c>
      <c r="J62" t="str">
        <f>IF(A62="", "", IF(COUNTIF($I$2:I62, I62)=1, "Unique", IF(AND(COUNTIF($I$2:I62, I62)&gt;1, B62="MAX"), "Duplicate", "Unique")))</f>
        <v/>
      </c>
      <c r="K62" t="str">
        <f t="shared" si="1"/>
        <v/>
      </c>
    </row>
    <row r="63" spans="1:11" x14ac:dyDescent="0.75">
      <c r="A63" t="str">
        <f>IF(SF_Data!A63="","",SF_Data!A63)</f>
        <v/>
      </c>
      <c r="B63" t="str">
        <f>IF(A63="","",SF_Data!H63)</f>
        <v/>
      </c>
      <c r="C63" t="str">
        <f>IF(A63="", "", IF(B63="MAX", INDEX(SF_Data!G:G, MATCH(SF_Data!K63, SF_Data!J:J, 0)), SF_Data!G63))</f>
        <v/>
      </c>
      <c r="D63" t="str">
        <f>IF(A63="","",IF(B63="MAX",IF(E63=0,INDEX(SF_Data!L:L,MATCH(SF_Data!K63,SF_Data!J:J,0)),INDEX(SF_Data!E:E,MATCH(SF_Data!K63,SF_Data!J:J,0))),IF(E63=0,SF_Data!L63,SF_Data!E63)))</f>
        <v/>
      </c>
      <c r="E63" t="str">
        <f>IF(A63="", "", IF(B63="MAX", INDEX(SF_Data!F:F, MATCH(SF_Data!K63, SF_Data!J:J, 0)), SF_Data!F63))</f>
        <v/>
      </c>
      <c r="F63" t="str">
        <f>IF(A63="", "", IF(B63="MAX", INDEX(SF_Data!D:D, MATCH(SF_Data!K63, SF_Data!J:J, 0)), SF_Data!D63))</f>
        <v/>
      </c>
      <c r="G63" t="str">
        <f>IF(A63="","",SF_Data!C63)</f>
        <v/>
      </c>
      <c r="H63" t="str">
        <f>IF(A63="","",SF_Data!M63)</f>
        <v/>
      </c>
      <c r="I63" t="str">
        <f t="shared" si="0"/>
        <v/>
      </c>
      <c r="J63" t="str">
        <f>IF(A63="", "", IF(COUNTIF($I$2:I63, I63)=1, "Unique", IF(AND(COUNTIF($I$2:I63, I63)&gt;1, B63="MAX"), "Duplicate", "Unique")))</f>
        <v/>
      </c>
      <c r="K63" t="str">
        <f t="shared" si="1"/>
        <v/>
      </c>
    </row>
    <row r="64" spans="1:11" x14ac:dyDescent="0.75">
      <c r="A64" t="str">
        <f>IF(SF_Data!A64="","",SF_Data!A64)</f>
        <v/>
      </c>
      <c r="B64" t="str">
        <f>IF(A64="","",SF_Data!H64)</f>
        <v/>
      </c>
      <c r="C64" t="str">
        <f>IF(A64="", "", IF(B64="MAX", INDEX(SF_Data!G:G, MATCH(SF_Data!K64, SF_Data!J:J, 0)), SF_Data!G64))</f>
        <v/>
      </c>
      <c r="D64" t="str">
        <f>IF(A64="","",IF(B64="MAX",IF(E64=0,INDEX(SF_Data!L:L,MATCH(SF_Data!K64,SF_Data!J:J,0)),INDEX(SF_Data!E:E,MATCH(SF_Data!K64,SF_Data!J:J,0))),IF(E64=0,SF_Data!L64,SF_Data!E64)))</f>
        <v/>
      </c>
      <c r="E64" t="str">
        <f>IF(A64="", "", IF(B64="MAX", INDEX(SF_Data!F:F, MATCH(SF_Data!K64, SF_Data!J:J, 0)), SF_Data!F64))</f>
        <v/>
      </c>
      <c r="F64" t="str">
        <f>IF(A64="", "", IF(B64="MAX", INDEX(SF_Data!D:D, MATCH(SF_Data!K64, SF_Data!J:J, 0)), SF_Data!D64))</f>
        <v/>
      </c>
      <c r="G64" t="str">
        <f>IF(A64="","",SF_Data!C64)</f>
        <v/>
      </c>
      <c r="H64" t="str">
        <f>IF(A64="","",SF_Data!M64)</f>
        <v/>
      </c>
      <c r="I64" t="str">
        <f t="shared" si="0"/>
        <v/>
      </c>
      <c r="J64" t="str">
        <f>IF(A64="", "", IF(COUNTIF($I$2:I64, I64)=1, "Unique", IF(AND(COUNTIF($I$2:I64, I64)&gt;1, B64="MAX"), "Duplicate", "Unique")))</f>
        <v/>
      </c>
      <c r="K64" t="str">
        <f t="shared" si="1"/>
        <v/>
      </c>
    </row>
    <row r="65" spans="1:11" x14ac:dyDescent="0.75">
      <c r="A65" t="str">
        <f>IF(SF_Data!A65="","",SF_Data!A65)</f>
        <v/>
      </c>
      <c r="B65" t="str">
        <f>IF(A65="","",SF_Data!H65)</f>
        <v/>
      </c>
      <c r="C65" t="str">
        <f>IF(A65="", "", IF(B65="MAX", INDEX(SF_Data!G:G, MATCH(SF_Data!K65, SF_Data!J:J, 0)), SF_Data!G65))</f>
        <v/>
      </c>
      <c r="D65" t="str">
        <f>IF(A65="","",IF(B65="MAX",IF(E65=0,INDEX(SF_Data!L:L,MATCH(SF_Data!K65,SF_Data!J:J,0)),INDEX(SF_Data!E:E,MATCH(SF_Data!K65,SF_Data!J:J,0))),IF(E65=0,SF_Data!L65,SF_Data!E65)))</f>
        <v/>
      </c>
      <c r="E65" t="str">
        <f>IF(A65="", "", IF(B65="MAX", INDEX(SF_Data!F:F, MATCH(SF_Data!K65, SF_Data!J:J, 0)), SF_Data!F65))</f>
        <v/>
      </c>
      <c r="F65" t="str">
        <f>IF(A65="", "", IF(B65="MAX", INDEX(SF_Data!D:D, MATCH(SF_Data!K65, SF_Data!J:J, 0)), SF_Data!D65))</f>
        <v/>
      </c>
      <c r="G65" t="str">
        <f>IF(A65="","",SF_Data!C65)</f>
        <v/>
      </c>
      <c r="H65" t="str">
        <f>IF(A65="","",SF_Data!M65)</f>
        <v/>
      </c>
      <c r="I65" t="str">
        <f t="shared" si="0"/>
        <v/>
      </c>
      <c r="J65" t="str">
        <f>IF(A65="", "", IF(COUNTIF($I$2:I65, I65)=1, "Unique", IF(AND(COUNTIF($I$2:I65, I65)&gt;1, B65="MAX"), "Duplicate", "Unique")))</f>
        <v/>
      </c>
      <c r="K65" t="str">
        <f t="shared" si="1"/>
        <v/>
      </c>
    </row>
    <row r="66" spans="1:11" x14ac:dyDescent="0.75">
      <c r="A66" t="str">
        <f>IF(SF_Data!A66="","",SF_Data!A66)</f>
        <v/>
      </c>
      <c r="B66" t="str">
        <f>IF(A66="","",SF_Data!H66)</f>
        <v/>
      </c>
      <c r="C66" t="str">
        <f>IF(A66="", "", IF(B66="MAX", INDEX(SF_Data!G:G, MATCH(SF_Data!K66, SF_Data!J:J, 0)), SF_Data!G66))</f>
        <v/>
      </c>
      <c r="D66" t="str">
        <f>IF(A66="","",IF(B66="MAX",IF(E66=0,INDEX(SF_Data!L:L,MATCH(SF_Data!K66,SF_Data!J:J,0)),INDEX(SF_Data!E:E,MATCH(SF_Data!K66,SF_Data!J:J,0))),IF(E66=0,SF_Data!L66,SF_Data!E66)))</f>
        <v/>
      </c>
      <c r="E66" t="str">
        <f>IF(A66="", "", IF(B66="MAX", INDEX(SF_Data!F:F, MATCH(SF_Data!K66, SF_Data!J:J, 0)), SF_Data!F66))</f>
        <v/>
      </c>
      <c r="F66" t="str">
        <f>IF(A66="", "", IF(B66="MAX", INDEX(SF_Data!D:D, MATCH(SF_Data!K66, SF_Data!J:J, 0)), SF_Data!D66))</f>
        <v/>
      </c>
      <c r="G66" t="str">
        <f>IF(A66="","",SF_Data!C66)</f>
        <v/>
      </c>
      <c r="H66" t="str">
        <f>IF(A66="","",SF_Data!M66)</f>
        <v/>
      </c>
      <c r="I66" t="str">
        <f t="shared" si="0"/>
        <v/>
      </c>
      <c r="J66" t="str">
        <f>IF(A66="", "", IF(COUNTIF($I$2:I66, I66)=1, "Unique", IF(AND(COUNTIF($I$2:I66, I66)&gt;1, B66="MAX"), "Duplicate", "Unique")))</f>
        <v/>
      </c>
      <c r="K66" t="str">
        <f t="shared" si="1"/>
        <v/>
      </c>
    </row>
    <row r="67" spans="1:11" x14ac:dyDescent="0.75">
      <c r="A67" t="str">
        <f>IF(SF_Data!A67="","",SF_Data!A67)</f>
        <v/>
      </c>
      <c r="B67" t="str">
        <f>IF(A67="","",SF_Data!H67)</f>
        <v/>
      </c>
      <c r="C67" t="str">
        <f>IF(A67="", "", IF(B67="MAX", INDEX(SF_Data!G:G, MATCH(SF_Data!K67, SF_Data!J:J, 0)), SF_Data!G67))</f>
        <v/>
      </c>
      <c r="D67" t="str">
        <f>IF(A67="","",IF(B67="MAX",IF(E67=0,INDEX(SF_Data!L:L,MATCH(SF_Data!K67,SF_Data!J:J,0)),INDEX(SF_Data!E:E,MATCH(SF_Data!K67,SF_Data!J:J,0))),IF(E67=0,SF_Data!L67,SF_Data!E67)))</f>
        <v/>
      </c>
      <c r="E67" t="str">
        <f>IF(A67="", "", IF(B67="MAX", INDEX(SF_Data!F:F, MATCH(SF_Data!K67, SF_Data!J:J, 0)), SF_Data!F67))</f>
        <v/>
      </c>
      <c r="F67" t="str">
        <f>IF(A67="", "", IF(B67="MAX", INDEX(SF_Data!D:D, MATCH(SF_Data!K67, SF_Data!J:J, 0)), SF_Data!D67))</f>
        <v/>
      </c>
      <c r="G67" t="str">
        <f>IF(A67="","",SF_Data!C67)</f>
        <v/>
      </c>
      <c r="H67" t="str">
        <f>IF(A67="","",SF_Data!M67)</f>
        <v/>
      </c>
      <c r="I67" t="str">
        <f t="shared" ref="I67:I100" si="2">IF(A67="", "", TEXT(A67,"@")&amp;"|"&amp;TEXT(B67,"@")&amp;"|"&amp;TEXT(C67,"@")&amp;"|"&amp;TEXT(D67,"@")&amp;"|"&amp;TEXT(E67,"@")&amp;"|"&amp;TEXT(F67,"@")&amp;"|"&amp;TEXT(G67,"@")&amp;"|"&amp;TEXT(H67,"@"))</f>
        <v/>
      </c>
      <c r="J67" t="str">
        <f>IF(A67="", "", IF(COUNTIF($I$2:I67, I67)=1, "Unique", IF(AND(COUNTIF($I$2:I67, I67)&gt;1, B67="MAX"), "Duplicate", "Unique")))</f>
        <v/>
      </c>
      <c r="K67" t="str">
        <f t="shared" ref="K67:K100" si="3">IF(J67="Unique", ROW(), "")</f>
        <v/>
      </c>
    </row>
    <row r="68" spans="1:11" x14ac:dyDescent="0.75">
      <c r="A68" t="str">
        <f>IF(SF_Data!A68="","",SF_Data!A68)</f>
        <v/>
      </c>
      <c r="B68" t="str">
        <f>IF(A68="","",SF_Data!H68)</f>
        <v/>
      </c>
      <c r="C68" t="str">
        <f>IF(A68="", "", IF(B68="MAX", INDEX(SF_Data!G:G, MATCH(SF_Data!K68, SF_Data!J:J, 0)), SF_Data!G68))</f>
        <v/>
      </c>
      <c r="D68" t="str">
        <f>IF(A68="","",IF(B68="MAX",IF(E68=0,INDEX(SF_Data!L:L,MATCH(SF_Data!K68,SF_Data!J:J,0)),INDEX(SF_Data!E:E,MATCH(SF_Data!K68,SF_Data!J:J,0))),IF(E68=0,SF_Data!L68,SF_Data!E68)))</f>
        <v/>
      </c>
      <c r="E68" t="str">
        <f>IF(A68="", "", IF(B68="MAX", INDEX(SF_Data!F:F, MATCH(SF_Data!K68, SF_Data!J:J, 0)), SF_Data!F68))</f>
        <v/>
      </c>
      <c r="F68" t="str">
        <f>IF(A68="", "", IF(B68="MAX", INDEX(SF_Data!D:D, MATCH(SF_Data!K68, SF_Data!J:J, 0)), SF_Data!D68))</f>
        <v/>
      </c>
      <c r="G68" t="str">
        <f>IF(A68="","",SF_Data!C68)</f>
        <v/>
      </c>
      <c r="H68" t="str">
        <f>IF(A68="","",SF_Data!M68)</f>
        <v/>
      </c>
      <c r="I68" t="str">
        <f t="shared" si="2"/>
        <v/>
      </c>
      <c r="J68" t="str">
        <f>IF(A68="", "", IF(COUNTIF($I$2:I68, I68)=1, "Unique", IF(AND(COUNTIF($I$2:I68, I68)&gt;1, B68="MAX"), "Duplicate", "Unique")))</f>
        <v/>
      </c>
      <c r="K68" t="str">
        <f t="shared" si="3"/>
        <v/>
      </c>
    </row>
    <row r="69" spans="1:11" x14ac:dyDescent="0.75">
      <c r="A69" t="str">
        <f>IF(SF_Data!A69="","",SF_Data!A69)</f>
        <v/>
      </c>
      <c r="B69" t="str">
        <f>IF(A69="","",SF_Data!H69)</f>
        <v/>
      </c>
      <c r="C69" t="str">
        <f>IF(A69="", "", IF(B69="MAX", INDEX(SF_Data!G:G, MATCH(SF_Data!K69, SF_Data!J:J, 0)), SF_Data!G69))</f>
        <v/>
      </c>
      <c r="D69" t="str">
        <f>IF(A69="","",IF(B69="MAX",IF(E69=0,INDEX(SF_Data!L:L,MATCH(SF_Data!K69,SF_Data!J:J,0)),INDEX(SF_Data!E:E,MATCH(SF_Data!K69,SF_Data!J:J,0))),IF(E69=0,SF_Data!L69,SF_Data!E69)))</f>
        <v/>
      </c>
      <c r="E69" t="str">
        <f>IF(A69="", "", IF(B69="MAX", INDEX(SF_Data!F:F, MATCH(SF_Data!K69, SF_Data!J:J, 0)), SF_Data!F69))</f>
        <v/>
      </c>
      <c r="F69" t="str">
        <f>IF(A69="", "", IF(B69="MAX", INDEX(SF_Data!D:D, MATCH(SF_Data!K69, SF_Data!J:J, 0)), SF_Data!D69))</f>
        <v/>
      </c>
      <c r="G69" t="str">
        <f>IF(A69="","",SF_Data!C69)</f>
        <v/>
      </c>
      <c r="H69" t="str">
        <f>IF(A69="","",SF_Data!M69)</f>
        <v/>
      </c>
      <c r="I69" t="str">
        <f t="shared" si="2"/>
        <v/>
      </c>
      <c r="J69" t="str">
        <f>IF(A69="", "", IF(COUNTIF($I$2:I69, I69)=1, "Unique", IF(AND(COUNTIF($I$2:I69, I69)&gt;1, B69="MAX"), "Duplicate", "Unique")))</f>
        <v/>
      </c>
      <c r="K69" t="str">
        <f t="shared" si="3"/>
        <v/>
      </c>
    </row>
    <row r="70" spans="1:11" x14ac:dyDescent="0.75">
      <c r="A70" t="str">
        <f>IF(SF_Data!A70="","",SF_Data!A70)</f>
        <v/>
      </c>
      <c r="B70" t="str">
        <f>IF(A70="","",SF_Data!H70)</f>
        <v/>
      </c>
      <c r="C70" t="str">
        <f>IF(A70="", "", IF(B70="MAX", INDEX(SF_Data!G:G, MATCH(SF_Data!K70, SF_Data!J:J, 0)), SF_Data!G70))</f>
        <v/>
      </c>
      <c r="D70" t="str">
        <f>IF(A70="","",IF(B70="MAX",IF(E70=0,INDEX(SF_Data!L:L,MATCH(SF_Data!K70,SF_Data!J:J,0)),INDEX(SF_Data!E:E,MATCH(SF_Data!K70,SF_Data!J:J,0))),IF(E70=0,SF_Data!L70,SF_Data!E70)))</f>
        <v/>
      </c>
      <c r="E70" t="str">
        <f>IF(A70="", "", IF(B70="MAX", INDEX(SF_Data!F:F, MATCH(SF_Data!K70, SF_Data!J:J, 0)), SF_Data!F70))</f>
        <v/>
      </c>
      <c r="F70" t="str">
        <f>IF(A70="", "", IF(B70="MAX", INDEX(SF_Data!D:D, MATCH(SF_Data!K70, SF_Data!J:J, 0)), SF_Data!D70))</f>
        <v/>
      </c>
      <c r="G70" t="str">
        <f>IF(A70="","",SF_Data!C70)</f>
        <v/>
      </c>
      <c r="H70" t="str">
        <f>IF(A70="","",SF_Data!M70)</f>
        <v/>
      </c>
      <c r="I70" t="str">
        <f t="shared" si="2"/>
        <v/>
      </c>
      <c r="J70" t="str">
        <f>IF(A70="", "", IF(COUNTIF($I$2:I70, I70)=1, "Unique", IF(AND(COUNTIF($I$2:I70, I70)&gt;1, B70="MAX"), "Duplicate", "Unique")))</f>
        <v/>
      </c>
      <c r="K70" t="str">
        <f t="shared" si="3"/>
        <v/>
      </c>
    </row>
    <row r="71" spans="1:11" x14ac:dyDescent="0.75">
      <c r="A71" t="str">
        <f>IF(SF_Data!A71="","",SF_Data!A71)</f>
        <v/>
      </c>
      <c r="B71" t="str">
        <f>IF(A71="","",SF_Data!H71)</f>
        <v/>
      </c>
      <c r="C71" t="str">
        <f>IF(A71="", "", IF(B71="MAX", INDEX(SF_Data!G:G, MATCH(SF_Data!K71, SF_Data!J:J, 0)), SF_Data!G71))</f>
        <v/>
      </c>
      <c r="D71" t="str">
        <f>IF(A71="","",IF(B71="MAX",IF(E71=0,INDEX(SF_Data!L:L,MATCH(SF_Data!K71,SF_Data!J:J,0)),INDEX(SF_Data!E:E,MATCH(SF_Data!K71,SF_Data!J:J,0))),IF(E71=0,SF_Data!L71,SF_Data!E71)))</f>
        <v/>
      </c>
      <c r="E71" t="str">
        <f>IF(A71="", "", IF(B71="MAX", INDEX(SF_Data!F:F, MATCH(SF_Data!K71, SF_Data!J:J, 0)), SF_Data!F71))</f>
        <v/>
      </c>
      <c r="F71" t="str">
        <f>IF(A71="", "", IF(B71="MAX", INDEX(SF_Data!D:D, MATCH(SF_Data!K71, SF_Data!J:J, 0)), SF_Data!D71))</f>
        <v/>
      </c>
      <c r="G71" t="str">
        <f>IF(A71="","",SF_Data!C71)</f>
        <v/>
      </c>
      <c r="H71" t="str">
        <f>IF(A71="","",SF_Data!M71)</f>
        <v/>
      </c>
      <c r="I71" t="str">
        <f t="shared" si="2"/>
        <v/>
      </c>
      <c r="J71" t="str">
        <f>IF(A71="", "", IF(COUNTIF($I$2:I71, I71)=1, "Unique", IF(AND(COUNTIF($I$2:I71, I71)&gt;1, B71="MAX"), "Duplicate", "Unique")))</f>
        <v/>
      </c>
      <c r="K71" t="str">
        <f t="shared" si="3"/>
        <v/>
      </c>
    </row>
    <row r="72" spans="1:11" x14ac:dyDescent="0.75">
      <c r="A72" t="str">
        <f>IF(SF_Data!A72="","",SF_Data!A72)</f>
        <v/>
      </c>
      <c r="B72" t="str">
        <f>IF(A72="","",SF_Data!H72)</f>
        <v/>
      </c>
      <c r="C72" t="str">
        <f>IF(A72="", "", IF(B72="MAX", INDEX(SF_Data!G:G, MATCH(SF_Data!K72, SF_Data!J:J, 0)), SF_Data!G72))</f>
        <v/>
      </c>
      <c r="D72" t="str">
        <f>IF(A72="","",IF(B72="MAX",IF(E72=0,INDEX(SF_Data!L:L,MATCH(SF_Data!K72,SF_Data!J:J,0)),INDEX(SF_Data!E:E,MATCH(SF_Data!K72,SF_Data!J:J,0))),IF(E72=0,SF_Data!L72,SF_Data!E72)))</f>
        <v/>
      </c>
      <c r="E72" t="str">
        <f>IF(A72="", "", IF(B72="MAX", INDEX(SF_Data!F:F, MATCH(SF_Data!K72, SF_Data!J:J, 0)), SF_Data!F72))</f>
        <v/>
      </c>
      <c r="F72" t="str">
        <f>IF(A72="", "", IF(B72="MAX", INDEX(SF_Data!D:D, MATCH(SF_Data!K72, SF_Data!J:J, 0)), SF_Data!D72))</f>
        <v/>
      </c>
      <c r="G72" t="str">
        <f>IF(A72="","",SF_Data!C72)</f>
        <v/>
      </c>
      <c r="H72" t="str">
        <f>IF(A72="","",SF_Data!M72)</f>
        <v/>
      </c>
      <c r="I72" t="str">
        <f t="shared" si="2"/>
        <v/>
      </c>
      <c r="J72" t="str">
        <f>IF(A72="", "", IF(COUNTIF($I$2:I72, I72)=1, "Unique", IF(AND(COUNTIF($I$2:I72, I72)&gt;1, B72="MAX"), "Duplicate", "Unique")))</f>
        <v/>
      </c>
      <c r="K72" t="str">
        <f t="shared" si="3"/>
        <v/>
      </c>
    </row>
    <row r="73" spans="1:11" x14ac:dyDescent="0.75">
      <c r="A73" t="str">
        <f>IF(SF_Data!A73="","",SF_Data!A73)</f>
        <v/>
      </c>
      <c r="B73" t="str">
        <f>IF(A73="","",SF_Data!H73)</f>
        <v/>
      </c>
      <c r="C73" t="str">
        <f>IF(A73="", "", IF(B73="MAX", INDEX(SF_Data!G:G, MATCH(SF_Data!K73, SF_Data!J:J, 0)), SF_Data!G73))</f>
        <v/>
      </c>
      <c r="D73" t="str">
        <f>IF(A73="","",IF(B73="MAX",IF(E73=0,INDEX(SF_Data!L:L,MATCH(SF_Data!K73,SF_Data!J:J,0)),INDEX(SF_Data!E:E,MATCH(SF_Data!K73,SF_Data!J:J,0))),IF(E73=0,SF_Data!L73,SF_Data!E73)))</f>
        <v/>
      </c>
      <c r="E73" t="str">
        <f>IF(A73="", "", IF(B73="MAX", INDEX(SF_Data!F:F, MATCH(SF_Data!K73, SF_Data!J:J, 0)), SF_Data!F73))</f>
        <v/>
      </c>
      <c r="F73" t="str">
        <f>IF(A73="", "", IF(B73="MAX", INDEX(SF_Data!D:D, MATCH(SF_Data!K73, SF_Data!J:J, 0)), SF_Data!D73))</f>
        <v/>
      </c>
      <c r="G73" t="str">
        <f>IF(A73="","",SF_Data!C73)</f>
        <v/>
      </c>
      <c r="H73" t="str">
        <f>IF(A73="","",SF_Data!M73)</f>
        <v/>
      </c>
      <c r="I73" t="str">
        <f t="shared" si="2"/>
        <v/>
      </c>
      <c r="J73" t="str">
        <f>IF(A73="", "", IF(COUNTIF($I$2:I73, I73)=1, "Unique", IF(AND(COUNTIF($I$2:I73, I73)&gt;1, B73="MAX"), "Duplicate", "Unique")))</f>
        <v/>
      </c>
      <c r="K73" t="str">
        <f t="shared" si="3"/>
        <v/>
      </c>
    </row>
    <row r="74" spans="1:11" x14ac:dyDescent="0.75">
      <c r="A74" t="str">
        <f>IF(SF_Data!A74="","",SF_Data!A74)</f>
        <v/>
      </c>
      <c r="B74" t="str">
        <f>IF(A74="","",SF_Data!H74)</f>
        <v/>
      </c>
      <c r="C74" t="str">
        <f>IF(A74="", "", IF(B74="MAX", INDEX(SF_Data!G:G, MATCH(SF_Data!K74, SF_Data!J:J, 0)), SF_Data!G74))</f>
        <v/>
      </c>
      <c r="D74" t="str">
        <f>IF(A74="","",IF(B74="MAX",IF(E74=0,INDEX(SF_Data!L:L,MATCH(SF_Data!K74,SF_Data!J:J,0)),INDEX(SF_Data!E:E,MATCH(SF_Data!K74,SF_Data!J:J,0))),IF(E74=0,SF_Data!L74,SF_Data!E74)))</f>
        <v/>
      </c>
      <c r="E74" t="str">
        <f>IF(A74="", "", IF(B74="MAX", INDEX(SF_Data!F:F, MATCH(SF_Data!K74, SF_Data!J:J, 0)), SF_Data!F74))</f>
        <v/>
      </c>
      <c r="F74" t="str">
        <f>IF(A74="", "", IF(B74="MAX", INDEX(SF_Data!D:D, MATCH(SF_Data!K74, SF_Data!J:J, 0)), SF_Data!D74))</f>
        <v/>
      </c>
      <c r="G74" t="str">
        <f>IF(A74="","",SF_Data!C74)</f>
        <v/>
      </c>
      <c r="H74" t="str">
        <f>IF(A74="","",SF_Data!M74)</f>
        <v/>
      </c>
      <c r="I74" t="str">
        <f t="shared" si="2"/>
        <v/>
      </c>
      <c r="J74" t="str">
        <f>IF(A74="", "", IF(COUNTIF($I$2:I74, I74)=1, "Unique", IF(AND(COUNTIF($I$2:I74, I74)&gt;1, B74="MAX"), "Duplicate", "Unique")))</f>
        <v/>
      </c>
      <c r="K74" t="str">
        <f t="shared" si="3"/>
        <v/>
      </c>
    </row>
    <row r="75" spans="1:11" x14ac:dyDescent="0.75">
      <c r="A75" t="str">
        <f>IF(SF_Data!A75="","",SF_Data!A75)</f>
        <v/>
      </c>
      <c r="B75" t="str">
        <f>IF(A75="","",SF_Data!H75)</f>
        <v/>
      </c>
      <c r="C75" t="str">
        <f>IF(A75="", "", IF(B75="MAX", INDEX(SF_Data!G:G, MATCH(SF_Data!K75, SF_Data!J:J, 0)), SF_Data!G75))</f>
        <v/>
      </c>
      <c r="D75" t="str">
        <f>IF(A75="","",IF(B75="MAX",IF(E75=0,INDEX(SF_Data!L:L,MATCH(SF_Data!K75,SF_Data!J:J,0)),INDEX(SF_Data!E:E,MATCH(SF_Data!K75,SF_Data!J:J,0))),IF(E75=0,SF_Data!L75,SF_Data!E75)))</f>
        <v/>
      </c>
      <c r="E75" t="str">
        <f>IF(A75="", "", IF(B75="MAX", INDEX(SF_Data!F:F, MATCH(SF_Data!K75, SF_Data!J:J, 0)), SF_Data!F75))</f>
        <v/>
      </c>
      <c r="F75" t="str">
        <f>IF(A75="", "", IF(B75="MAX", INDEX(SF_Data!D:D, MATCH(SF_Data!K75, SF_Data!J:J, 0)), SF_Data!D75))</f>
        <v/>
      </c>
      <c r="G75" t="str">
        <f>IF(A75="","",SF_Data!C75)</f>
        <v/>
      </c>
      <c r="H75" t="str">
        <f>IF(A75="","",SF_Data!M75)</f>
        <v/>
      </c>
      <c r="I75" t="str">
        <f t="shared" si="2"/>
        <v/>
      </c>
      <c r="J75" t="str">
        <f>IF(A75="", "", IF(COUNTIF($I$2:I75, I75)=1, "Unique", IF(AND(COUNTIF($I$2:I75, I75)&gt;1, B75="MAX"), "Duplicate", "Unique")))</f>
        <v/>
      </c>
      <c r="K75" t="str">
        <f t="shared" si="3"/>
        <v/>
      </c>
    </row>
    <row r="76" spans="1:11" x14ac:dyDescent="0.75">
      <c r="A76" t="str">
        <f>IF(SF_Data!A76="","",SF_Data!A76)</f>
        <v/>
      </c>
      <c r="B76" t="str">
        <f>IF(A76="","",SF_Data!H76)</f>
        <v/>
      </c>
      <c r="C76" t="str">
        <f>IF(A76="", "", IF(B76="MAX", INDEX(SF_Data!G:G, MATCH(SF_Data!K76, SF_Data!J:J, 0)), SF_Data!G76))</f>
        <v/>
      </c>
      <c r="D76" t="str">
        <f>IF(A76="","",IF(B76="MAX",IF(E76=0,INDEX(SF_Data!L:L,MATCH(SF_Data!K76,SF_Data!J:J,0)),INDEX(SF_Data!E:E,MATCH(SF_Data!K76,SF_Data!J:J,0))),IF(E76=0,SF_Data!L76,SF_Data!E76)))</f>
        <v/>
      </c>
      <c r="E76" t="str">
        <f>IF(A76="", "", IF(B76="MAX", INDEX(SF_Data!F:F, MATCH(SF_Data!K76, SF_Data!J:J, 0)), SF_Data!F76))</f>
        <v/>
      </c>
      <c r="F76" t="str">
        <f>IF(A76="", "", IF(B76="MAX", INDEX(SF_Data!D:D, MATCH(SF_Data!K76, SF_Data!J:J, 0)), SF_Data!D76))</f>
        <v/>
      </c>
      <c r="G76" t="str">
        <f>IF(A76="","",SF_Data!C76)</f>
        <v/>
      </c>
      <c r="H76" t="str">
        <f>IF(A76="","",SF_Data!M76)</f>
        <v/>
      </c>
      <c r="I76" t="str">
        <f t="shared" si="2"/>
        <v/>
      </c>
      <c r="J76" t="str">
        <f>IF(A76="", "", IF(COUNTIF($I$2:I76, I76)=1, "Unique", IF(AND(COUNTIF($I$2:I76, I76)&gt;1, B76="MAX"), "Duplicate", "Unique")))</f>
        <v/>
      </c>
      <c r="K76" t="str">
        <f t="shared" si="3"/>
        <v/>
      </c>
    </row>
    <row r="77" spans="1:11" x14ac:dyDescent="0.75">
      <c r="A77" t="str">
        <f>IF(SF_Data!A77="","",SF_Data!A77)</f>
        <v/>
      </c>
      <c r="B77" t="str">
        <f>IF(A77="","",SF_Data!H77)</f>
        <v/>
      </c>
      <c r="C77" t="str">
        <f>IF(A77="", "", IF(B77="MAX", INDEX(SF_Data!G:G, MATCH(SF_Data!K77, SF_Data!J:J, 0)), SF_Data!G77))</f>
        <v/>
      </c>
      <c r="D77" t="str">
        <f>IF(A77="","",IF(B77="MAX",IF(E77=0,INDEX(SF_Data!L:L,MATCH(SF_Data!K77,SF_Data!J:J,0)),INDEX(SF_Data!E:E,MATCH(SF_Data!K77,SF_Data!J:J,0))),IF(E77=0,SF_Data!L77,SF_Data!E77)))</f>
        <v/>
      </c>
      <c r="E77" t="str">
        <f>IF(A77="", "", IF(B77="MAX", INDEX(SF_Data!F:F, MATCH(SF_Data!K77, SF_Data!J:J, 0)), SF_Data!F77))</f>
        <v/>
      </c>
      <c r="F77" t="str">
        <f>IF(A77="", "", IF(B77="MAX", INDEX(SF_Data!D:D, MATCH(SF_Data!K77, SF_Data!J:J, 0)), SF_Data!D77))</f>
        <v/>
      </c>
      <c r="G77" t="str">
        <f>IF(A77="","",SF_Data!C77)</f>
        <v/>
      </c>
      <c r="H77" t="str">
        <f>IF(A77="","",SF_Data!M77)</f>
        <v/>
      </c>
      <c r="I77" t="str">
        <f t="shared" si="2"/>
        <v/>
      </c>
      <c r="J77" t="str">
        <f>IF(A77="", "", IF(COUNTIF($I$2:I77, I77)=1, "Unique", IF(AND(COUNTIF($I$2:I77, I77)&gt;1, B77="MAX"), "Duplicate", "Unique")))</f>
        <v/>
      </c>
      <c r="K77" t="str">
        <f t="shared" si="3"/>
        <v/>
      </c>
    </row>
    <row r="78" spans="1:11" x14ac:dyDescent="0.75">
      <c r="A78" t="str">
        <f>IF(SF_Data!A78="","",SF_Data!A78)</f>
        <v/>
      </c>
      <c r="B78" t="str">
        <f>IF(A78="","",SF_Data!H78)</f>
        <v/>
      </c>
      <c r="C78" t="str">
        <f>IF(A78="", "", IF(B78="MAX", INDEX(SF_Data!G:G, MATCH(SF_Data!K78, SF_Data!J:J, 0)), SF_Data!G78))</f>
        <v/>
      </c>
      <c r="D78" t="str">
        <f>IF(A78="","",IF(B78="MAX",IF(E78=0,INDEX(SF_Data!L:L,MATCH(SF_Data!K78,SF_Data!J:J,0)),INDEX(SF_Data!E:E,MATCH(SF_Data!K78,SF_Data!J:J,0))),IF(E78=0,SF_Data!L78,SF_Data!E78)))</f>
        <v/>
      </c>
      <c r="E78" t="str">
        <f>IF(A78="", "", IF(B78="MAX", INDEX(SF_Data!F:F, MATCH(SF_Data!K78, SF_Data!J:J, 0)), SF_Data!F78))</f>
        <v/>
      </c>
      <c r="F78" t="str">
        <f>IF(A78="", "", IF(B78="MAX", INDEX(SF_Data!D:D, MATCH(SF_Data!K78, SF_Data!J:J, 0)), SF_Data!D78))</f>
        <v/>
      </c>
      <c r="G78" t="str">
        <f>IF(A78="","",SF_Data!C78)</f>
        <v/>
      </c>
      <c r="H78" t="str">
        <f>IF(A78="","",SF_Data!M78)</f>
        <v/>
      </c>
      <c r="I78" t="str">
        <f t="shared" si="2"/>
        <v/>
      </c>
      <c r="J78" t="str">
        <f>IF(A78="", "", IF(COUNTIF($I$2:I78, I78)=1, "Unique", IF(AND(COUNTIF($I$2:I78, I78)&gt;1, B78="MAX"), "Duplicate", "Unique")))</f>
        <v/>
      </c>
      <c r="K78" t="str">
        <f t="shared" si="3"/>
        <v/>
      </c>
    </row>
    <row r="79" spans="1:11" x14ac:dyDescent="0.75">
      <c r="A79" t="str">
        <f>IF(SF_Data!A79="","",SF_Data!A79)</f>
        <v/>
      </c>
      <c r="B79" t="str">
        <f>IF(A79="","",SF_Data!H79)</f>
        <v/>
      </c>
      <c r="C79" t="str">
        <f>IF(A79="", "", IF(B79="MAX", INDEX(SF_Data!G:G, MATCH(SF_Data!K79, SF_Data!J:J, 0)), SF_Data!G79))</f>
        <v/>
      </c>
      <c r="D79" t="str">
        <f>IF(A79="","",IF(B79="MAX",IF(E79=0,INDEX(SF_Data!L:L,MATCH(SF_Data!K79,SF_Data!J:J,0)),INDEX(SF_Data!E:E,MATCH(SF_Data!K79,SF_Data!J:J,0))),IF(E79=0,SF_Data!L79,SF_Data!E79)))</f>
        <v/>
      </c>
      <c r="E79" t="str">
        <f>IF(A79="", "", IF(B79="MAX", INDEX(SF_Data!F:F, MATCH(SF_Data!K79, SF_Data!J:J, 0)), SF_Data!F79))</f>
        <v/>
      </c>
      <c r="F79" t="str">
        <f>IF(A79="", "", IF(B79="MAX", INDEX(SF_Data!D:D, MATCH(SF_Data!K79, SF_Data!J:J, 0)), SF_Data!D79))</f>
        <v/>
      </c>
      <c r="G79" t="str">
        <f>IF(A79="","",SF_Data!C79)</f>
        <v/>
      </c>
      <c r="H79" t="str">
        <f>IF(A79="","",SF_Data!M79)</f>
        <v/>
      </c>
      <c r="I79" t="str">
        <f t="shared" si="2"/>
        <v/>
      </c>
      <c r="J79" t="str">
        <f>IF(A79="", "", IF(COUNTIF($I$2:I79, I79)=1, "Unique", IF(AND(COUNTIF($I$2:I79, I79)&gt;1, B79="MAX"), "Duplicate", "Unique")))</f>
        <v/>
      </c>
      <c r="K79" t="str">
        <f t="shared" si="3"/>
        <v/>
      </c>
    </row>
    <row r="80" spans="1:11" x14ac:dyDescent="0.75">
      <c r="A80" t="str">
        <f>IF(SF_Data!A80="","",SF_Data!A80)</f>
        <v/>
      </c>
      <c r="B80" t="str">
        <f>IF(A80="","",SF_Data!H80)</f>
        <v/>
      </c>
      <c r="C80" t="str">
        <f>IF(A80="", "", IF(B80="MAX", INDEX(SF_Data!G:G, MATCH(SF_Data!K80, SF_Data!J:J, 0)), SF_Data!G80))</f>
        <v/>
      </c>
      <c r="D80" t="str">
        <f>IF(A80="","",IF(B80="MAX",IF(E80=0,INDEX(SF_Data!L:L,MATCH(SF_Data!K80,SF_Data!J:J,0)),INDEX(SF_Data!E:E,MATCH(SF_Data!K80,SF_Data!J:J,0))),IF(E80=0,SF_Data!L80,SF_Data!E80)))</f>
        <v/>
      </c>
      <c r="E80" t="str">
        <f>IF(A80="", "", IF(B80="MAX", INDEX(SF_Data!F:F, MATCH(SF_Data!K80, SF_Data!J:J, 0)), SF_Data!F80))</f>
        <v/>
      </c>
      <c r="F80" t="str">
        <f>IF(A80="", "", IF(B80="MAX", INDEX(SF_Data!D:D, MATCH(SF_Data!K80, SF_Data!J:J, 0)), SF_Data!D80))</f>
        <v/>
      </c>
      <c r="G80" t="str">
        <f>IF(A80="","",SF_Data!C80)</f>
        <v/>
      </c>
      <c r="H80" t="str">
        <f>IF(A80="","",SF_Data!M80)</f>
        <v/>
      </c>
      <c r="I80" t="str">
        <f t="shared" si="2"/>
        <v/>
      </c>
      <c r="J80" t="str">
        <f>IF(A80="", "", IF(COUNTIF($I$2:I80, I80)=1, "Unique", IF(AND(COUNTIF($I$2:I80, I80)&gt;1, B80="MAX"), "Duplicate", "Unique")))</f>
        <v/>
      </c>
      <c r="K80" t="str">
        <f t="shared" si="3"/>
        <v/>
      </c>
    </row>
    <row r="81" spans="1:11" x14ac:dyDescent="0.75">
      <c r="A81" t="str">
        <f>IF(SF_Data!A81="","",SF_Data!A81)</f>
        <v/>
      </c>
      <c r="B81" t="str">
        <f>IF(A81="","",SF_Data!H81)</f>
        <v/>
      </c>
      <c r="C81" t="str">
        <f>IF(A81="", "", IF(B81="MAX", INDEX(SF_Data!G:G, MATCH(SF_Data!K81, SF_Data!J:J, 0)), SF_Data!G81))</f>
        <v/>
      </c>
      <c r="D81" t="str">
        <f>IF(A81="","",IF(B81="MAX",IF(E81=0,INDEX(SF_Data!L:L,MATCH(SF_Data!K81,SF_Data!J:J,0)),INDEX(SF_Data!E:E,MATCH(SF_Data!K81,SF_Data!J:J,0))),IF(E81=0,SF_Data!L81,SF_Data!E81)))</f>
        <v/>
      </c>
      <c r="E81" t="str">
        <f>IF(A81="", "", IF(B81="MAX", INDEX(SF_Data!F:F, MATCH(SF_Data!K81, SF_Data!J:J, 0)), SF_Data!F81))</f>
        <v/>
      </c>
      <c r="F81" t="str">
        <f>IF(A81="", "", IF(B81="MAX", INDEX(SF_Data!D:D, MATCH(SF_Data!K81, SF_Data!J:J, 0)), SF_Data!D81))</f>
        <v/>
      </c>
      <c r="G81" t="str">
        <f>IF(A81="","",SF_Data!C81)</f>
        <v/>
      </c>
      <c r="H81" t="str">
        <f>IF(A81="","",SF_Data!M81)</f>
        <v/>
      </c>
      <c r="I81" t="str">
        <f t="shared" si="2"/>
        <v/>
      </c>
      <c r="J81" t="str">
        <f>IF(A81="", "", IF(COUNTIF($I$2:I81, I81)=1, "Unique", IF(AND(COUNTIF($I$2:I81, I81)&gt;1, B81="MAX"), "Duplicate", "Unique")))</f>
        <v/>
      </c>
      <c r="K81" t="str">
        <f t="shared" si="3"/>
        <v/>
      </c>
    </row>
    <row r="82" spans="1:11" x14ac:dyDescent="0.75">
      <c r="A82" t="str">
        <f>IF(SF_Data!A82="","",SF_Data!A82)</f>
        <v/>
      </c>
      <c r="B82" t="str">
        <f>IF(A82="","",SF_Data!H82)</f>
        <v/>
      </c>
      <c r="C82" t="str">
        <f>IF(A82="", "", IF(B82="MAX", INDEX(SF_Data!G:G, MATCH(SF_Data!K82, SF_Data!J:J, 0)), SF_Data!G82))</f>
        <v/>
      </c>
      <c r="D82" t="str">
        <f>IF(A82="","",IF(B82="MAX",IF(E82=0,INDEX(SF_Data!L:L,MATCH(SF_Data!K82,SF_Data!J:J,0)),INDEX(SF_Data!E:E,MATCH(SF_Data!K82,SF_Data!J:J,0))),IF(E82=0,SF_Data!L82,SF_Data!E82)))</f>
        <v/>
      </c>
      <c r="E82" t="str">
        <f>IF(A82="", "", IF(B82="MAX", INDEX(SF_Data!F:F, MATCH(SF_Data!K82, SF_Data!J:J, 0)), SF_Data!F82))</f>
        <v/>
      </c>
      <c r="F82" t="str">
        <f>IF(A82="", "", IF(B82="MAX", INDEX(SF_Data!D:D, MATCH(SF_Data!K82, SF_Data!J:J, 0)), SF_Data!D82))</f>
        <v/>
      </c>
      <c r="G82" t="str">
        <f>IF(A82="","",SF_Data!C82)</f>
        <v/>
      </c>
      <c r="H82" t="str">
        <f>IF(A82="","",SF_Data!M82)</f>
        <v/>
      </c>
      <c r="I82" t="str">
        <f t="shared" si="2"/>
        <v/>
      </c>
      <c r="J82" t="str">
        <f>IF(A82="", "", IF(COUNTIF($I$2:I82, I82)=1, "Unique", IF(AND(COUNTIF($I$2:I82, I82)&gt;1, B82="MAX"), "Duplicate", "Unique")))</f>
        <v/>
      </c>
      <c r="K82" t="str">
        <f t="shared" si="3"/>
        <v/>
      </c>
    </row>
    <row r="83" spans="1:11" x14ac:dyDescent="0.75">
      <c r="A83" t="str">
        <f>IF(SF_Data!A83="","",SF_Data!A83)</f>
        <v/>
      </c>
      <c r="B83" t="str">
        <f>IF(A83="","",SF_Data!H83)</f>
        <v/>
      </c>
      <c r="C83" t="str">
        <f>IF(A83="", "", IF(B83="MAX", INDEX(SF_Data!G:G, MATCH(SF_Data!K83, SF_Data!J:J, 0)), SF_Data!G83))</f>
        <v/>
      </c>
      <c r="D83" t="str">
        <f>IF(A83="","",IF(B83="MAX",IF(E83=0,INDEX(SF_Data!L:L,MATCH(SF_Data!K83,SF_Data!J:J,0)),INDEX(SF_Data!E:E,MATCH(SF_Data!K83,SF_Data!J:J,0))),IF(E83=0,SF_Data!L83,SF_Data!E83)))</f>
        <v/>
      </c>
      <c r="E83" t="str">
        <f>IF(A83="", "", IF(B83="MAX", INDEX(SF_Data!F:F, MATCH(SF_Data!K83, SF_Data!J:J, 0)), SF_Data!F83))</f>
        <v/>
      </c>
      <c r="F83" t="str">
        <f>IF(A83="", "", IF(B83="MAX", INDEX(SF_Data!D:D, MATCH(SF_Data!K83, SF_Data!J:J, 0)), SF_Data!D83))</f>
        <v/>
      </c>
      <c r="G83" t="str">
        <f>IF(A83="","",SF_Data!C83)</f>
        <v/>
      </c>
      <c r="H83" t="str">
        <f>IF(A83="","",SF_Data!M83)</f>
        <v/>
      </c>
      <c r="I83" t="str">
        <f t="shared" si="2"/>
        <v/>
      </c>
      <c r="J83" t="str">
        <f>IF(A83="", "", IF(COUNTIF($I$2:I83, I83)=1, "Unique", IF(AND(COUNTIF($I$2:I83, I83)&gt;1, B83="MAX"), "Duplicate", "Unique")))</f>
        <v/>
      </c>
      <c r="K83" t="str">
        <f t="shared" si="3"/>
        <v/>
      </c>
    </row>
    <row r="84" spans="1:11" x14ac:dyDescent="0.75">
      <c r="A84" t="str">
        <f>IF(SF_Data!A84="","",SF_Data!A84)</f>
        <v/>
      </c>
      <c r="B84" t="str">
        <f>IF(A84="","",SF_Data!H84)</f>
        <v/>
      </c>
      <c r="C84" t="str">
        <f>IF(A84="", "", IF(B84="MAX", INDEX(SF_Data!G:G, MATCH(SF_Data!K84, SF_Data!J:J, 0)), SF_Data!G84))</f>
        <v/>
      </c>
      <c r="D84" t="str">
        <f>IF(A84="","",IF(B84="MAX",IF(E84=0,INDEX(SF_Data!L:L,MATCH(SF_Data!K84,SF_Data!J:J,0)),INDEX(SF_Data!E:E,MATCH(SF_Data!K84,SF_Data!J:J,0))),IF(E84=0,SF_Data!L84,SF_Data!E84)))</f>
        <v/>
      </c>
      <c r="E84" t="str">
        <f>IF(A84="", "", IF(B84="MAX", INDEX(SF_Data!F:F, MATCH(SF_Data!K84, SF_Data!J:J, 0)), SF_Data!F84))</f>
        <v/>
      </c>
      <c r="F84" t="str">
        <f>IF(A84="", "", IF(B84="MAX", INDEX(SF_Data!D:D, MATCH(SF_Data!K84, SF_Data!J:J, 0)), SF_Data!D84))</f>
        <v/>
      </c>
      <c r="G84" t="str">
        <f>IF(A84="","",SF_Data!C84)</f>
        <v/>
      </c>
      <c r="H84" t="str">
        <f>IF(A84="","",SF_Data!M84)</f>
        <v/>
      </c>
      <c r="I84" t="str">
        <f t="shared" si="2"/>
        <v/>
      </c>
      <c r="J84" t="str">
        <f>IF(A84="", "", IF(COUNTIF($I$2:I84, I84)=1, "Unique", IF(AND(COUNTIF($I$2:I84, I84)&gt;1, B84="MAX"), "Duplicate", "Unique")))</f>
        <v/>
      </c>
      <c r="K84" t="str">
        <f t="shared" si="3"/>
        <v/>
      </c>
    </row>
    <row r="85" spans="1:11" x14ac:dyDescent="0.75">
      <c r="A85" t="str">
        <f>IF(SF_Data!A85="","",SF_Data!A85)</f>
        <v/>
      </c>
      <c r="B85" t="str">
        <f>IF(A85="","",SF_Data!H85)</f>
        <v/>
      </c>
      <c r="C85" t="str">
        <f>IF(A85="", "", IF(B85="MAX", INDEX(SF_Data!G:G, MATCH(SF_Data!K85, SF_Data!J:J, 0)), SF_Data!G85))</f>
        <v/>
      </c>
      <c r="D85" t="str">
        <f>IF(A85="","",IF(B85="MAX",IF(E85=0,INDEX(SF_Data!L:L,MATCH(SF_Data!K85,SF_Data!J:J,0)),INDEX(SF_Data!E:E,MATCH(SF_Data!K85,SF_Data!J:J,0))),IF(E85=0,SF_Data!L85,SF_Data!E85)))</f>
        <v/>
      </c>
      <c r="E85" t="str">
        <f>IF(A85="", "", IF(B85="MAX", INDEX(SF_Data!F:F, MATCH(SF_Data!K85, SF_Data!J:J, 0)), SF_Data!F85))</f>
        <v/>
      </c>
      <c r="F85" t="str">
        <f>IF(A85="", "", IF(B85="MAX", INDEX(SF_Data!D:D, MATCH(SF_Data!K85, SF_Data!J:J, 0)), SF_Data!D85))</f>
        <v/>
      </c>
      <c r="G85" t="str">
        <f>IF(A85="","",SF_Data!C85)</f>
        <v/>
      </c>
      <c r="H85" t="str">
        <f>IF(A85="","",SF_Data!M85)</f>
        <v/>
      </c>
      <c r="I85" t="str">
        <f t="shared" si="2"/>
        <v/>
      </c>
      <c r="J85" t="str">
        <f>IF(A85="", "", IF(COUNTIF($I$2:I85, I85)=1, "Unique", IF(AND(COUNTIF($I$2:I85, I85)&gt;1, B85="MAX"), "Duplicate", "Unique")))</f>
        <v/>
      </c>
      <c r="K85" t="str">
        <f t="shared" si="3"/>
        <v/>
      </c>
    </row>
    <row r="86" spans="1:11" x14ac:dyDescent="0.75">
      <c r="A86" t="str">
        <f>IF(SF_Data!A86="","",SF_Data!A86)</f>
        <v/>
      </c>
      <c r="B86" t="str">
        <f>IF(A86="","",SF_Data!H86)</f>
        <v/>
      </c>
      <c r="C86" t="str">
        <f>IF(A86="", "", IF(B86="MAX", INDEX(SF_Data!G:G, MATCH(SF_Data!K86, SF_Data!J:J, 0)), SF_Data!G86))</f>
        <v/>
      </c>
      <c r="D86" t="str">
        <f>IF(A86="","",IF(B86="MAX",IF(E86=0,INDEX(SF_Data!L:L,MATCH(SF_Data!K86,SF_Data!J:J,0)),INDEX(SF_Data!E:E,MATCH(SF_Data!K86,SF_Data!J:J,0))),IF(E86=0,SF_Data!L86,SF_Data!E86)))</f>
        <v/>
      </c>
      <c r="E86" t="str">
        <f>IF(A86="", "", IF(B86="MAX", INDEX(SF_Data!F:F, MATCH(SF_Data!K86, SF_Data!J:J, 0)), SF_Data!F86))</f>
        <v/>
      </c>
      <c r="F86" t="str">
        <f>IF(A86="", "", IF(B86="MAX", INDEX(SF_Data!D:D, MATCH(SF_Data!K86, SF_Data!J:J, 0)), SF_Data!D86))</f>
        <v/>
      </c>
      <c r="G86" t="str">
        <f>IF(A86="","",SF_Data!C86)</f>
        <v/>
      </c>
      <c r="H86" t="str">
        <f>IF(A86="","",SF_Data!M86)</f>
        <v/>
      </c>
      <c r="I86" t="str">
        <f t="shared" si="2"/>
        <v/>
      </c>
      <c r="J86" t="str">
        <f>IF(A86="", "", IF(COUNTIF($I$2:I86, I86)=1, "Unique", IF(AND(COUNTIF($I$2:I86, I86)&gt;1, B86="MAX"), "Duplicate", "Unique")))</f>
        <v/>
      </c>
      <c r="K86" t="str">
        <f t="shared" si="3"/>
        <v/>
      </c>
    </row>
    <row r="87" spans="1:11" x14ac:dyDescent="0.75">
      <c r="A87" t="str">
        <f>IF(SF_Data!A87="","",SF_Data!A87)</f>
        <v/>
      </c>
      <c r="B87" t="str">
        <f>IF(A87="","",SF_Data!H87)</f>
        <v/>
      </c>
      <c r="C87" t="str">
        <f>IF(A87="", "", IF(B87="MAX", INDEX(SF_Data!G:G, MATCH(SF_Data!K87, SF_Data!J:J, 0)), SF_Data!G87))</f>
        <v/>
      </c>
      <c r="D87" t="str">
        <f>IF(A87="","",IF(B87="MAX",IF(E87=0,INDEX(SF_Data!L:L,MATCH(SF_Data!K87,SF_Data!J:J,0)),INDEX(SF_Data!E:E,MATCH(SF_Data!K87,SF_Data!J:J,0))),IF(E87=0,SF_Data!L87,SF_Data!E87)))</f>
        <v/>
      </c>
      <c r="E87" t="str">
        <f>IF(A87="", "", IF(B87="MAX", INDEX(SF_Data!F:F, MATCH(SF_Data!K87, SF_Data!J:J, 0)), SF_Data!F87))</f>
        <v/>
      </c>
      <c r="F87" t="str">
        <f>IF(A87="", "", IF(B87="MAX", INDEX(SF_Data!D:D, MATCH(SF_Data!K87, SF_Data!J:J, 0)), SF_Data!D87))</f>
        <v/>
      </c>
      <c r="G87" t="str">
        <f>IF(A87="","",SF_Data!C87)</f>
        <v/>
      </c>
      <c r="H87" t="str">
        <f>IF(A87="","",SF_Data!M87)</f>
        <v/>
      </c>
      <c r="I87" t="str">
        <f t="shared" si="2"/>
        <v/>
      </c>
      <c r="J87" t="str">
        <f>IF(A87="", "", IF(COUNTIF($I$2:I87, I87)=1, "Unique", IF(AND(COUNTIF($I$2:I87, I87)&gt;1, B87="MAX"), "Duplicate", "Unique")))</f>
        <v/>
      </c>
      <c r="K87" t="str">
        <f t="shared" si="3"/>
        <v/>
      </c>
    </row>
    <row r="88" spans="1:11" x14ac:dyDescent="0.75">
      <c r="A88" t="str">
        <f>IF(SF_Data!A88="","",SF_Data!A88)</f>
        <v/>
      </c>
      <c r="B88" t="str">
        <f>IF(A88="","",SF_Data!H88)</f>
        <v/>
      </c>
      <c r="C88" t="str">
        <f>IF(A88="", "", IF(B88="MAX", INDEX(SF_Data!G:G, MATCH(SF_Data!K88, SF_Data!J:J, 0)), SF_Data!G88))</f>
        <v/>
      </c>
      <c r="D88" t="str">
        <f>IF(A88="","",IF(B88="MAX",IF(E88=0,INDEX(SF_Data!L:L,MATCH(SF_Data!K88,SF_Data!J:J,0)),INDEX(SF_Data!E:E,MATCH(SF_Data!K88,SF_Data!J:J,0))),IF(E88=0,SF_Data!L88,SF_Data!E88)))</f>
        <v/>
      </c>
      <c r="E88" t="str">
        <f>IF(A88="", "", IF(B88="MAX", INDEX(SF_Data!F:F, MATCH(SF_Data!K88, SF_Data!J:J, 0)), SF_Data!F88))</f>
        <v/>
      </c>
      <c r="F88" t="str">
        <f>IF(A88="", "", IF(B88="MAX", INDEX(SF_Data!D:D, MATCH(SF_Data!K88, SF_Data!J:J, 0)), SF_Data!D88))</f>
        <v/>
      </c>
      <c r="G88" t="str">
        <f>IF(A88="","",SF_Data!C88)</f>
        <v/>
      </c>
      <c r="H88" t="str">
        <f>IF(A88="","",SF_Data!M88)</f>
        <v/>
      </c>
      <c r="I88" t="str">
        <f t="shared" si="2"/>
        <v/>
      </c>
      <c r="J88" t="str">
        <f>IF(A88="", "", IF(COUNTIF($I$2:I88, I88)=1, "Unique", IF(AND(COUNTIF($I$2:I88, I88)&gt;1, B88="MAX"), "Duplicate", "Unique")))</f>
        <v/>
      </c>
      <c r="K88" t="str">
        <f t="shared" si="3"/>
        <v/>
      </c>
    </row>
    <row r="89" spans="1:11" x14ac:dyDescent="0.75">
      <c r="A89" t="str">
        <f>IF(SF_Data!A89="","",SF_Data!A89)</f>
        <v/>
      </c>
      <c r="B89" t="str">
        <f>IF(A89="","",SF_Data!H89)</f>
        <v/>
      </c>
      <c r="C89" t="str">
        <f>IF(A89="", "", IF(B89="MAX", INDEX(SF_Data!G:G, MATCH(SF_Data!K89, SF_Data!J:J, 0)), SF_Data!G89))</f>
        <v/>
      </c>
      <c r="D89" t="str">
        <f>IF(A89="","",IF(B89="MAX",IF(E89=0,INDEX(SF_Data!L:L,MATCH(SF_Data!K89,SF_Data!J:J,0)),INDEX(SF_Data!E:E,MATCH(SF_Data!K89,SF_Data!J:J,0))),IF(E89=0,SF_Data!L89,SF_Data!E89)))</f>
        <v/>
      </c>
      <c r="E89" t="str">
        <f>IF(A89="", "", IF(B89="MAX", INDEX(SF_Data!F:F, MATCH(SF_Data!K89, SF_Data!J:J, 0)), SF_Data!F89))</f>
        <v/>
      </c>
      <c r="F89" t="str">
        <f>IF(A89="", "", IF(B89="MAX", INDEX(SF_Data!D:D, MATCH(SF_Data!K89, SF_Data!J:J, 0)), SF_Data!D89))</f>
        <v/>
      </c>
      <c r="G89" t="str">
        <f>IF(A89="","",SF_Data!C89)</f>
        <v/>
      </c>
      <c r="H89" t="str">
        <f>IF(A89="","",SF_Data!M89)</f>
        <v/>
      </c>
      <c r="I89" t="str">
        <f t="shared" si="2"/>
        <v/>
      </c>
      <c r="J89" t="str">
        <f>IF(A89="", "", IF(COUNTIF($I$2:I89, I89)=1, "Unique", IF(AND(COUNTIF($I$2:I89, I89)&gt;1, B89="MAX"), "Duplicate", "Unique")))</f>
        <v/>
      </c>
      <c r="K89" t="str">
        <f t="shared" si="3"/>
        <v/>
      </c>
    </row>
    <row r="90" spans="1:11" x14ac:dyDescent="0.75">
      <c r="A90" t="str">
        <f>IF(SF_Data!A90="","",SF_Data!A90)</f>
        <v/>
      </c>
      <c r="B90" t="str">
        <f>IF(A90="","",SF_Data!H90)</f>
        <v/>
      </c>
      <c r="C90" t="str">
        <f>IF(A90="", "", IF(B90="MAX", INDEX(SF_Data!G:G, MATCH(SF_Data!K90, SF_Data!J:J, 0)), SF_Data!G90))</f>
        <v/>
      </c>
      <c r="D90" t="str">
        <f>IF(A90="","",IF(B90="MAX",IF(E90=0,INDEX(SF_Data!L:L,MATCH(SF_Data!K90,SF_Data!J:J,0)),INDEX(SF_Data!E:E,MATCH(SF_Data!K90,SF_Data!J:J,0))),IF(E90=0,SF_Data!L90,SF_Data!E90)))</f>
        <v/>
      </c>
      <c r="E90" t="str">
        <f>IF(A90="", "", IF(B90="MAX", INDEX(SF_Data!F:F, MATCH(SF_Data!K90, SF_Data!J:J, 0)), SF_Data!F90))</f>
        <v/>
      </c>
      <c r="F90" t="str">
        <f>IF(A90="", "", IF(B90="MAX", INDEX(SF_Data!D:D, MATCH(SF_Data!K90, SF_Data!J:J, 0)), SF_Data!D90))</f>
        <v/>
      </c>
      <c r="G90" t="str">
        <f>IF(A90="","",SF_Data!C90)</f>
        <v/>
      </c>
      <c r="H90" t="str">
        <f>IF(A90="","",SF_Data!M90)</f>
        <v/>
      </c>
      <c r="I90" t="str">
        <f t="shared" si="2"/>
        <v/>
      </c>
      <c r="J90" t="str">
        <f>IF(A90="", "", IF(COUNTIF($I$2:I90, I90)=1, "Unique", IF(AND(COUNTIF($I$2:I90, I90)&gt;1, B90="MAX"), "Duplicate", "Unique")))</f>
        <v/>
      </c>
      <c r="K90" t="str">
        <f t="shared" si="3"/>
        <v/>
      </c>
    </row>
    <row r="91" spans="1:11" x14ac:dyDescent="0.75">
      <c r="A91" t="str">
        <f>IF(SF_Data!A91="","",SF_Data!A91)</f>
        <v/>
      </c>
      <c r="B91" t="str">
        <f>IF(A91="","",SF_Data!H91)</f>
        <v/>
      </c>
      <c r="C91" t="str">
        <f>IF(A91="", "", IF(B91="MAX", INDEX(SF_Data!G:G, MATCH(SF_Data!K91, SF_Data!J:J, 0)), SF_Data!G91))</f>
        <v/>
      </c>
      <c r="D91" t="str">
        <f>IF(A91="","",IF(B91="MAX",IF(E91=0,INDEX(SF_Data!L:L,MATCH(SF_Data!K91,SF_Data!J:J,0)),INDEX(SF_Data!E:E,MATCH(SF_Data!K91,SF_Data!J:J,0))),IF(E91=0,SF_Data!L91,SF_Data!E91)))</f>
        <v/>
      </c>
      <c r="E91" t="str">
        <f>IF(A91="", "", IF(B91="MAX", INDEX(SF_Data!F:F, MATCH(SF_Data!K91, SF_Data!J:J, 0)), SF_Data!F91))</f>
        <v/>
      </c>
      <c r="F91" t="str">
        <f>IF(A91="", "", IF(B91="MAX", INDEX(SF_Data!D:D, MATCH(SF_Data!K91, SF_Data!J:J, 0)), SF_Data!D91))</f>
        <v/>
      </c>
      <c r="G91" t="str">
        <f>IF(A91="","",SF_Data!C91)</f>
        <v/>
      </c>
      <c r="H91" t="str">
        <f>IF(A91="","",SF_Data!M91)</f>
        <v/>
      </c>
      <c r="I91" t="str">
        <f t="shared" si="2"/>
        <v/>
      </c>
      <c r="J91" t="str">
        <f>IF(A91="", "", IF(COUNTIF($I$2:I91, I91)=1, "Unique", IF(AND(COUNTIF($I$2:I91, I91)&gt;1, B91="MAX"), "Duplicate", "Unique")))</f>
        <v/>
      </c>
      <c r="K91" t="str">
        <f t="shared" si="3"/>
        <v/>
      </c>
    </row>
    <row r="92" spans="1:11" x14ac:dyDescent="0.75">
      <c r="A92" t="str">
        <f>IF(SF_Data!A92="","",SF_Data!A92)</f>
        <v/>
      </c>
      <c r="B92" t="str">
        <f>IF(A92="","",SF_Data!H92)</f>
        <v/>
      </c>
      <c r="C92" t="str">
        <f>IF(A92="", "", IF(B92="MAX", INDEX(SF_Data!G:G, MATCH(SF_Data!K92, SF_Data!J:J, 0)), SF_Data!G92))</f>
        <v/>
      </c>
      <c r="D92" t="str">
        <f>IF(A92="","",IF(B92="MAX",IF(E92=0,INDEX(SF_Data!L:L,MATCH(SF_Data!K92,SF_Data!J:J,0)),INDEX(SF_Data!E:E,MATCH(SF_Data!K92,SF_Data!J:J,0))),IF(E92=0,SF_Data!L92,SF_Data!E92)))</f>
        <v/>
      </c>
      <c r="E92" t="str">
        <f>IF(A92="", "", IF(B92="MAX", INDEX(SF_Data!F:F, MATCH(SF_Data!K92, SF_Data!J:J, 0)), SF_Data!F92))</f>
        <v/>
      </c>
      <c r="F92" t="str">
        <f>IF(A92="", "", IF(B92="MAX", INDEX(SF_Data!D:D, MATCH(SF_Data!K92, SF_Data!J:J, 0)), SF_Data!D92))</f>
        <v/>
      </c>
      <c r="G92" t="str">
        <f>IF(A92="","",SF_Data!C92)</f>
        <v/>
      </c>
      <c r="H92" t="str">
        <f>IF(A92="","",SF_Data!M92)</f>
        <v/>
      </c>
      <c r="I92" t="str">
        <f t="shared" si="2"/>
        <v/>
      </c>
      <c r="J92" t="str">
        <f>IF(A92="", "", IF(COUNTIF($I$2:I92, I92)=1, "Unique", IF(AND(COUNTIF($I$2:I92, I92)&gt;1, B92="MAX"), "Duplicate", "Unique")))</f>
        <v/>
      </c>
      <c r="K92" t="str">
        <f t="shared" si="3"/>
        <v/>
      </c>
    </row>
    <row r="93" spans="1:11" x14ac:dyDescent="0.75">
      <c r="A93" t="str">
        <f>IF(SF_Data!A93="","",SF_Data!A93)</f>
        <v/>
      </c>
      <c r="B93" t="str">
        <f>IF(A93="","",SF_Data!H93)</f>
        <v/>
      </c>
      <c r="C93" t="str">
        <f>IF(A93="", "", IF(B93="MAX", INDEX(SF_Data!G:G, MATCH(SF_Data!K93, SF_Data!J:J, 0)), SF_Data!G93))</f>
        <v/>
      </c>
      <c r="D93" t="str">
        <f>IF(A93="","",IF(B93="MAX",IF(E93=0,INDEX(SF_Data!L:L,MATCH(SF_Data!K93,SF_Data!J:J,0)),INDEX(SF_Data!E:E,MATCH(SF_Data!K93,SF_Data!J:J,0))),IF(E93=0,SF_Data!L93,SF_Data!E93)))</f>
        <v/>
      </c>
      <c r="E93" t="str">
        <f>IF(A93="", "", IF(B93="MAX", INDEX(SF_Data!F:F, MATCH(SF_Data!K93, SF_Data!J:J, 0)), SF_Data!F93))</f>
        <v/>
      </c>
      <c r="F93" t="str">
        <f>IF(A93="", "", IF(B93="MAX", INDEX(SF_Data!D:D, MATCH(SF_Data!K93, SF_Data!J:J, 0)), SF_Data!D93))</f>
        <v/>
      </c>
      <c r="G93" t="str">
        <f>IF(A93="","",SF_Data!C93)</f>
        <v/>
      </c>
      <c r="H93" t="str">
        <f>IF(A93="","",SF_Data!M93)</f>
        <v/>
      </c>
      <c r="I93" t="str">
        <f t="shared" si="2"/>
        <v/>
      </c>
      <c r="J93" t="str">
        <f>IF(A93="", "", IF(COUNTIF($I$2:I93, I93)=1, "Unique", IF(AND(COUNTIF($I$2:I93, I93)&gt;1, B93="MAX"), "Duplicate", "Unique")))</f>
        <v/>
      </c>
      <c r="K93" t="str">
        <f t="shared" si="3"/>
        <v/>
      </c>
    </row>
    <row r="94" spans="1:11" x14ac:dyDescent="0.75">
      <c r="A94" t="str">
        <f>IF(SF_Data!A94="","",SF_Data!A94)</f>
        <v/>
      </c>
      <c r="B94" t="str">
        <f>IF(A94="","",SF_Data!H94)</f>
        <v/>
      </c>
      <c r="C94" t="str">
        <f>IF(A94="", "", IF(B94="MAX", INDEX(SF_Data!G:G, MATCH(SF_Data!K94, SF_Data!J:J, 0)), SF_Data!G94))</f>
        <v/>
      </c>
      <c r="D94" t="str">
        <f>IF(A94="","",IF(B94="MAX",IF(E94=0,INDEX(SF_Data!L:L,MATCH(SF_Data!K94,SF_Data!J:J,0)),INDEX(SF_Data!E:E,MATCH(SF_Data!K94,SF_Data!J:J,0))),IF(E94=0,SF_Data!L94,SF_Data!E94)))</f>
        <v/>
      </c>
      <c r="E94" t="str">
        <f>IF(A94="", "", IF(B94="MAX", INDEX(SF_Data!F:F, MATCH(SF_Data!K94, SF_Data!J:J, 0)), SF_Data!F94))</f>
        <v/>
      </c>
      <c r="F94" t="str">
        <f>IF(A94="", "", IF(B94="MAX", INDEX(SF_Data!D:D, MATCH(SF_Data!K94, SF_Data!J:J, 0)), SF_Data!D94))</f>
        <v/>
      </c>
      <c r="G94" t="str">
        <f>IF(A94="","",SF_Data!C94)</f>
        <v/>
      </c>
      <c r="H94" t="str">
        <f>IF(A94="","",SF_Data!M94)</f>
        <v/>
      </c>
      <c r="I94" t="str">
        <f t="shared" si="2"/>
        <v/>
      </c>
      <c r="J94" t="str">
        <f>IF(A94="", "", IF(COUNTIF($I$2:I94, I94)=1, "Unique", IF(AND(COUNTIF($I$2:I94, I94)&gt;1, B94="MAX"), "Duplicate", "Unique")))</f>
        <v/>
      </c>
      <c r="K94" t="str">
        <f t="shared" si="3"/>
        <v/>
      </c>
    </row>
    <row r="95" spans="1:11" x14ac:dyDescent="0.75">
      <c r="A95" t="str">
        <f>IF(SF_Data!A95="","",SF_Data!A95)</f>
        <v/>
      </c>
      <c r="B95" t="str">
        <f>IF(A95="","",SF_Data!H95)</f>
        <v/>
      </c>
      <c r="C95" t="str">
        <f>IF(A95="", "", IF(B95="MAX", INDEX(SF_Data!G:G, MATCH(SF_Data!K95, SF_Data!J:J, 0)), SF_Data!G95))</f>
        <v/>
      </c>
      <c r="D95" t="str">
        <f>IF(A95="","",IF(B95="MAX",IF(E95=0,INDEX(SF_Data!L:L,MATCH(SF_Data!K95,SF_Data!J:J,0)),INDEX(SF_Data!E:E,MATCH(SF_Data!K95,SF_Data!J:J,0))),IF(E95=0,SF_Data!L95,SF_Data!E95)))</f>
        <v/>
      </c>
      <c r="E95" t="str">
        <f>IF(A95="", "", IF(B95="MAX", INDEX(SF_Data!F:F, MATCH(SF_Data!K95, SF_Data!J:J, 0)), SF_Data!F95))</f>
        <v/>
      </c>
      <c r="F95" t="str">
        <f>IF(A95="", "", IF(B95="MAX", INDEX(SF_Data!D:D, MATCH(SF_Data!K95, SF_Data!J:J, 0)), SF_Data!D95))</f>
        <v/>
      </c>
      <c r="G95" t="str">
        <f>IF(A95="","",SF_Data!C95)</f>
        <v/>
      </c>
      <c r="H95" t="str">
        <f>IF(A95="","",SF_Data!M95)</f>
        <v/>
      </c>
      <c r="I95" t="str">
        <f t="shared" si="2"/>
        <v/>
      </c>
      <c r="J95" t="str">
        <f>IF(A95="", "", IF(COUNTIF($I$2:I95, I95)=1, "Unique", IF(AND(COUNTIF($I$2:I95, I95)&gt;1, B95="MAX"), "Duplicate", "Unique")))</f>
        <v/>
      </c>
      <c r="K95" t="str">
        <f t="shared" si="3"/>
        <v/>
      </c>
    </row>
    <row r="96" spans="1:11" x14ac:dyDescent="0.75">
      <c r="A96" t="str">
        <f>IF(SF_Data!A96="","",SF_Data!A96)</f>
        <v/>
      </c>
      <c r="B96" t="str">
        <f>IF(A96="","",SF_Data!H96)</f>
        <v/>
      </c>
      <c r="C96" t="str">
        <f>IF(A96="", "", IF(B96="MAX", INDEX(SF_Data!G:G, MATCH(SF_Data!K96, SF_Data!J:J, 0)), SF_Data!G96))</f>
        <v/>
      </c>
      <c r="D96" t="str">
        <f>IF(A96="","",IF(B96="MAX",IF(E96=0,INDEX(SF_Data!L:L,MATCH(SF_Data!K96,SF_Data!J:J,0)),INDEX(SF_Data!E:E,MATCH(SF_Data!K96,SF_Data!J:J,0))),IF(E96=0,SF_Data!L96,SF_Data!E96)))</f>
        <v/>
      </c>
      <c r="E96" t="str">
        <f>IF(A96="", "", IF(B96="MAX", INDEX(SF_Data!F:F, MATCH(SF_Data!K96, SF_Data!J:J, 0)), SF_Data!F96))</f>
        <v/>
      </c>
      <c r="F96" t="str">
        <f>IF(A96="", "", IF(B96="MAX", INDEX(SF_Data!D:D, MATCH(SF_Data!K96, SF_Data!J:J, 0)), SF_Data!D96))</f>
        <v/>
      </c>
      <c r="G96" t="str">
        <f>IF(A96="","",SF_Data!C96)</f>
        <v/>
      </c>
      <c r="H96" t="str">
        <f>IF(A96="","",SF_Data!M96)</f>
        <v/>
      </c>
      <c r="I96" t="str">
        <f t="shared" si="2"/>
        <v/>
      </c>
      <c r="J96" t="str">
        <f>IF(A96="", "", IF(COUNTIF($I$2:I96, I96)=1, "Unique", IF(AND(COUNTIF($I$2:I96, I96)&gt;1, B96="MAX"), "Duplicate", "Unique")))</f>
        <v/>
      </c>
      <c r="K96" t="str">
        <f t="shared" si="3"/>
        <v/>
      </c>
    </row>
    <row r="97" spans="1:11" x14ac:dyDescent="0.75">
      <c r="A97" t="str">
        <f>IF(SF_Data!A97="","",SF_Data!A97)</f>
        <v/>
      </c>
      <c r="B97" t="str">
        <f>IF(A97="","",SF_Data!H97)</f>
        <v/>
      </c>
      <c r="C97" t="str">
        <f>IF(A97="", "", IF(B97="MAX", INDEX(SF_Data!G:G, MATCH(SF_Data!K97, SF_Data!J:J, 0)), SF_Data!G97))</f>
        <v/>
      </c>
      <c r="D97" t="str">
        <f>IF(A97="","",IF(B97="MAX",IF(E97=0,INDEX(SF_Data!L:L,MATCH(SF_Data!K97,SF_Data!J:J,0)),INDEX(SF_Data!E:E,MATCH(SF_Data!K97,SF_Data!J:J,0))),IF(E97=0,SF_Data!L97,SF_Data!E97)))</f>
        <v/>
      </c>
      <c r="E97" t="str">
        <f>IF(A97="", "", IF(B97="MAX", INDEX(SF_Data!F:F, MATCH(SF_Data!K97, SF_Data!J:J, 0)), SF_Data!F97))</f>
        <v/>
      </c>
      <c r="F97" t="str">
        <f>IF(A97="", "", IF(B97="MAX", INDEX(SF_Data!D:D, MATCH(SF_Data!K97, SF_Data!J:J, 0)), SF_Data!D97))</f>
        <v/>
      </c>
      <c r="G97" t="str">
        <f>IF(A97="","",SF_Data!C97)</f>
        <v/>
      </c>
      <c r="H97" t="str">
        <f>IF(A97="","",SF_Data!M97)</f>
        <v/>
      </c>
      <c r="I97" t="str">
        <f t="shared" si="2"/>
        <v/>
      </c>
      <c r="J97" t="str">
        <f>IF(A97="", "", IF(COUNTIF($I$2:I97, I97)=1, "Unique", IF(AND(COUNTIF($I$2:I97, I97)&gt;1, B97="MAX"), "Duplicate", "Unique")))</f>
        <v/>
      </c>
      <c r="K97" t="str">
        <f t="shared" si="3"/>
        <v/>
      </c>
    </row>
    <row r="98" spans="1:11" x14ac:dyDescent="0.75">
      <c r="A98" t="str">
        <f>IF(SF_Data!A98="","",SF_Data!A98)</f>
        <v/>
      </c>
      <c r="B98" t="str">
        <f>IF(A98="","",SF_Data!H98)</f>
        <v/>
      </c>
      <c r="C98" t="str">
        <f>IF(A98="", "", IF(B98="MAX", INDEX(SF_Data!G:G, MATCH(SF_Data!K98, SF_Data!J:J, 0)), SF_Data!G98))</f>
        <v/>
      </c>
      <c r="D98" t="str">
        <f>IF(A98="","",IF(B98="MAX",IF(E98=0,INDEX(SF_Data!L:L,MATCH(SF_Data!K98,SF_Data!J:J,0)),INDEX(SF_Data!E:E,MATCH(SF_Data!K98,SF_Data!J:J,0))),IF(E98=0,SF_Data!L98,SF_Data!E98)))</f>
        <v/>
      </c>
      <c r="E98" t="str">
        <f>IF(A98="", "", IF(B98="MAX", INDEX(SF_Data!F:F, MATCH(SF_Data!K98, SF_Data!J:J, 0)), SF_Data!F98))</f>
        <v/>
      </c>
      <c r="F98" t="str">
        <f>IF(A98="", "", IF(B98="MAX", INDEX(SF_Data!D:D, MATCH(SF_Data!K98, SF_Data!J:J, 0)), SF_Data!D98))</f>
        <v/>
      </c>
      <c r="G98" t="str">
        <f>IF(A98="","",SF_Data!C98)</f>
        <v/>
      </c>
      <c r="H98" t="str">
        <f>IF(A98="","",SF_Data!M98)</f>
        <v/>
      </c>
      <c r="I98" t="str">
        <f t="shared" si="2"/>
        <v/>
      </c>
      <c r="J98" t="str">
        <f>IF(A98="", "", IF(COUNTIF($I$2:I98, I98)=1, "Unique", IF(AND(COUNTIF($I$2:I98, I98)&gt;1, B98="MAX"), "Duplicate", "Unique")))</f>
        <v/>
      </c>
      <c r="K98" t="str">
        <f t="shared" si="3"/>
        <v/>
      </c>
    </row>
    <row r="99" spans="1:11" x14ac:dyDescent="0.75">
      <c r="A99" t="str">
        <f>IF(SF_Data!A99="","",SF_Data!A99)</f>
        <v/>
      </c>
      <c r="B99" t="str">
        <f>IF(A99="","",SF_Data!H99)</f>
        <v/>
      </c>
      <c r="C99" t="str">
        <f>IF(A99="", "", IF(B99="MAX", INDEX(SF_Data!G:G, MATCH(SF_Data!K99, SF_Data!J:J, 0)), SF_Data!G99))</f>
        <v/>
      </c>
      <c r="D99" t="str">
        <f>IF(A99="","",IF(B99="MAX",IF(E99=0,INDEX(SF_Data!L:L,MATCH(SF_Data!K99,SF_Data!J:J,0)),INDEX(SF_Data!E:E,MATCH(SF_Data!K99,SF_Data!J:J,0))),IF(E99=0,SF_Data!L99,SF_Data!E99)))</f>
        <v/>
      </c>
      <c r="E99" t="str">
        <f>IF(A99="", "", IF(B99="MAX", INDEX(SF_Data!F:F, MATCH(SF_Data!K99, SF_Data!J:J, 0)), SF_Data!F99))</f>
        <v/>
      </c>
      <c r="F99" t="str">
        <f>IF(A99="", "", IF(B99="MAX", INDEX(SF_Data!D:D, MATCH(SF_Data!K99, SF_Data!J:J, 0)), SF_Data!D99))</f>
        <v/>
      </c>
      <c r="G99" t="str">
        <f>IF(A99="","",SF_Data!C99)</f>
        <v/>
      </c>
      <c r="H99" t="str">
        <f>IF(A99="","",SF_Data!M99)</f>
        <v/>
      </c>
      <c r="I99" t="str">
        <f t="shared" si="2"/>
        <v/>
      </c>
      <c r="J99" t="str">
        <f>IF(A99="", "", IF(COUNTIF($I$2:I99, I99)=1, "Unique", IF(AND(COUNTIF($I$2:I99, I99)&gt;1, B99="MAX"), "Duplicate", "Unique")))</f>
        <v/>
      </c>
      <c r="K99" t="str">
        <f t="shared" si="3"/>
        <v/>
      </c>
    </row>
    <row r="100" spans="1:11" x14ac:dyDescent="0.75">
      <c r="A100" t="str">
        <f>IF(SF_Data!A100="","",SF_Data!A100)</f>
        <v/>
      </c>
      <c r="B100" t="str">
        <f>IF(A100="","",SF_Data!H100)</f>
        <v/>
      </c>
      <c r="C100" t="str">
        <f>IF(A100="", "", IF(B100="MAX", INDEX(SF_Data!G:G, MATCH(SF_Data!K100, SF_Data!J:J, 0)), SF_Data!G100))</f>
        <v/>
      </c>
      <c r="D100" t="str">
        <f>IF(A100="","",IF(B100="MAX",IF(E100=0,INDEX(SF_Data!L:L,MATCH(SF_Data!K100,SF_Data!J:J,0)),INDEX(SF_Data!E:E,MATCH(SF_Data!K100,SF_Data!J:J,0))),IF(E100=0,SF_Data!L100,SF_Data!E100)))</f>
        <v/>
      </c>
      <c r="E100" t="str">
        <f>IF(A100="", "", IF(B100="MAX", INDEX(SF_Data!F:F, MATCH(SF_Data!K100, SF_Data!J:J, 0)), SF_Data!F100))</f>
        <v/>
      </c>
      <c r="F100" t="str">
        <f>IF(A100="", "", IF(B100="MAX", INDEX(SF_Data!D:D, MATCH(SF_Data!K100, SF_Data!J:J, 0)), SF_Data!D100))</f>
        <v/>
      </c>
      <c r="G100" t="str">
        <f>IF(A100="","",SF_Data!C100)</f>
        <v/>
      </c>
      <c r="H100" t="str">
        <f>IF(A100="","",SF_Data!M100)</f>
        <v/>
      </c>
      <c r="I100" t="str">
        <f t="shared" si="2"/>
        <v/>
      </c>
      <c r="J100" t="str">
        <f>IF(A100="", "", IF(COUNTIF($I$2:I100, I100)=1, "Unique", IF(AND(COUNTIF($I$2:I100, I100)&gt;1, B100="MAX"), "Duplicate", "Unique")))</f>
        <v/>
      </c>
      <c r="K100" t="str">
        <f t="shared" si="3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3DA2-3987-4D55-AFCC-DD462FD53554}">
  <dimension ref="A1:P100"/>
  <sheetViews>
    <sheetView workbookViewId="0">
      <selection activeCell="B2" sqref="B2"/>
    </sheetView>
  </sheetViews>
  <sheetFormatPr defaultColWidth="8.81640625" defaultRowHeight="14.75" x14ac:dyDescent="0.75"/>
  <cols>
    <col min="11" max="11" width="9.31640625" bestFit="1" customWidth="1"/>
    <col min="13" max="13" width="11.5" bestFit="1" customWidth="1"/>
    <col min="15" max="15" width="11.5" bestFit="1" customWidth="1"/>
    <col min="16" max="16" width="12.1796875" bestFit="1" customWidth="1"/>
  </cols>
  <sheetData>
    <row r="1" spans="1:16" x14ac:dyDescent="0.75">
      <c r="A1" s="2"/>
      <c r="B1" s="2"/>
      <c r="C1" s="2"/>
      <c r="D1" s="2"/>
      <c r="E1" s="2"/>
      <c r="F1" s="2"/>
      <c r="G1" s="2"/>
      <c r="H1" s="2"/>
      <c r="I1" s="2"/>
      <c r="J1" s="2"/>
      <c r="K1" s="2" t="s">
        <v>3</v>
      </c>
      <c r="L1" s="2" t="s">
        <v>5</v>
      </c>
      <c r="M1" s="2" t="s">
        <v>11</v>
      </c>
      <c r="N1" s="2" t="s">
        <v>12</v>
      </c>
      <c r="O1" s="2" t="s">
        <v>8</v>
      </c>
      <c r="P1" s="2" t="s">
        <v>13</v>
      </c>
    </row>
    <row r="2" spans="1:16" x14ac:dyDescent="0.75">
      <c r="A2" t="str">
        <f>IFERROR(SMALL(Sheet1!K:K, ROW(A1)), "")</f>
        <v/>
      </c>
      <c r="B2" t="str" cm="1">
        <f t="array" ref="B2">IF(A2="", "", INDEX(Sheet1!$A:$A, A2, ))</f>
        <v/>
      </c>
      <c r="C2" t="str" cm="1">
        <f t="array" ref="C2">IF(A2="", "", INDEX(Sheet1!$B:$B, A2, ))</f>
        <v/>
      </c>
      <c r="D2" t="str" cm="1">
        <f t="array" ref="D2">IF(A2="", "", INDEX(Sheet1!$C:$C, A2, ))</f>
        <v/>
      </c>
      <c r="E2" t="str" cm="1">
        <f t="array" ref="E2">IF(A2="", "", INDEX(Sheet1!$D:$D, A2, ))</f>
        <v/>
      </c>
      <c r="F2" t="str" cm="1">
        <f t="array" ref="F2">IF(A2="", "", INDEX(Sheet1!$E:$E, A2, ))</f>
        <v/>
      </c>
      <c r="G2" t="str" cm="1">
        <f t="array" ref="G2">IF(A2="", "", INDEX(Sheet1!$F:$F, A2, ))</f>
        <v/>
      </c>
      <c r="H2" t="str" cm="1">
        <f t="array" ref="H2">IF(A2="", "", INDEX(Sheet1!$G:$G, A2, ))</f>
        <v/>
      </c>
      <c r="I2" t="str" cm="1">
        <f t="array" ref="I2">IF(A2="", "", INDEX(Sheet1!$H:$H, A2, ))</f>
        <v/>
      </c>
      <c r="J2" t="str">
        <f>IF(I2=I1,"",I2)</f>
        <v/>
      </c>
      <c r="K2" t="str">
        <f>IF(J2="","",B2)</f>
        <v/>
      </c>
      <c r="L2" t="str">
        <f>IF(B2="","",D2)</f>
        <v/>
      </c>
      <c r="M2" t="str">
        <f>IF(B2="","",E2)</f>
        <v/>
      </c>
      <c r="N2" t="str">
        <f>IF(B2="","",F2)</f>
        <v/>
      </c>
      <c r="O2" t="str">
        <f>IF(B2="","",G2)</f>
        <v/>
      </c>
      <c r="P2" t="str">
        <f>IF(B2="","",H2)</f>
        <v/>
      </c>
    </row>
    <row r="3" spans="1:16" x14ac:dyDescent="0.75">
      <c r="A3" t="str">
        <f>IFERROR(SMALL(Sheet1!K:K, ROW(A2)), "")</f>
        <v/>
      </c>
      <c r="B3" t="str" cm="1">
        <f t="array" ref="B3">IF(A3="", "", INDEX(Sheet1!$A:$A, A3, ))</f>
        <v/>
      </c>
      <c r="C3" t="str" cm="1">
        <f t="array" ref="C3">IF(A3="", "", INDEX(Sheet1!$B:$B, A3, ))</f>
        <v/>
      </c>
      <c r="D3" t="str" cm="1">
        <f t="array" ref="D3">IF(A3="", "", INDEX(Sheet1!$C:$C, A3, ))</f>
        <v/>
      </c>
      <c r="E3" t="str" cm="1">
        <f t="array" ref="E3">IF(A3="", "", INDEX(Sheet1!$D:$D, A3, ))</f>
        <v/>
      </c>
      <c r="F3" t="str" cm="1">
        <f t="array" ref="F3">IF(A3="", "", INDEX(Sheet1!$E:$E, A3, ))</f>
        <v/>
      </c>
      <c r="G3" t="str" cm="1">
        <f t="array" ref="G3">IF(A3="", "", INDEX(Sheet1!$F:$F, A3, ))</f>
        <v/>
      </c>
      <c r="H3" t="str" cm="1">
        <f t="array" ref="H3">IF(A3="", "", INDEX(Sheet1!$G:$G, A3, ))</f>
        <v/>
      </c>
      <c r="I3" t="str" cm="1">
        <f t="array" ref="I3">IF(A3="", "", INDEX(Sheet1!$H:$H, A3, ))</f>
        <v/>
      </c>
      <c r="J3" t="str">
        <f t="shared" ref="J3:J66" si="0">IF(I3=I2,"",I3)</f>
        <v/>
      </c>
      <c r="K3" t="str">
        <f t="shared" ref="K3:K66" si="1">IF(J3="","",B3)</f>
        <v/>
      </c>
      <c r="L3" t="str">
        <f t="shared" ref="L3:L66" si="2">IF(B3="","",D3)</f>
        <v/>
      </c>
      <c r="M3" t="str">
        <f t="shared" ref="M3:M66" si="3">IF(B3="","",E3)</f>
        <v/>
      </c>
      <c r="N3" t="str">
        <f t="shared" ref="N3:N66" si="4">IF(B3="","",F3)</f>
        <v/>
      </c>
      <c r="O3" t="str">
        <f t="shared" ref="O3:O66" si="5">IF(B3="","",G3)</f>
        <v/>
      </c>
      <c r="P3" t="str">
        <f t="shared" ref="P3:P66" si="6">IF(B3="","",H3)</f>
        <v/>
      </c>
    </row>
    <row r="4" spans="1:16" x14ac:dyDescent="0.75">
      <c r="A4" t="str">
        <f>IFERROR(SMALL(Sheet1!K:K, ROW(A3)), "")</f>
        <v/>
      </c>
      <c r="B4" t="str" cm="1">
        <f t="array" ref="B4">IF(A4="", "", INDEX(Sheet1!$A:$A, A4, ))</f>
        <v/>
      </c>
      <c r="C4" t="str" cm="1">
        <f t="array" ref="C4">IF(A4="", "", INDEX(Sheet1!$B:$B, A4, ))</f>
        <v/>
      </c>
      <c r="D4" t="str" cm="1">
        <f t="array" ref="D4">IF(A4="", "", INDEX(Sheet1!$C:$C, A4, ))</f>
        <v/>
      </c>
      <c r="E4" t="str" cm="1">
        <f t="array" ref="E4">IF(A4="", "", INDEX(Sheet1!$D:$D, A4, ))</f>
        <v/>
      </c>
      <c r="F4" t="str" cm="1">
        <f t="array" ref="F4">IF(A4="", "", INDEX(Sheet1!$E:$E, A4, ))</f>
        <v/>
      </c>
      <c r="G4" t="str" cm="1">
        <f t="array" ref="G4">IF(A4="", "", INDEX(Sheet1!$F:$F, A4, ))</f>
        <v/>
      </c>
      <c r="H4" t="str" cm="1">
        <f t="array" ref="H4">IF(A4="", "", INDEX(Sheet1!$G:$G, A4, ))</f>
        <v/>
      </c>
      <c r="I4" t="str" cm="1">
        <f t="array" ref="I4">IF(A4="", "", INDEX(Sheet1!$H:$H, A4, ))</f>
        <v/>
      </c>
      <c r="J4" t="str">
        <f t="shared" si="0"/>
        <v/>
      </c>
      <c r="K4" t="str">
        <f t="shared" si="1"/>
        <v/>
      </c>
      <c r="L4" t="str">
        <f t="shared" si="2"/>
        <v/>
      </c>
      <c r="M4" t="str">
        <f t="shared" si="3"/>
        <v/>
      </c>
      <c r="N4" t="str">
        <f t="shared" si="4"/>
        <v/>
      </c>
      <c r="O4" t="str">
        <f t="shared" si="5"/>
        <v/>
      </c>
      <c r="P4" t="str">
        <f t="shared" si="6"/>
        <v/>
      </c>
    </row>
    <row r="5" spans="1:16" x14ac:dyDescent="0.75">
      <c r="A5" t="str">
        <f>IFERROR(SMALL(Sheet1!K:K, ROW(A4)), "")</f>
        <v/>
      </c>
      <c r="B5" t="str" cm="1">
        <f t="array" ref="B5">IF(A5="", "", INDEX(Sheet1!$A:$A, A5, ))</f>
        <v/>
      </c>
      <c r="C5" t="str" cm="1">
        <f t="array" ref="C5">IF(A5="", "", INDEX(Sheet1!$B:$B, A5, ))</f>
        <v/>
      </c>
      <c r="D5" t="str" cm="1">
        <f t="array" ref="D5">IF(A5="", "", INDEX(Sheet1!$C:$C, A5, ))</f>
        <v/>
      </c>
      <c r="E5" t="str" cm="1">
        <f t="array" ref="E5">IF(A5="", "", INDEX(Sheet1!$D:$D, A5, ))</f>
        <v/>
      </c>
      <c r="F5" t="str" cm="1">
        <f t="array" ref="F5">IF(A5="", "", INDEX(Sheet1!$E:$E, A5, ))</f>
        <v/>
      </c>
      <c r="G5" t="str" cm="1">
        <f t="array" ref="G5">IF(A5="", "", INDEX(Sheet1!$F:$F, A5, ))</f>
        <v/>
      </c>
      <c r="H5" t="str" cm="1">
        <f t="array" ref="H5">IF(A5="", "", INDEX(Sheet1!$G:$G, A5, ))</f>
        <v/>
      </c>
      <c r="I5" t="str" cm="1">
        <f t="array" ref="I5">IF(A5="", "", INDEX(Sheet1!$H:$H, A5, ))</f>
        <v/>
      </c>
      <c r="J5" t="str">
        <f t="shared" si="0"/>
        <v/>
      </c>
      <c r="K5" t="str">
        <f t="shared" si="1"/>
        <v/>
      </c>
      <c r="L5" t="str">
        <f t="shared" si="2"/>
        <v/>
      </c>
      <c r="M5" t="str">
        <f t="shared" si="3"/>
        <v/>
      </c>
      <c r="N5" t="str">
        <f t="shared" si="4"/>
        <v/>
      </c>
      <c r="O5" t="str">
        <f t="shared" si="5"/>
        <v/>
      </c>
      <c r="P5" t="str">
        <f t="shared" si="6"/>
        <v/>
      </c>
    </row>
    <row r="6" spans="1:16" x14ac:dyDescent="0.75">
      <c r="A6" t="str">
        <f>IFERROR(SMALL(Sheet1!K:K, ROW(A5)), "")</f>
        <v/>
      </c>
      <c r="B6" t="str" cm="1">
        <f t="array" ref="B6">IF(A6="", "", INDEX(Sheet1!$A:$A, A6, ))</f>
        <v/>
      </c>
      <c r="C6" t="str" cm="1">
        <f t="array" ref="C6">IF(A6="", "", INDEX(Sheet1!$B:$B, A6, ))</f>
        <v/>
      </c>
      <c r="D6" t="str" cm="1">
        <f t="array" ref="D6">IF(A6="", "", INDEX(Sheet1!$C:$C, A6, ))</f>
        <v/>
      </c>
      <c r="E6" t="str" cm="1">
        <f t="array" ref="E6">IF(A6="", "", INDEX(Sheet1!$D:$D, A6, ))</f>
        <v/>
      </c>
      <c r="F6" t="str" cm="1">
        <f t="array" ref="F6">IF(A6="", "", INDEX(Sheet1!$E:$E, A6, ))</f>
        <v/>
      </c>
      <c r="G6" t="str" cm="1">
        <f t="array" ref="G6">IF(A6="", "", INDEX(Sheet1!$F:$F, A6, ))</f>
        <v/>
      </c>
      <c r="H6" t="str" cm="1">
        <f t="array" ref="H6">IF(A6="", "", INDEX(Sheet1!$G:$G, A6, ))</f>
        <v/>
      </c>
      <c r="I6" t="str" cm="1">
        <f t="array" ref="I6">IF(A6="", "", INDEX(Sheet1!$H:$H, A6, ))</f>
        <v/>
      </c>
      <c r="J6" t="str">
        <f t="shared" si="0"/>
        <v/>
      </c>
      <c r="K6" t="str">
        <f t="shared" si="1"/>
        <v/>
      </c>
      <c r="L6" t="str">
        <f t="shared" si="2"/>
        <v/>
      </c>
      <c r="M6" t="str">
        <f t="shared" si="3"/>
        <v/>
      </c>
      <c r="N6" t="str">
        <f t="shared" si="4"/>
        <v/>
      </c>
      <c r="O6" t="str">
        <f t="shared" si="5"/>
        <v/>
      </c>
      <c r="P6" t="str">
        <f t="shared" si="6"/>
        <v/>
      </c>
    </row>
    <row r="7" spans="1:16" x14ac:dyDescent="0.75">
      <c r="A7" t="str">
        <f>IFERROR(SMALL(Sheet1!K:K, ROW(A6)), "")</f>
        <v/>
      </c>
      <c r="B7" t="str" cm="1">
        <f t="array" ref="B7">IF(A7="", "", INDEX(Sheet1!$A:$A, A7, ))</f>
        <v/>
      </c>
      <c r="C7" t="str" cm="1">
        <f t="array" ref="C7">IF(A7="", "", INDEX(Sheet1!$B:$B, A7, ))</f>
        <v/>
      </c>
      <c r="D7" t="str" cm="1">
        <f t="array" ref="D7">IF(A7="", "", INDEX(Sheet1!$C:$C, A7, ))</f>
        <v/>
      </c>
      <c r="E7" t="str" cm="1">
        <f t="array" ref="E7">IF(A7="", "", INDEX(Sheet1!$D:$D, A7, ))</f>
        <v/>
      </c>
      <c r="F7" t="str" cm="1">
        <f t="array" ref="F7">IF(A7="", "", INDEX(Sheet1!$E:$E, A7, ))</f>
        <v/>
      </c>
      <c r="G7" t="str" cm="1">
        <f t="array" ref="G7">IF(A7="", "", INDEX(Sheet1!$F:$F, A7, ))</f>
        <v/>
      </c>
      <c r="H7" t="str" cm="1">
        <f t="array" ref="H7">IF(A7="", "", INDEX(Sheet1!$G:$G, A7, ))</f>
        <v/>
      </c>
      <c r="I7" t="str" cm="1">
        <f t="array" ref="I7">IF(A7="", "", INDEX(Sheet1!$H:$H, A7, ))</f>
        <v/>
      </c>
      <c r="J7" t="str">
        <f t="shared" si="0"/>
        <v/>
      </c>
      <c r="K7" t="str">
        <f t="shared" si="1"/>
        <v/>
      </c>
      <c r="L7" t="str">
        <f t="shared" si="2"/>
        <v/>
      </c>
      <c r="M7" t="str">
        <f t="shared" si="3"/>
        <v/>
      </c>
      <c r="N7" t="str">
        <f t="shared" si="4"/>
        <v/>
      </c>
      <c r="O7" t="str">
        <f t="shared" si="5"/>
        <v/>
      </c>
      <c r="P7" t="str">
        <f t="shared" si="6"/>
        <v/>
      </c>
    </row>
    <row r="8" spans="1:16" x14ac:dyDescent="0.75">
      <c r="A8" t="str">
        <f>IFERROR(SMALL(Sheet1!K:K, ROW(A7)), "")</f>
        <v/>
      </c>
      <c r="B8" t="str" cm="1">
        <f t="array" ref="B8">IF(A8="", "", INDEX(Sheet1!$A:$A, A8, ))</f>
        <v/>
      </c>
      <c r="C8" t="str" cm="1">
        <f t="array" ref="C8">IF(A8="", "", INDEX(Sheet1!$B:$B, A8, ))</f>
        <v/>
      </c>
      <c r="D8" t="str" cm="1">
        <f t="array" ref="D8">IF(A8="", "", INDEX(Sheet1!$C:$C, A8, ))</f>
        <v/>
      </c>
      <c r="E8" t="str" cm="1">
        <f t="array" ref="E8">IF(A8="", "", INDEX(Sheet1!$D:$D, A8, ))</f>
        <v/>
      </c>
      <c r="F8" t="str" cm="1">
        <f t="array" ref="F8">IF(A8="", "", INDEX(Sheet1!$E:$E, A8, ))</f>
        <v/>
      </c>
      <c r="G8" t="str" cm="1">
        <f t="array" ref="G8">IF(A8="", "", INDEX(Sheet1!$F:$F, A8, ))</f>
        <v/>
      </c>
      <c r="H8" t="str" cm="1">
        <f t="array" ref="H8">IF(A8="", "", INDEX(Sheet1!$G:$G, A8, ))</f>
        <v/>
      </c>
      <c r="I8" t="str" cm="1">
        <f t="array" ref="I8">IF(A8="", "", INDEX(Sheet1!$H:$H, A8, ))</f>
        <v/>
      </c>
      <c r="J8" t="str">
        <f t="shared" si="0"/>
        <v/>
      </c>
      <c r="K8" t="str">
        <f t="shared" si="1"/>
        <v/>
      </c>
      <c r="L8" t="str">
        <f t="shared" si="2"/>
        <v/>
      </c>
      <c r="M8" t="str">
        <f t="shared" si="3"/>
        <v/>
      </c>
      <c r="N8" t="str">
        <f t="shared" si="4"/>
        <v/>
      </c>
      <c r="O8" t="str">
        <f t="shared" si="5"/>
        <v/>
      </c>
      <c r="P8" t="str">
        <f t="shared" si="6"/>
        <v/>
      </c>
    </row>
    <row r="9" spans="1:16" x14ac:dyDescent="0.75">
      <c r="A9" t="str">
        <f>IFERROR(SMALL(Sheet1!K:K, ROW(A8)), "")</f>
        <v/>
      </c>
      <c r="B9" t="str" cm="1">
        <f t="array" ref="B9">IF(A9="", "", INDEX(Sheet1!$A:$A, A9, ))</f>
        <v/>
      </c>
      <c r="C9" t="str" cm="1">
        <f t="array" ref="C9">IF(A9="", "", INDEX(Sheet1!$B:$B, A9, ))</f>
        <v/>
      </c>
      <c r="D9" t="str" cm="1">
        <f t="array" ref="D9">IF(A9="", "", INDEX(Sheet1!$C:$C, A9, ))</f>
        <v/>
      </c>
      <c r="E9" t="str" cm="1">
        <f t="array" ref="E9">IF(A9="", "", INDEX(Sheet1!$D:$D, A9, ))</f>
        <v/>
      </c>
      <c r="F9" t="str" cm="1">
        <f t="array" ref="F9">IF(A9="", "", INDEX(Sheet1!$E:$E, A9, ))</f>
        <v/>
      </c>
      <c r="G9" t="str" cm="1">
        <f t="array" ref="G9">IF(A9="", "", INDEX(Sheet1!$F:$F, A9, ))</f>
        <v/>
      </c>
      <c r="H9" t="str" cm="1">
        <f t="array" ref="H9">IF(A9="", "", INDEX(Sheet1!$G:$G, A9, ))</f>
        <v/>
      </c>
      <c r="I9" t="str" cm="1">
        <f t="array" ref="I9">IF(A9="", "", INDEX(Sheet1!$H:$H, A9, ))</f>
        <v/>
      </c>
      <c r="J9" t="str">
        <f t="shared" si="0"/>
        <v/>
      </c>
      <c r="K9" t="str">
        <f t="shared" si="1"/>
        <v/>
      </c>
      <c r="L9" t="str">
        <f t="shared" si="2"/>
        <v/>
      </c>
      <c r="M9" t="str">
        <f t="shared" si="3"/>
        <v/>
      </c>
      <c r="N9" t="str">
        <f t="shared" si="4"/>
        <v/>
      </c>
      <c r="O9" t="str">
        <f t="shared" si="5"/>
        <v/>
      </c>
      <c r="P9" t="str">
        <f t="shared" si="6"/>
        <v/>
      </c>
    </row>
    <row r="10" spans="1:16" x14ac:dyDescent="0.75">
      <c r="A10" t="str">
        <f>IFERROR(SMALL(Sheet1!K:K, ROW(A9)), "")</f>
        <v/>
      </c>
      <c r="B10" t="str" cm="1">
        <f t="array" ref="B10">IF(A10="", "", INDEX(Sheet1!$A:$A, A10, ))</f>
        <v/>
      </c>
      <c r="C10" t="str" cm="1">
        <f t="array" ref="C10">IF(A10="", "", INDEX(Sheet1!$B:$B, A10, ))</f>
        <v/>
      </c>
      <c r="D10" t="str" cm="1">
        <f t="array" ref="D10">IF(A10="", "", INDEX(Sheet1!$C:$C, A10, ))</f>
        <v/>
      </c>
      <c r="E10" t="str" cm="1">
        <f t="array" ref="E10">IF(A10="", "", INDEX(Sheet1!$D:$D, A10, ))</f>
        <v/>
      </c>
      <c r="F10" t="str" cm="1">
        <f t="array" ref="F10">IF(A10="", "", INDEX(Sheet1!$E:$E, A10, ))</f>
        <v/>
      </c>
      <c r="G10" t="str" cm="1">
        <f t="array" ref="G10">IF(A10="", "", INDEX(Sheet1!$F:$F, A10, ))</f>
        <v/>
      </c>
      <c r="H10" t="str" cm="1">
        <f t="array" ref="H10">IF(A10="", "", INDEX(Sheet1!$G:$G, A10, ))</f>
        <v/>
      </c>
      <c r="I10" t="str" cm="1">
        <f t="array" ref="I10">IF(A10="", "", INDEX(Sheet1!$H:$H, A10, ))</f>
        <v/>
      </c>
      <c r="J10" t="str">
        <f t="shared" si="0"/>
        <v/>
      </c>
      <c r="K10" t="str">
        <f t="shared" si="1"/>
        <v/>
      </c>
      <c r="L10" t="str">
        <f t="shared" si="2"/>
        <v/>
      </c>
      <c r="M10" t="str">
        <f t="shared" si="3"/>
        <v/>
      </c>
      <c r="N10" t="str">
        <f t="shared" si="4"/>
        <v/>
      </c>
      <c r="O10" t="str">
        <f t="shared" si="5"/>
        <v/>
      </c>
      <c r="P10" t="str">
        <f t="shared" si="6"/>
        <v/>
      </c>
    </row>
    <row r="11" spans="1:16" x14ac:dyDescent="0.75">
      <c r="A11" t="str">
        <f>IFERROR(SMALL(Sheet1!K:K, ROW(A10)), "")</f>
        <v/>
      </c>
      <c r="B11" t="str" cm="1">
        <f t="array" ref="B11">IF(A11="", "", INDEX(Sheet1!$A:$A, A11, ))</f>
        <v/>
      </c>
      <c r="C11" t="str" cm="1">
        <f t="array" ref="C11">IF(A11="", "", INDEX(Sheet1!$B:$B, A11, ))</f>
        <v/>
      </c>
      <c r="D11" t="str" cm="1">
        <f t="array" ref="D11">IF(A11="", "", INDEX(Sheet1!$C:$C, A11, ))</f>
        <v/>
      </c>
      <c r="E11" t="str" cm="1">
        <f t="array" ref="E11">IF(A11="", "", INDEX(Sheet1!$D:$D, A11, ))</f>
        <v/>
      </c>
      <c r="F11" t="str" cm="1">
        <f t="array" ref="F11">IF(A11="", "", INDEX(Sheet1!$E:$E, A11, ))</f>
        <v/>
      </c>
      <c r="G11" t="str" cm="1">
        <f t="array" ref="G11">IF(A11="", "", INDEX(Sheet1!$F:$F, A11, ))</f>
        <v/>
      </c>
      <c r="H11" t="str" cm="1">
        <f t="array" ref="H11">IF(A11="", "", INDEX(Sheet1!$G:$G, A11, ))</f>
        <v/>
      </c>
      <c r="I11" t="str" cm="1">
        <f t="array" ref="I11">IF(A11="", "", INDEX(Sheet1!$H:$H, A11, ))</f>
        <v/>
      </c>
      <c r="J11" t="str">
        <f t="shared" si="0"/>
        <v/>
      </c>
      <c r="K11" t="str">
        <f t="shared" si="1"/>
        <v/>
      </c>
      <c r="L11" t="str">
        <f t="shared" si="2"/>
        <v/>
      </c>
      <c r="M11" t="str">
        <f t="shared" si="3"/>
        <v/>
      </c>
      <c r="N11" t="str">
        <f t="shared" si="4"/>
        <v/>
      </c>
      <c r="O11" t="str">
        <f t="shared" si="5"/>
        <v/>
      </c>
      <c r="P11" t="str">
        <f t="shared" si="6"/>
        <v/>
      </c>
    </row>
    <row r="12" spans="1:16" x14ac:dyDescent="0.75">
      <c r="A12" t="str">
        <f>IFERROR(SMALL(Sheet1!K:K, ROW(A11)), "")</f>
        <v/>
      </c>
      <c r="B12" t="str" cm="1">
        <f t="array" ref="B12">IF(A12="", "", INDEX(Sheet1!$A:$A, A12, ))</f>
        <v/>
      </c>
      <c r="C12" t="str" cm="1">
        <f t="array" ref="C12">IF(A12="", "", INDEX(Sheet1!$B:$B, A12, ))</f>
        <v/>
      </c>
      <c r="D12" t="str" cm="1">
        <f t="array" ref="D12">IF(A12="", "", INDEX(Sheet1!$C:$C, A12, ))</f>
        <v/>
      </c>
      <c r="E12" t="str" cm="1">
        <f t="array" ref="E12">IF(A12="", "", INDEX(Sheet1!$D:$D, A12, ))</f>
        <v/>
      </c>
      <c r="F12" t="str" cm="1">
        <f t="array" ref="F12">IF(A12="", "", INDEX(Sheet1!$E:$E, A12, ))</f>
        <v/>
      </c>
      <c r="G12" t="str" cm="1">
        <f t="array" ref="G12">IF(A12="", "", INDEX(Sheet1!$F:$F, A12, ))</f>
        <v/>
      </c>
      <c r="H12" t="str" cm="1">
        <f t="array" ref="H12">IF(A12="", "", INDEX(Sheet1!$G:$G, A12, ))</f>
        <v/>
      </c>
      <c r="I12" t="str" cm="1">
        <f t="array" ref="I12">IF(A12="", "", INDEX(Sheet1!$H:$H, A12, ))</f>
        <v/>
      </c>
      <c r="J12" t="str">
        <f t="shared" si="0"/>
        <v/>
      </c>
      <c r="K12" t="str">
        <f t="shared" si="1"/>
        <v/>
      </c>
      <c r="L12" t="str">
        <f t="shared" si="2"/>
        <v/>
      </c>
      <c r="M12" t="str">
        <f t="shared" si="3"/>
        <v/>
      </c>
      <c r="N12" t="str">
        <f t="shared" si="4"/>
        <v/>
      </c>
      <c r="O12" t="str">
        <f t="shared" si="5"/>
        <v/>
      </c>
      <c r="P12" t="str">
        <f t="shared" si="6"/>
        <v/>
      </c>
    </row>
    <row r="13" spans="1:16" x14ac:dyDescent="0.75">
      <c r="A13" t="str">
        <f>IFERROR(SMALL(Sheet1!K:K, ROW(A12)), "")</f>
        <v/>
      </c>
      <c r="B13" t="str" cm="1">
        <f t="array" ref="B13">IF(A13="", "", INDEX(Sheet1!$A:$A, A13, ))</f>
        <v/>
      </c>
      <c r="C13" t="str" cm="1">
        <f t="array" ref="C13">IF(A13="", "", INDEX(Sheet1!$B:$B, A13, ))</f>
        <v/>
      </c>
      <c r="D13" t="str" cm="1">
        <f t="array" ref="D13">IF(A13="", "", INDEX(Sheet1!$C:$C, A13, ))</f>
        <v/>
      </c>
      <c r="E13" t="str" cm="1">
        <f t="array" ref="E13">IF(A13="", "", INDEX(Sheet1!$D:$D, A13, ))</f>
        <v/>
      </c>
      <c r="F13" t="str" cm="1">
        <f t="array" ref="F13">IF(A13="", "", INDEX(Sheet1!$E:$E, A13, ))</f>
        <v/>
      </c>
      <c r="G13" t="str" cm="1">
        <f t="array" ref="G13">IF(A13="", "", INDEX(Sheet1!$F:$F, A13, ))</f>
        <v/>
      </c>
      <c r="H13" t="str" cm="1">
        <f t="array" ref="H13">IF(A13="", "", INDEX(Sheet1!$G:$G, A13, ))</f>
        <v/>
      </c>
      <c r="I13" t="str" cm="1">
        <f t="array" ref="I13">IF(A13="", "", INDEX(Sheet1!$H:$H, A13, ))</f>
        <v/>
      </c>
      <c r="J13" t="str">
        <f t="shared" si="0"/>
        <v/>
      </c>
      <c r="K13" t="str">
        <f t="shared" si="1"/>
        <v/>
      </c>
      <c r="L13" t="str">
        <f t="shared" si="2"/>
        <v/>
      </c>
      <c r="M13" t="str">
        <f t="shared" si="3"/>
        <v/>
      </c>
      <c r="N13" t="str">
        <f t="shared" si="4"/>
        <v/>
      </c>
      <c r="O13" t="str">
        <f t="shared" si="5"/>
        <v/>
      </c>
      <c r="P13" t="str">
        <f t="shared" si="6"/>
        <v/>
      </c>
    </row>
    <row r="14" spans="1:16" x14ac:dyDescent="0.75">
      <c r="A14" t="str">
        <f>IFERROR(SMALL(Sheet1!K:K, ROW(A13)), "")</f>
        <v/>
      </c>
      <c r="B14" t="str" cm="1">
        <f t="array" ref="B14">IF(A14="", "", INDEX(Sheet1!$A:$A, A14, ))</f>
        <v/>
      </c>
      <c r="C14" t="str" cm="1">
        <f t="array" ref="C14">IF(A14="", "", INDEX(Sheet1!$B:$B, A14, ))</f>
        <v/>
      </c>
      <c r="D14" t="str" cm="1">
        <f t="array" ref="D14">IF(A14="", "", INDEX(Sheet1!$C:$C, A14, ))</f>
        <v/>
      </c>
      <c r="E14" t="str" cm="1">
        <f t="array" ref="E14">IF(A14="", "", INDEX(Sheet1!$D:$D, A14, ))</f>
        <v/>
      </c>
      <c r="F14" t="str" cm="1">
        <f t="array" ref="F14">IF(A14="", "", INDEX(Sheet1!$E:$E, A14, ))</f>
        <v/>
      </c>
      <c r="G14" t="str" cm="1">
        <f t="array" ref="G14">IF(A14="", "", INDEX(Sheet1!$F:$F, A14, ))</f>
        <v/>
      </c>
      <c r="H14" t="str" cm="1">
        <f t="array" ref="H14">IF(A14="", "", INDEX(Sheet1!$G:$G, A14, ))</f>
        <v/>
      </c>
      <c r="I14" t="str" cm="1">
        <f t="array" ref="I14">IF(A14="", "", INDEX(Sheet1!$H:$H, A14, ))</f>
        <v/>
      </c>
      <c r="J14" t="str">
        <f t="shared" si="0"/>
        <v/>
      </c>
      <c r="K14" t="str">
        <f t="shared" si="1"/>
        <v/>
      </c>
      <c r="L14" t="str">
        <f t="shared" si="2"/>
        <v/>
      </c>
      <c r="M14" t="str">
        <f t="shared" si="3"/>
        <v/>
      </c>
      <c r="N14" t="str">
        <f t="shared" si="4"/>
        <v/>
      </c>
      <c r="O14" t="str">
        <f t="shared" si="5"/>
        <v/>
      </c>
      <c r="P14" t="str">
        <f t="shared" si="6"/>
        <v/>
      </c>
    </row>
    <row r="15" spans="1:16" x14ac:dyDescent="0.75">
      <c r="A15" t="str">
        <f>IFERROR(SMALL(Sheet1!K:K, ROW(A14)), "")</f>
        <v/>
      </c>
      <c r="B15" t="str" cm="1">
        <f t="array" ref="B15">IF(A15="", "", INDEX(Sheet1!$A:$A, A15, ))</f>
        <v/>
      </c>
      <c r="C15" t="str" cm="1">
        <f t="array" ref="C15">IF(A15="", "", INDEX(Sheet1!$B:$B, A15, ))</f>
        <v/>
      </c>
      <c r="D15" t="str" cm="1">
        <f t="array" ref="D15">IF(A15="", "", INDEX(Sheet1!$C:$C, A15, ))</f>
        <v/>
      </c>
      <c r="E15" t="str" cm="1">
        <f t="array" ref="E15">IF(A15="", "", INDEX(Sheet1!$D:$D, A15, ))</f>
        <v/>
      </c>
      <c r="F15" t="str" cm="1">
        <f t="array" ref="F15">IF(A15="", "", INDEX(Sheet1!$E:$E, A15, ))</f>
        <v/>
      </c>
      <c r="G15" t="str" cm="1">
        <f t="array" ref="G15">IF(A15="", "", INDEX(Sheet1!$F:$F, A15, ))</f>
        <v/>
      </c>
      <c r="H15" t="str" cm="1">
        <f t="array" ref="H15">IF(A15="", "", INDEX(Sheet1!$G:$G, A15, ))</f>
        <v/>
      </c>
      <c r="I15" t="str" cm="1">
        <f t="array" ref="I15">IF(A15="", "", INDEX(Sheet1!$H:$H, A15, ))</f>
        <v/>
      </c>
      <c r="J15" t="str">
        <f t="shared" si="0"/>
        <v/>
      </c>
      <c r="K15" t="str">
        <f t="shared" si="1"/>
        <v/>
      </c>
      <c r="L15" t="str">
        <f t="shared" si="2"/>
        <v/>
      </c>
      <c r="M15" t="str">
        <f t="shared" si="3"/>
        <v/>
      </c>
      <c r="N15" t="str">
        <f t="shared" si="4"/>
        <v/>
      </c>
      <c r="O15" t="str">
        <f t="shared" si="5"/>
        <v/>
      </c>
      <c r="P15" t="str">
        <f t="shared" si="6"/>
        <v/>
      </c>
    </row>
    <row r="16" spans="1:16" x14ac:dyDescent="0.75">
      <c r="A16" t="str">
        <f>IFERROR(SMALL(Sheet1!K:K, ROW(A15)), "")</f>
        <v/>
      </c>
      <c r="B16" t="str" cm="1">
        <f t="array" ref="B16">IF(A16="", "", INDEX(Sheet1!$A:$A, A16, ))</f>
        <v/>
      </c>
      <c r="C16" t="str" cm="1">
        <f t="array" ref="C16">IF(A16="", "", INDEX(Sheet1!$B:$B, A16, ))</f>
        <v/>
      </c>
      <c r="D16" t="str" cm="1">
        <f t="array" ref="D16">IF(A16="", "", INDEX(Sheet1!$C:$C, A16, ))</f>
        <v/>
      </c>
      <c r="E16" t="str" cm="1">
        <f t="array" ref="E16">IF(A16="", "", INDEX(Sheet1!$D:$D, A16, ))</f>
        <v/>
      </c>
      <c r="F16" t="str" cm="1">
        <f t="array" ref="F16">IF(A16="", "", INDEX(Sheet1!$E:$E, A16, ))</f>
        <v/>
      </c>
      <c r="G16" t="str" cm="1">
        <f t="array" ref="G16">IF(A16="", "", INDEX(Sheet1!$F:$F, A16, ))</f>
        <v/>
      </c>
      <c r="H16" t="str" cm="1">
        <f t="array" ref="H16">IF(A16="", "", INDEX(Sheet1!$G:$G, A16, ))</f>
        <v/>
      </c>
      <c r="I16" t="str" cm="1">
        <f t="array" ref="I16">IF(A16="", "", INDEX(Sheet1!$H:$H, A16, ))</f>
        <v/>
      </c>
      <c r="J16" t="str">
        <f t="shared" si="0"/>
        <v/>
      </c>
      <c r="K16" t="str">
        <f t="shared" si="1"/>
        <v/>
      </c>
      <c r="L16" t="str">
        <f t="shared" si="2"/>
        <v/>
      </c>
      <c r="M16" t="str">
        <f t="shared" si="3"/>
        <v/>
      </c>
      <c r="N16" t="str">
        <f t="shared" si="4"/>
        <v/>
      </c>
      <c r="O16" t="str">
        <f t="shared" si="5"/>
        <v/>
      </c>
      <c r="P16" t="str">
        <f t="shared" si="6"/>
        <v/>
      </c>
    </row>
    <row r="17" spans="1:16" x14ac:dyDescent="0.75">
      <c r="A17" t="str">
        <f>IFERROR(SMALL(Sheet1!K:K, ROW(A16)), "")</f>
        <v/>
      </c>
      <c r="B17" t="str" cm="1">
        <f t="array" ref="B17">IF(A17="", "", INDEX(Sheet1!$A:$A, A17, ))</f>
        <v/>
      </c>
      <c r="C17" t="str" cm="1">
        <f t="array" ref="C17">IF(A17="", "", INDEX(Sheet1!$B:$B, A17, ))</f>
        <v/>
      </c>
      <c r="D17" t="str" cm="1">
        <f t="array" ref="D17">IF(A17="", "", INDEX(Sheet1!$C:$C, A17, ))</f>
        <v/>
      </c>
      <c r="E17" t="str" cm="1">
        <f t="array" ref="E17">IF(A17="", "", INDEX(Sheet1!$D:$D, A17, ))</f>
        <v/>
      </c>
      <c r="F17" t="str" cm="1">
        <f t="array" ref="F17">IF(A17="", "", INDEX(Sheet1!$E:$E, A17, ))</f>
        <v/>
      </c>
      <c r="G17" t="str" cm="1">
        <f t="array" ref="G17">IF(A17="", "", INDEX(Sheet1!$F:$F, A17, ))</f>
        <v/>
      </c>
      <c r="H17" t="str" cm="1">
        <f t="array" ref="H17">IF(A17="", "", INDEX(Sheet1!$G:$G, A17, ))</f>
        <v/>
      </c>
      <c r="I17" t="str" cm="1">
        <f t="array" ref="I17">IF(A17="", "", INDEX(Sheet1!$H:$H, A17, ))</f>
        <v/>
      </c>
      <c r="J17" t="str">
        <f t="shared" si="0"/>
        <v/>
      </c>
      <c r="K17" t="str">
        <f t="shared" si="1"/>
        <v/>
      </c>
      <c r="L17" t="str">
        <f t="shared" si="2"/>
        <v/>
      </c>
      <c r="M17" t="str">
        <f t="shared" si="3"/>
        <v/>
      </c>
      <c r="N17" t="str">
        <f t="shared" si="4"/>
        <v/>
      </c>
      <c r="O17" t="str">
        <f t="shared" si="5"/>
        <v/>
      </c>
      <c r="P17" t="str">
        <f t="shared" si="6"/>
        <v/>
      </c>
    </row>
    <row r="18" spans="1:16" x14ac:dyDescent="0.75">
      <c r="A18" t="str">
        <f>IFERROR(SMALL(Sheet1!K:K, ROW(A17)), "")</f>
        <v/>
      </c>
      <c r="B18" t="str" cm="1">
        <f t="array" ref="B18">IF(A18="", "", INDEX(Sheet1!$A:$A, A18, ))</f>
        <v/>
      </c>
      <c r="C18" t="str" cm="1">
        <f t="array" ref="C18">IF(A18="", "", INDEX(Sheet1!$B:$B, A18, ))</f>
        <v/>
      </c>
      <c r="D18" t="str" cm="1">
        <f t="array" ref="D18">IF(A18="", "", INDEX(Sheet1!$C:$C, A18, ))</f>
        <v/>
      </c>
      <c r="E18" t="str" cm="1">
        <f t="array" ref="E18">IF(A18="", "", INDEX(Sheet1!$D:$D, A18, ))</f>
        <v/>
      </c>
      <c r="F18" t="str" cm="1">
        <f t="array" ref="F18">IF(A18="", "", INDEX(Sheet1!$E:$E, A18, ))</f>
        <v/>
      </c>
      <c r="G18" t="str" cm="1">
        <f t="array" ref="G18">IF(A18="", "", INDEX(Sheet1!$F:$F, A18, ))</f>
        <v/>
      </c>
      <c r="H18" t="str" cm="1">
        <f t="array" ref="H18">IF(A18="", "", INDEX(Sheet1!$G:$G, A18, ))</f>
        <v/>
      </c>
      <c r="I18" t="str" cm="1">
        <f t="array" ref="I18">IF(A18="", "", INDEX(Sheet1!$H:$H, A18, ))</f>
        <v/>
      </c>
      <c r="J18" t="str">
        <f t="shared" si="0"/>
        <v/>
      </c>
      <c r="K18" t="str">
        <f t="shared" si="1"/>
        <v/>
      </c>
      <c r="L18" t="str">
        <f t="shared" si="2"/>
        <v/>
      </c>
      <c r="M18" t="str">
        <f t="shared" si="3"/>
        <v/>
      </c>
      <c r="N18" t="str">
        <f t="shared" si="4"/>
        <v/>
      </c>
      <c r="O18" t="str">
        <f t="shared" si="5"/>
        <v/>
      </c>
      <c r="P18" t="str">
        <f t="shared" si="6"/>
        <v/>
      </c>
    </row>
    <row r="19" spans="1:16" x14ac:dyDescent="0.75">
      <c r="A19" t="str">
        <f>IFERROR(SMALL(Sheet1!K:K, ROW(A18)), "")</f>
        <v/>
      </c>
      <c r="B19" t="str" cm="1">
        <f t="array" ref="B19">IF(A19="", "", INDEX(Sheet1!$A:$A, A19, ))</f>
        <v/>
      </c>
      <c r="C19" t="str" cm="1">
        <f t="array" ref="C19">IF(A19="", "", INDEX(Sheet1!$B:$B, A19, ))</f>
        <v/>
      </c>
      <c r="D19" t="str" cm="1">
        <f t="array" ref="D19">IF(A19="", "", INDEX(Sheet1!$C:$C, A19, ))</f>
        <v/>
      </c>
      <c r="E19" t="str" cm="1">
        <f t="array" ref="E19">IF(A19="", "", INDEX(Sheet1!$D:$D, A19, ))</f>
        <v/>
      </c>
      <c r="F19" t="str" cm="1">
        <f t="array" ref="F19">IF(A19="", "", INDEX(Sheet1!$E:$E, A19, ))</f>
        <v/>
      </c>
      <c r="G19" t="str" cm="1">
        <f t="array" ref="G19">IF(A19="", "", INDEX(Sheet1!$F:$F, A19, ))</f>
        <v/>
      </c>
      <c r="H19" t="str" cm="1">
        <f t="array" ref="H19">IF(A19="", "", INDEX(Sheet1!$G:$G, A19, ))</f>
        <v/>
      </c>
      <c r="I19" t="str" cm="1">
        <f t="array" ref="I19">IF(A19="", "", INDEX(Sheet1!$H:$H, A19, ))</f>
        <v/>
      </c>
      <c r="J19" t="str">
        <f t="shared" si="0"/>
        <v/>
      </c>
      <c r="K19" t="str">
        <f t="shared" si="1"/>
        <v/>
      </c>
      <c r="L19" t="str">
        <f t="shared" si="2"/>
        <v/>
      </c>
      <c r="M19" t="str">
        <f t="shared" si="3"/>
        <v/>
      </c>
      <c r="N19" t="str">
        <f t="shared" si="4"/>
        <v/>
      </c>
      <c r="O19" t="str">
        <f t="shared" si="5"/>
        <v/>
      </c>
      <c r="P19" t="str">
        <f t="shared" si="6"/>
        <v/>
      </c>
    </row>
    <row r="20" spans="1:16" x14ac:dyDescent="0.75">
      <c r="A20" t="str">
        <f>IFERROR(SMALL(Sheet1!K:K, ROW(A19)), "")</f>
        <v/>
      </c>
      <c r="B20" t="str" cm="1">
        <f t="array" ref="B20">IF(A20="", "", INDEX(Sheet1!$A:$A, A20, ))</f>
        <v/>
      </c>
      <c r="C20" t="str" cm="1">
        <f t="array" ref="C20">IF(A20="", "", INDEX(Sheet1!$B:$B, A20, ))</f>
        <v/>
      </c>
      <c r="D20" t="str" cm="1">
        <f t="array" ref="D20">IF(A20="", "", INDEX(Sheet1!$C:$C, A20, ))</f>
        <v/>
      </c>
      <c r="E20" t="str" cm="1">
        <f t="array" ref="E20">IF(A20="", "", INDEX(Sheet1!$D:$D, A20, ))</f>
        <v/>
      </c>
      <c r="F20" t="str" cm="1">
        <f t="array" ref="F20">IF(A20="", "", INDEX(Sheet1!$E:$E, A20, ))</f>
        <v/>
      </c>
      <c r="G20" t="str" cm="1">
        <f t="array" ref="G20">IF(A20="", "", INDEX(Sheet1!$F:$F, A20, ))</f>
        <v/>
      </c>
      <c r="H20" t="str" cm="1">
        <f t="array" ref="H20">IF(A20="", "", INDEX(Sheet1!$G:$G, A20, ))</f>
        <v/>
      </c>
      <c r="I20" t="str" cm="1">
        <f t="array" ref="I20">IF(A20="", "", INDEX(Sheet1!$H:$H, A20, ))</f>
        <v/>
      </c>
      <c r="J20" t="str">
        <f t="shared" si="0"/>
        <v/>
      </c>
      <c r="K20" t="str">
        <f t="shared" si="1"/>
        <v/>
      </c>
      <c r="L20" t="str">
        <f t="shared" si="2"/>
        <v/>
      </c>
      <c r="M20" t="str">
        <f t="shared" si="3"/>
        <v/>
      </c>
      <c r="N20" t="str">
        <f t="shared" si="4"/>
        <v/>
      </c>
      <c r="O20" t="str">
        <f t="shared" si="5"/>
        <v/>
      </c>
      <c r="P20" t="str">
        <f t="shared" si="6"/>
        <v/>
      </c>
    </row>
    <row r="21" spans="1:16" x14ac:dyDescent="0.75">
      <c r="A21" t="str">
        <f>IFERROR(SMALL(Sheet1!K:K, ROW(A20)), "")</f>
        <v/>
      </c>
      <c r="B21" t="str" cm="1">
        <f t="array" ref="B21">IF(A21="", "", INDEX(Sheet1!$A:$A, A21, ))</f>
        <v/>
      </c>
      <c r="C21" t="str" cm="1">
        <f t="array" ref="C21">IF(A21="", "", INDEX(Sheet1!$B:$B, A21, ))</f>
        <v/>
      </c>
      <c r="D21" t="str" cm="1">
        <f t="array" ref="D21">IF(A21="", "", INDEX(Sheet1!$C:$C, A21, ))</f>
        <v/>
      </c>
      <c r="E21" t="str" cm="1">
        <f t="array" ref="E21">IF(A21="", "", INDEX(Sheet1!$D:$D, A21, ))</f>
        <v/>
      </c>
      <c r="F21" t="str" cm="1">
        <f t="array" ref="F21">IF(A21="", "", INDEX(Sheet1!$E:$E, A21, ))</f>
        <v/>
      </c>
      <c r="G21" t="str" cm="1">
        <f t="array" ref="G21">IF(A21="", "", INDEX(Sheet1!$F:$F, A21, ))</f>
        <v/>
      </c>
      <c r="H21" t="str" cm="1">
        <f t="array" ref="H21">IF(A21="", "", INDEX(Sheet1!$G:$G, A21, ))</f>
        <v/>
      </c>
      <c r="I21" t="str" cm="1">
        <f t="array" ref="I21">IF(A21="", "", INDEX(Sheet1!$H:$H, A21, ))</f>
        <v/>
      </c>
      <c r="J21" t="str">
        <f t="shared" si="0"/>
        <v/>
      </c>
      <c r="K21" t="str">
        <f t="shared" si="1"/>
        <v/>
      </c>
      <c r="L21" t="str">
        <f t="shared" si="2"/>
        <v/>
      </c>
      <c r="M21" t="str">
        <f t="shared" si="3"/>
        <v/>
      </c>
      <c r="N21" t="str">
        <f t="shared" si="4"/>
        <v/>
      </c>
      <c r="O21" t="str">
        <f t="shared" si="5"/>
        <v/>
      </c>
      <c r="P21" t="str">
        <f t="shared" si="6"/>
        <v/>
      </c>
    </row>
    <row r="22" spans="1:16" x14ac:dyDescent="0.75">
      <c r="A22" t="str">
        <f>IFERROR(SMALL(Sheet1!K:K, ROW(A21)), "")</f>
        <v/>
      </c>
      <c r="B22" t="str" cm="1">
        <f t="array" ref="B22">IF(A22="", "", INDEX(Sheet1!$A:$A, A22, ))</f>
        <v/>
      </c>
      <c r="C22" t="str" cm="1">
        <f t="array" ref="C22">IF(A22="", "", INDEX(Sheet1!$B:$B, A22, ))</f>
        <v/>
      </c>
      <c r="D22" t="str" cm="1">
        <f t="array" ref="D22">IF(A22="", "", INDEX(Sheet1!$C:$C, A22, ))</f>
        <v/>
      </c>
      <c r="E22" t="str" cm="1">
        <f t="array" ref="E22">IF(A22="", "", INDEX(Sheet1!$D:$D, A22, ))</f>
        <v/>
      </c>
      <c r="F22" t="str" cm="1">
        <f t="array" ref="F22">IF(A22="", "", INDEX(Sheet1!$E:$E, A22, ))</f>
        <v/>
      </c>
      <c r="G22" t="str" cm="1">
        <f t="array" ref="G22">IF(A22="", "", INDEX(Sheet1!$F:$F, A22, ))</f>
        <v/>
      </c>
      <c r="H22" t="str" cm="1">
        <f t="array" ref="H22">IF(A22="", "", INDEX(Sheet1!$G:$G, A22, ))</f>
        <v/>
      </c>
      <c r="I22" t="str" cm="1">
        <f t="array" ref="I22">IF(A22="", "", INDEX(Sheet1!$H:$H, A22, ))</f>
        <v/>
      </c>
      <c r="J22" t="str">
        <f t="shared" si="0"/>
        <v/>
      </c>
      <c r="K22" t="str">
        <f t="shared" si="1"/>
        <v/>
      </c>
      <c r="L22" t="str">
        <f t="shared" si="2"/>
        <v/>
      </c>
      <c r="M22" t="str">
        <f t="shared" si="3"/>
        <v/>
      </c>
      <c r="N22" t="str">
        <f t="shared" si="4"/>
        <v/>
      </c>
      <c r="O22" t="str">
        <f t="shared" si="5"/>
        <v/>
      </c>
      <c r="P22" t="str">
        <f t="shared" si="6"/>
        <v/>
      </c>
    </row>
    <row r="23" spans="1:16" x14ac:dyDescent="0.75">
      <c r="A23" t="str">
        <f>IFERROR(SMALL(Sheet1!K:K, ROW(A22)), "")</f>
        <v/>
      </c>
      <c r="B23" t="str" cm="1">
        <f t="array" ref="B23">IF(A23="", "", INDEX(Sheet1!$A:$A, A23, ))</f>
        <v/>
      </c>
      <c r="C23" t="str" cm="1">
        <f t="array" ref="C23">IF(A23="", "", INDEX(Sheet1!$B:$B, A23, ))</f>
        <v/>
      </c>
      <c r="D23" t="str" cm="1">
        <f t="array" ref="D23">IF(A23="", "", INDEX(Sheet1!$C:$C, A23, ))</f>
        <v/>
      </c>
      <c r="E23" t="str" cm="1">
        <f t="array" ref="E23">IF(A23="", "", INDEX(Sheet1!$D:$D, A23, ))</f>
        <v/>
      </c>
      <c r="F23" t="str" cm="1">
        <f t="array" ref="F23">IF(A23="", "", INDEX(Sheet1!$E:$E, A23, ))</f>
        <v/>
      </c>
      <c r="G23" t="str" cm="1">
        <f t="array" ref="G23">IF(A23="", "", INDEX(Sheet1!$F:$F, A23, ))</f>
        <v/>
      </c>
      <c r="H23" t="str" cm="1">
        <f t="array" ref="H23">IF(A23="", "", INDEX(Sheet1!$G:$G, A23, ))</f>
        <v/>
      </c>
      <c r="I23" t="str" cm="1">
        <f t="array" ref="I23">IF(A23="", "", INDEX(Sheet1!$H:$H, A23, ))</f>
        <v/>
      </c>
      <c r="J23" t="str">
        <f t="shared" si="0"/>
        <v/>
      </c>
      <c r="K23" t="str">
        <f t="shared" si="1"/>
        <v/>
      </c>
      <c r="L23" t="str">
        <f t="shared" si="2"/>
        <v/>
      </c>
      <c r="M23" t="str">
        <f t="shared" si="3"/>
        <v/>
      </c>
      <c r="N23" t="str">
        <f t="shared" si="4"/>
        <v/>
      </c>
      <c r="O23" t="str">
        <f t="shared" si="5"/>
        <v/>
      </c>
      <c r="P23" t="str">
        <f t="shared" si="6"/>
        <v/>
      </c>
    </row>
    <row r="24" spans="1:16" x14ac:dyDescent="0.75">
      <c r="A24" t="str">
        <f>IFERROR(SMALL(Sheet1!K:K, ROW(A23)), "")</f>
        <v/>
      </c>
      <c r="B24" t="str" cm="1">
        <f t="array" ref="B24">IF(A24="", "", INDEX(Sheet1!$A:$A, A24, ))</f>
        <v/>
      </c>
      <c r="C24" t="str" cm="1">
        <f t="array" ref="C24">IF(A24="", "", INDEX(Sheet1!$B:$B, A24, ))</f>
        <v/>
      </c>
      <c r="D24" t="str" cm="1">
        <f t="array" ref="D24">IF(A24="", "", INDEX(Sheet1!$C:$C, A24, ))</f>
        <v/>
      </c>
      <c r="E24" t="str" cm="1">
        <f t="array" ref="E24">IF(A24="", "", INDEX(Sheet1!$D:$D, A24, ))</f>
        <v/>
      </c>
      <c r="F24" t="str" cm="1">
        <f t="array" ref="F24">IF(A24="", "", INDEX(Sheet1!$E:$E, A24, ))</f>
        <v/>
      </c>
      <c r="G24" t="str" cm="1">
        <f t="array" ref="G24">IF(A24="", "", INDEX(Sheet1!$F:$F, A24, ))</f>
        <v/>
      </c>
      <c r="H24" t="str" cm="1">
        <f t="array" ref="H24">IF(A24="", "", INDEX(Sheet1!$G:$G, A24, ))</f>
        <v/>
      </c>
      <c r="I24" t="str" cm="1">
        <f t="array" ref="I24">IF(A24="", "", INDEX(Sheet1!$H:$H, A24, ))</f>
        <v/>
      </c>
      <c r="J24" t="str">
        <f t="shared" si="0"/>
        <v/>
      </c>
      <c r="K24" t="str">
        <f t="shared" si="1"/>
        <v/>
      </c>
      <c r="L24" t="str">
        <f t="shared" si="2"/>
        <v/>
      </c>
      <c r="M24" t="str">
        <f t="shared" si="3"/>
        <v/>
      </c>
      <c r="N24" t="str">
        <f t="shared" si="4"/>
        <v/>
      </c>
      <c r="O24" t="str">
        <f t="shared" si="5"/>
        <v/>
      </c>
      <c r="P24" t="str">
        <f t="shared" si="6"/>
        <v/>
      </c>
    </row>
    <row r="25" spans="1:16" x14ac:dyDescent="0.75">
      <c r="A25" t="str">
        <f>IFERROR(SMALL(Sheet1!K:K, ROW(A24)), "")</f>
        <v/>
      </c>
      <c r="B25" t="str" cm="1">
        <f t="array" ref="B25">IF(A25="", "", INDEX(Sheet1!$A:$A, A25, ))</f>
        <v/>
      </c>
      <c r="C25" t="str" cm="1">
        <f t="array" ref="C25">IF(A25="", "", INDEX(Sheet1!$B:$B, A25, ))</f>
        <v/>
      </c>
      <c r="D25" t="str" cm="1">
        <f t="array" ref="D25">IF(A25="", "", INDEX(Sheet1!$C:$C, A25, ))</f>
        <v/>
      </c>
      <c r="E25" t="str" cm="1">
        <f t="array" ref="E25">IF(A25="", "", INDEX(Sheet1!$D:$D, A25, ))</f>
        <v/>
      </c>
      <c r="F25" t="str" cm="1">
        <f t="array" ref="F25">IF(A25="", "", INDEX(Sheet1!$E:$E, A25, ))</f>
        <v/>
      </c>
      <c r="G25" t="str" cm="1">
        <f t="array" ref="G25">IF(A25="", "", INDEX(Sheet1!$F:$F, A25, ))</f>
        <v/>
      </c>
      <c r="H25" t="str" cm="1">
        <f t="array" ref="H25">IF(A25="", "", INDEX(Sheet1!$G:$G, A25, ))</f>
        <v/>
      </c>
      <c r="I25" t="str" cm="1">
        <f t="array" ref="I25">IF(A25="", "", INDEX(Sheet1!$H:$H, A25, ))</f>
        <v/>
      </c>
      <c r="J25" t="str">
        <f t="shared" si="0"/>
        <v/>
      </c>
      <c r="K25" t="str">
        <f t="shared" si="1"/>
        <v/>
      </c>
      <c r="L25" t="str">
        <f t="shared" si="2"/>
        <v/>
      </c>
      <c r="M25" t="str">
        <f t="shared" si="3"/>
        <v/>
      </c>
      <c r="N25" t="str">
        <f t="shared" si="4"/>
        <v/>
      </c>
      <c r="O25" t="str">
        <f t="shared" si="5"/>
        <v/>
      </c>
      <c r="P25" t="str">
        <f t="shared" si="6"/>
        <v/>
      </c>
    </row>
    <row r="26" spans="1:16" x14ac:dyDescent="0.75">
      <c r="A26" t="str">
        <f>IFERROR(SMALL(Sheet1!K:K, ROW(A25)), "")</f>
        <v/>
      </c>
      <c r="B26" t="str" cm="1">
        <f t="array" ref="B26">IF(A26="", "", INDEX(Sheet1!$A:$A, A26, ))</f>
        <v/>
      </c>
      <c r="C26" t="str" cm="1">
        <f t="array" ref="C26">IF(A26="", "", INDEX(Sheet1!$B:$B, A26, ))</f>
        <v/>
      </c>
      <c r="D26" t="str" cm="1">
        <f t="array" ref="D26">IF(A26="", "", INDEX(Sheet1!$C:$C, A26, ))</f>
        <v/>
      </c>
      <c r="E26" t="str" cm="1">
        <f t="array" ref="E26">IF(A26="", "", INDEX(Sheet1!$D:$D, A26, ))</f>
        <v/>
      </c>
      <c r="F26" t="str" cm="1">
        <f t="array" ref="F26">IF(A26="", "", INDEX(Sheet1!$E:$E, A26, ))</f>
        <v/>
      </c>
      <c r="G26" t="str" cm="1">
        <f t="array" ref="G26">IF(A26="", "", INDEX(Sheet1!$F:$F, A26, ))</f>
        <v/>
      </c>
      <c r="H26" t="str" cm="1">
        <f t="array" ref="H26">IF(A26="", "", INDEX(Sheet1!$G:$G, A26, ))</f>
        <v/>
      </c>
      <c r="I26" t="str" cm="1">
        <f t="array" ref="I26">IF(A26="", "", INDEX(Sheet1!$H:$H, A26, ))</f>
        <v/>
      </c>
      <c r="J26" t="str">
        <f t="shared" si="0"/>
        <v/>
      </c>
      <c r="K26" t="str">
        <f t="shared" si="1"/>
        <v/>
      </c>
      <c r="L26" t="str">
        <f t="shared" si="2"/>
        <v/>
      </c>
      <c r="M26" t="str">
        <f t="shared" si="3"/>
        <v/>
      </c>
      <c r="N26" t="str">
        <f t="shared" si="4"/>
        <v/>
      </c>
      <c r="O26" t="str">
        <f t="shared" si="5"/>
        <v/>
      </c>
      <c r="P26" t="str">
        <f t="shared" si="6"/>
        <v/>
      </c>
    </row>
    <row r="27" spans="1:16" x14ac:dyDescent="0.75">
      <c r="A27" t="str">
        <f>IFERROR(SMALL(Sheet1!K:K, ROW(A26)), "")</f>
        <v/>
      </c>
      <c r="B27" t="str" cm="1">
        <f t="array" ref="B27">IF(A27="", "", INDEX(Sheet1!$A:$A, A27, ))</f>
        <v/>
      </c>
      <c r="C27" t="str" cm="1">
        <f t="array" ref="C27">IF(A27="", "", INDEX(Sheet1!$B:$B, A27, ))</f>
        <v/>
      </c>
      <c r="D27" t="str" cm="1">
        <f t="array" ref="D27">IF(A27="", "", INDEX(Sheet1!$C:$C, A27, ))</f>
        <v/>
      </c>
      <c r="E27" t="str" cm="1">
        <f t="array" ref="E27">IF(A27="", "", INDEX(Sheet1!$D:$D, A27, ))</f>
        <v/>
      </c>
      <c r="F27" t="str" cm="1">
        <f t="array" ref="F27">IF(A27="", "", INDEX(Sheet1!$E:$E, A27, ))</f>
        <v/>
      </c>
      <c r="G27" t="str" cm="1">
        <f t="array" ref="G27">IF(A27="", "", INDEX(Sheet1!$F:$F, A27, ))</f>
        <v/>
      </c>
      <c r="H27" t="str" cm="1">
        <f t="array" ref="H27">IF(A27="", "", INDEX(Sheet1!$G:$G, A27, ))</f>
        <v/>
      </c>
      <c r="I27" t="str" cm="1">
        <f t="array" ref="I27">IF(A27="", "", INDEX(Sheet1!$H:$H, A27, ))</f>
        <v/>
      </c>
      <c r="J27" t="str">
        <f t="shared" si="0"/>
        <v/>
      </c>
      <c r="K27" t="str">
        <f t="shared" si="1"/>
        <v/>
      </c>
      <c r="L27" t="str">
        <f t="shared" si="2"/>
        <v/>
      </c>
      <c r="M27" t="str">
        <f t="shared" si="3"/>
        <v/>
      </c>
      <c r="N27" t="str">
        <f t="shared" si="4"/>
        <v/>
      </c>
      <c r="O27" t="str">
        <f t="shared" si="5"/>
        <v/>
      </c>
      <c r="P27" t="str">
        <f t="shared" si="6"/>
        <v/>
      </c>
    </row>
    <row r="28" spans="1:16" x14ac:dyDescent="0.75">
      <c r="A28" t="str">
        <f>IFERROR(SMALL(Sheet1!K:K, ROW(A27)), "")</f>
        <v/>
      </c>
      <c r="B28" t="str" cm="1">
        <f t="array" ref="B28">IF(A28="", "", INDEX(Sheet1!$A:$A, A28, ))</f>
        <v/>
      </c>
      <c r="C28" t="str" cm="1">
        <f t="array" ref="C28">IF(A28="", "", INDEX(Sheet1!$B:$B, A28, ))</f>
        <v/>
      </c>
      <c r="D28" t="str" cm="1">
        <f t="array" ref="D28">IF(A28="", "", INDEX(Sheet1!$C:$C, A28, ))</f>
        <v/>
      </c>
      <c r="E28" t="str" cm="1">
        <f t="array" ref="E28">IF(A28="", "", INDEX(Sheet1!$D:$D, A28, ))</f>
        <v/>
      </c>
      <c r="F28" t="str" cm="1">
        <f t="array" ref="F28">IF(A28="", "", INDEX(Sheet1!$E:$E, A28, ))</f>
        <v/>
      </c>
      <c r="G28" t="str" cm="1">
        <f t="array" ref="G28">IF(A28="", "", INDEX(Sheet1!$F:$F, A28, ))</f>
        <v/>
      </c>
      <c r="H28" t="str" cm="1">
        <f t="array" ref="H28">IF(A28="", "", INDEX(Sheet1!$G:$G, A28, ))</f>
        <v/>
      </c>
      <c r="I28" t="str" cm="1">
        <f t="array" ref="I28">IF(A28="", "", INDEX(Sheet1!$H:$H, A28, ))</f>
        <v/>
      </c>
      <c r="J28" t="str">
        <f t="shared" si="0"/>
        <v/>
      </c>
      <c r="K28" t="str">
        <f t="shared" si="1"/>
        <v/>
      </c>
      <c r="L28" t="str">
        <f t="shared" si="2"/>
        <v/>
      </c>
      <c r="M28" t="str">
        <f t="shared" si="3"/>
        <v/>
      </c>
      <c r="N28" t="str">
        <f t="shared" si="4"/>
        <v/>
      </c>
      <c r="O28" t="str">
        <f t="shared" si="5"/>
        <v/>
      </c>
      <c r="P28" t="str">
        <f t="shared" si="6"/>
        <v/>
      </c>
    </row>
    <row r="29" spans="1:16" x14ac:dyDescent="0.75">
      <c r="A29" t="str">
        <f>IFERROR(SMALL(Sheet1!K:K, ROW(A28)), "")</f>
        <v/>
      </c>
      <c r="B29" t="str" cm="1">
        <f t="array" ref="B29">IF(A29="", "", INDEX(Sheet1!$A:$A, A29, ))</f>
        <v/>
      </c>
      <c r="C29" t="str" cm="1">
        <f t="array" ref="C29">IF(A29="", "", INDEX(Sheet1!$B:$B, A29, ))</f>
        <v/>
      </c>
      <c r="D29" t="str" cm="1">
        <f t="array" ref="D29">IF(A29="", "", INDEX(Sheet1!$C:$C, A29, ))</f>
        <v/>
      </c>
      <c r="E29" t="str" cm="1">
        <f t="array" ref="E29">IF(A29="", "", INDEX(Sheet1!$D:$D, A29, ))</f>
        <v/>
      </c>
      <c r="F29" t="str" cm="1">
        <f t="array" ref="F29">IF(A29="", "", INDEX(Sheet1!$E:$E, A29, ))</f>
        <v/>
      </c>
      <c r="G29" t="str" cm="1">
        <f t="array" ref="G29">IF(A29="", "", INDEX(Sheet1!$F:$F, A29, ))</f>
        <v/>
      </c>
      <c r="H29" t="str" cm="1">
        <f t="array" ref="H29">IF(A29="", "", INDEX(Sheet1!$G:$G, A29, ))</f>
        <v/>
      </c>
      <c r="I29" t="str" cm="1">
        <f t="array" ref="I29">IF(A29="", "", INDEX(Sheet1!$H:$H, A29, ))</f>
        <v/>
      </c>
      <c r="J29" t="str">
        <f t="shared" si="0"/>
        <v/>
      </c>
      <c r="K29" t="str">
        <f t="shared" si="1"/>
        <v/>
      </c>
      <c r="L29" t="str">
        <f t="shared" si="2"/>
        <v/>
      </c>
      <c r="M29" t="str">
        <f t="shared" si="3"/>
        <v/>
      </c>
      <c r="N29" t="str">
        <f t="shared" si="4"/>
        <v/>
      </c>
      <c r="O29" t="str">
        <f t="shared" si="5"/>
        <v/>
      </c>
      <c r="P29" t="str">
        <f t="shared" si="6"/>
        <v/>
      </c>
    </row>
    <row r="30" spans="1:16" x14ac:dyDescent="0.75">
      <c r="A30" t="str">
        <f>IFERROR(SMALL(Sheet1!K:K, ROW(A29)), "")</f>
        <v/>
      </c>
      <c r="B30" t="str" cm="1">
        <f t="array" ref="B30">IF(A30="", "", INDEX(Sheet1!$A:$A, A30, ))</f>
        <v/>
      </c>
      <c r="C30" t="str" cm="1">
        <f t="array" ref="C30">IF(A30="", "", INDEX(Sheet1!$B:$B, A30, ))</f>
        <v/>
      </c>
      <c r="D30" t="str" cm="1">
        <f t="array" ref="D30">IF(A30="", "", INDEX(Sheet1!$C:$C, A30, ))</f>
        <v/>
      </c>
      <c r="E30" t="str" cm="1">
        <f t="array" ref="E30">IF(A30="", "", INDEX(Sheet1!$D:$D, A30, ))</f>
        <v/>
      </c>
      <c r="F30" t="str" cm="1">
        <f t="array" ref="F30">IF(A30="", "", INDEX(Sheet1!$E:$E, A30, ))</f>
        <v/>
      </c>
      <c r="G30" t="str" cm="1">
        <f t="array" ref="G30">IF(A30="", "", INDEX(Sheet1!$F:$F, A30, ))</f>
        <v/>
      </c>
      <c r="H30" t="str" cm="1">
        <f t="array" ref="H30">IF(A30="", "", INDEX(Sheet1!$G:$G, A30, ))</f>
        <v/>
      </c>
      <c r="I30" t="str" cm="1">
        <f t="array" ref="I30">IF(A30="", "", INDEX(Sheet1!$H:$H, A30, ))</f>
        <v/>
      </c>
      <c r="J30" t="str">
        <f t="shared" si="0"/>
        <v/>
      </c>
      <c r="K30" t="str">
        <f t="shared" si="1"/>
        <v/>
      </c>
      <c r="L30" t="str">
        <f t="shared" si="2"/>
        <v/>
      </c>
      <c r="M30" t="str">
        <f t="shared" si="3"/>
        <v/>
      </c>
      <c r="N30" t="str">
        <f t="shared" si="4"/>
        <v/>
      </c>
      <c r="O30" t="str">
        <f t="shared" si="5"/>
        <v/>
      </c>
      <c r="P30" t="str">
        <f t="shared" si="6"/>
        <v/>
      </c>
    </row>
    <row r="31" spans="1:16" x14ac:dyDescent="0.75">
      <c r="A31" t="str">
        <f>IFERROR(SMALL(Sheet1!K:K, ROW(A30)), "")</f>
        <v/>
      </c>
      <c r="B31" t="str" cm="1">
        <f t="array" ref="B31">IF(A31="", "", INDEX(Sheet1!$A:$A, A31, ))</f>
        <v/>
      </c>
      <c r="C31" t="str" cm="1">
        <f t="array" ref="C31">IF(A31="", "", INDEX(Sheet1!$B:$B, A31, ))</f>
        <v/>
      </c>
      <c r="D31" t="str" cm="1">
        <f t="array" ref="D31">IF(A31="", "", INDEX(Sheet1!$C:$C, A31, ))</f>
        <v/>
      </c>
      <c r="E31" t="str" cm="1">
        <f t="array" ref="E31">IF(A31="", "", INDEX(Sheet1!$D:$D, A31, ))</f>
        <v/>
      </c>
      <c r="F31" t="str" cm="1">
        <f t="array" ref="F31">IF(A31="", "", INDEX(Sheet1!$E:$E, A31, ))</f>
        <v/>
      </c>
      <c r="G31" t="str" cm="1">
        <f t="array" ref="G31">IF(A31="", "", INDEX(Sheet1!$F:$F, A31, ))</f>
        <v/>
      </c>
      <c r="H31" t="str" cm="1">
        <f t="array" ref="H31">IF(A31="", "", INDEX(Sheet1!$G:$G, A31, ))</f>
        <v/>
      </c>
      <c r="I31" t="str" cm="1">
        <f t="array" ref="I31">IF(A31="", "", INDEX(Sheet1!$H:$H, A31, ))</f>
        <v/>
      </c>
      <c r="J31" t="str">
        <f t="shared" si="0"/>
        <v/>
      </c>
      <c r="K31" t="str">
        <f t="shared" si="1"/>
        <v/>
      </c>
      <c r="L31" t="str">
        <f t="shared" si="2"/>
        <v/>
      </c>
      <c r="M31" t="str">
        <f t="shared" si="3"/>
        <v/>
      </c>
      <c r="N31" t="str">
        <f t="shared" si="4"/>
        <v/>
      </c>
      <c r="O31" t="str">
        <f t="shared" si="5"/>
        <v/>
      </c>
      <c r="P31" t="str">
        <f t="shared" si="6"/>
        <v/>
      </c>
    </row>
    <row r="32" spans="1:16" x14ac:dyDescent="0.75">
      <c r="A32" t="str">
        <f>IFERROR(SMALL(Sheet1!K:K, ROW(A31)), "")</f>
        <v/>
      </c>
      <c r="B32" t="str" cm="1">
        <f t="array" ref="B32">IF(A32="", "", INDEX(Sheet1!$A:$A, A32, ))</f>
        <v/>
      </c>
      <c r="C32" t="str" cm="1">
        <f t="array" ref="C32">IF(A32="", "", INDEX(Sheet1!$B:$B, A32, ))</f>
        <v/>
      </c>
      <c r="D32" t="str" cm="1">
        <f t="array" ref="D32">IF(A32="", "", INDEX(Sheet1!$C:$C, A32, ))</f>
        <v/>
      </c>
      <c r="E32" t="str" cm="1">
        <f t="array" ref="E32">IF(A32="", "", INDEX(Sheet1!$D:$D, A32, ))</f>
        <v/>
      </c>
      <c r="F32" t="str" cm="1">
        <f t="array" ref="F32">IF(A32="", "", INDEX(Sheet1!$E:$E, A32, ))</f>
        <v/>
      </c>
      <c r="G32" t="str" cm="1">
        <f t="array" ref="G32">IF(A32="", "", INDEX(Sheet1!$F:$F, A32, ))</f>
        <v/>
      </c>
      <c r="H32" t="str" cm="1">
        <f t="array" ref="H32">IF(A32="", "", INDEX(Sheet1!$G:$G, A32, ))</f>
        <v/>
      </c>
      <c r="I32" t="str" cm="1">
        <f t="array" ref="I32">IF(A32="", "", INDEX(Sheet1!$H:$H, A32, ))</f>
        <v/>
      </c>
      <c r="J32" t="str">
        <f t="shared" si="0"/>
        <v/>
      </c>
      <c r="K32" t="str">
        <f t="shared" si="1"/>
        <v/>
      </c>
      <c r="L32" t="str">
        <f t="shared" si="2"/>
        <v/>
      </c>
      <c r="M32" t="str">
        <f t="shared" si="3"/>
        <v/>
      </c>
      <c r="N32" t="str">
        <f t="shared" si="4"/>
        <v/>
      </c>
      <c r="O32" t="str">
        <f t="shared" si="5"/>
        <v/>
      </c>
      <c r="P32" t="str">
        <f t="shared" si="6"/>
        <v/>
      </c>
    </row>
    <row r="33" spans="1:16" x14ac:dyDescent="0.75">
      <c r="A33" t="str">
        <f>IFERROR(SMALL(Sheet1!K:K, ROW(A32)), "")</f>
        <v/>
      </c>
      <c r="B33" t="str" cm="1">
        <f t="array" ref="B33">IF(A33="", "", INDEX(Sheet1!$A:$A, A33, ))</f>
        <v/>
      </c>
      <c r="C33" t="str" cm="1">
        <f t="array" ref="C33">IF(A33="", "", INDEX(Sheet1!$B:$B, A33, ))</f>
        <v/>
      </c>
      <c r="D33" t="str" cm="1">
        <f t="array" ref="D33">IF(A33="", "", INDEX(Sheet1!$C:$C, A33, ))</f>
        <v/>
      </c>
      <c r="E33" t="str" cm="1">
        <f t="array" ref="E33">IF(A33="", "", INDEX(Sheet1!$D:$D, A33, ))</f>
        <v/>
      </c>
      <c r="F33" t="str" cm="1">
        <f t="array" ref="F33">IF(A33="", "", INDEX(Sheet1!$E:$E, A33, ))</f>
        <v/>
      </c>
      <c r="G33" t="str" cm="1">
        <f t="array" ref="G33">IF(A33="", "", INDEX(Sheet1!$F:$F, A33, ))</f>
        <v/>
      </c>
      <c r="H33" t="str" cm="1">
        <f t="array" ref="H33">IF(A33="", "", INDEX(Sheet1!$G:$G, A33, ))</f>
        <v/>
      </c>
      <c r="I33" t="str" cm="1">
        <f t="array" ref="I33">IF(A33="", "", INDEX(Sheet1!$H:$H, A33, ))</f>
        <v/>
      </c>
      <c r="J33" t="str">
        <f t="shared" si="0"/>
        <v/>
      </c>
      <c r="K33" t="str">
        <f t="shared" si="1"/>
        <v/>
      </c>
      <c r="L33" t="str">
        <f t="shared" si="2"/>
        <v/>
      </c>
      <c r="M33" t="str">
        <f t="shared" si="3"/>
        <v/>
      </c>
      <c r="N33" t="str">
        <f t="shared" si="4"/>
        <v/>
      </c>
      <c r="O33" t="str">
        <f t="shared" si="5"/>
        <v/>
      </c>
      <c r="P33" t="str">
        <f t="shared" si="6"/>
        <v/>
      </c>
    </row>
    <row r="34" spans="1:16" x14ac:dyDescent="0.75">
      <c r="A34" t="str">
        <f>IFERROR(SMALL(Sheet1!K:K, ROW(A33)), "")</f>
        <v/>
      </c>
      <c r="B34" t="str" cm="1">
        <f t="array" ref="B34">IF(A34="", "", INDEX(Sheet1!$A:$A, A34, ))</f>
        <v/>
      </c>
      <c r="C34" t="str" cm="1">
        <f t="array" ref="C34">IF(A34="", "", INDEX(Sheet1!$B:$B, A34, ))</f>
        <v/>
      </c>
      <c r="D34" t="str" cm="1">
        <f t="array" ref="D34">IF(A34="", "", INDEX(Sheet1!$C:$C, A34, ))</f>
        <v/>
      </c>
      <c r="E34" t="str" cm="1">
        <f t="array" ref="E34">IF(A34="", "", INDEX(Sheet1!$D:$D, A34, ))</f>
        <v/>
      </c>
      <c r="F34" t="str" cm="1">
        <f t="array" ref="F34">IF(A34="", "", INDEX(Sheet1!$E:$E, A34, ))</f>
        <v/>
      </c>
      <c r="G34" t="str" cm="1">
        <f t="array" ref="G34">IF(A34="", "", INDEX(Sheet1!$F:$F, A34, ))</f>
        <v/>
      </c>
      <c r="H34" t="str" cm="1">
        <f t="array" ref="H34">IF(A34="", "", INDEX(Sheet1!$G:$G, A34, ))</f>
        <v/>
      </c>
      <c r="I34" t="str" cm="1">
        <f t="array" ref="I34">IF(A34="", "", INDEX(Sheet1!$H:$H, A34, ))</f>
        <v/>
      </c>
      <c r="J34" t="str">
        <f t="shared" si="0"/>
        <v/>
      </c>
      <c r="K34" t="str">
        <f t="shared" si="1"/>
        <v/>
      </c>
      <c r="L34" t="str">
        <f t="shared" si="2"/>
        <v/>
      </c>
      <c r="M34" t="str">
        <f t="shared" si="3"/>
        <v/>
      </c>
      <c r="N34" t="str">
        <f t="shared" si="4"/>
        <v/>
      </c>
      <c r="O34" t="str">
        <f t="shared" si="5"/>
        <v/>
      </c>
      <c r="P34" t="str">
        <f t="shared" si="6"/>
        <v/>
      </c>
    </row>
    <row r="35" spans="1:16" x14ac:dyDescent="0.75">
      <c r="A35" t="str">
        <f>IFERROR(SMALL(Sheet1!K:K, ROW(A34)), "")</f>
        <v/>
      </c>
      <c r="B35" t="str" cm="1">
        <f t="array" ref="B35">IF(A35="", "", INDEX(Sheet1!$A:$A, A35, ))</f>
        <v/>
      </c>
      <c r="C35" t="str" cm="1">
        <f t="array" ref="C35">IF(A35="", "", INDEX(Sheet1!$B:$B, A35, ))</f>
        <v/>
      </c>
      <c r="D35" t="str" cm="1">
        <f t="array" ref="D35">IF(A35="", "", INDEX(Sheet1!$C:$C, A35, ))</f>
        <v/>
      </c>
      <c r="E35" t="str" cm="1">
        <f t="array" ref="E35">IF(A35="", "", INDEX(Sheet1!$D:$D, A35, ))</f>
        <v/>
      </c>
      <c r="F35" t="str" cm="1">
        <f t="array" ref="F35">IF(A35="", "", INDEX(Sheet1!$E:$E, A35, ))</f>
        <v/>
      </c>
      <c r="G35" t="str" cm="1">
        <f t="array" ref="G35">IF(A35="", "", INDEX(Sheet1!$F:$F, A35, ))</f>
        <v/>
      </c>
      <c r="H35" t="str" cm="1">
        <f t="array" ref="H35">IF(A35="", "", INDEX(Sheet1!$G:$G, A35, ))</f>
        <v/>
      </c>
      <c r="I35" t="str" cm="1">
        <f t="array" ref="I35">IF(A35="", "", INDEX(Sheet1!$H:$H, A35, ))</f>
        <v/>
      </c>
      <c r="J35" t="str">
        <f t="shared" si="0"/>
        <v/>
      </c>
      <c r="K35" t="str">
        <f t="shared" si="1"/>
        <v/>
      </c>
      <c r="L35" t="str">
        <f t="shared" si="2"/>
        <v/>
      </c>
      <c r="M35" t="str">
        <f t="shared" si="3"/>
        <v/>
      </c>
      <c r="N35" t="str">
        <f t="shared" si="4"/>
        <v/>
      </c>
      <c r="O35" t="str">
        <f t="shared" si="5"/>
        <v/>
      </c>
      <c r="P35" t="str">
        <f t="shared" si="6"/>
        <v/>
      </c>
    </row>
    <row r="36" spans="1:16" x14ac:dyDescent="0.75">
      <c r="A36" t="str">
        <f>IFERROR(SMALL(Sheet1!K:K, ROW(A35)), "")</f>
        <v/>
      </c>
      <c r="B36" t="str" cm="1">
        <f t="array" ref="B36">IF(A36="", "", INDEX(Sheet1!$A:$A, A36, ))</f>
        <v/>
      </c>
      <c r="C36" t="str" cm="1">
        <f t="array" ref="C36">IF(A36="", "", INDEX(Sheet1!$B:$B, A36, ))</f>
        <v/>
      </c>
      <c r="D36" t="str" cm="1">
        <f t="array" ref="D36">IF(A36="", "", INDEX(Sheet1!$C:$C, A36, ))</f>
        <v/>
      </c>
      <c r="E36" t="str" cm="1">
        <f t="array" ref="E36">IF(A36="", "", INDEX(Sheet1!$D:$D, A36, ))</f>
        <v/>
      </c>
      <c r="F36" t="str" cm="1">
        <f t="array" ref="F36">IF(A36="", "", INDEX(Sheet1!$E:$E, A36, ))</f>
        <v/>
      </c>
      <c r="G36" t="str" cm="1">
        <f t="array" ref="G36">IF(A36="", "", INDEX(Sheet1!$F:$F, A36, ))</f>
        <v/>
      </c>
      <c r="H36" t="str" cm="1">
        <f t="array" ref="H36">IF(A36="", "", INDEX(Sheet1!$G:$G, A36, ))</f>
        <v/>
      </c>
      <c r="I36" t="str" cm="1">
        <f t="array" ref="I36">IF(A36="", "", INDEX(Sheet1!$H:$H, A36, ))</f>
        <v/>
      </c>
      <c r="J36" t="str">
        <f t="shared" si="0"/>
        <v/>
      </c>
      <c r="K36" t="str">
        <f t="shared" si="1"/>
        <v/>
      </c>
      <c r="L36" t="str">
        <f t="shared" si="2"/>
        <v/>
      </c>
      <c r="M36" t="str">
        <f t="shared" si="3"/>
        <v/>
      </c>
      <c r="N36" t="str">
        <f t="shared" si="4"/>
        <v/>
      </c>
      <c r="O36" t="str">
        <f t="shared" si="5"/>
        <v/>
      </c>
      <c r="P36" t="str">
        <f t="shared" si="6"/>
        <v/>
      </c>
    </row>
    <row r="37" spans="1:16" x14ac:dyDescent="0.75">
      <c r="A37" t="str">
        <f>IFERROR(SMALL(Sheet1!K:K, ROW(A36)), "")</f>
        <v/>
      </c>
      <c r="B37" t="str" cm="1">
        <f t="array" ref="B37">IF(A37="", "", INDEX(Sheet1!$A:$A, A37, ))</f>
        <v/>
      </c>
      <c r="C37" t="str" cm="1">
        <f t="array" ref="C37">IF(A37="", "", INDEX(Sheet1!$B:$B, A37, ))</f>
        <v/>
      </c>
      <c r="D37" t="str" cm="1">
        <f t="array" ref="D37">IF(A37="", "", INDEX(Sheet1!$C:$C, A37, ))</f>
        <v/>
      </c>
      <c r="E37" t="str" cm="1">
        <f t="array" ref="E37">IF(A37="", "", INDEX(Sheet1!$D:$D, A37, ))</f>
        <v/>
      </c>
      <c r="F37" t="str" cm="1">
        <f t="array" ref="F37">IF(A37="", "", INDEX(Sheet1!$E:$E, A37, ))</f>
        <v/>
      </c>
      <c r="G37" t="str" cm="1">
        <f t="array" ref="G37">IF(A37="", "", INDEX(Sheet1!$F:$F, A37, ))</f>
        <v/>
      </c>
      <c r="H37" t="str" cm="1">
        <f t="array" ref="H37">IF(A37="", "", INDEX(Sheet1!$G:$G, A37, ))</f>
        <v/>
      </c>
      <c r="I37" t="str" cm="1">
        <f t="array" ref="I37">IF(A37="", "", INDEX(Sheet1!$H:$H, A37, ))</f>
        <v/>
      </c>
      <c r="J37" t="str">
        <f t="shared" si="0"/>
        <v/>
      </c>
      <c r="K37" t="str">
        <f t="shared" si="1"/>
        <v/>
      </c>
      <c r="L37" t="str">
        <f t="shared" si="2"/>
        <v/>
      </c>
      <c r="M37" t="str">
        <f t="shared" si="3"/>
        <v/>
      </c>
      <c r="N37" t="str">
        <f t="shared" si="4"/>
        <v/>
      </c>
      <c r="O37" t="str">
        <f t="shared" si="5"/>
        <v/>
      </c>
      <c r="P37" t="str">
        <f t="shared" si="6"/>
        <v/>
      </c>
    </row>
    <row r="38" spans="1:16" x14ac:dyDescent="0.75">
      <c r="A38" t="str">
        <f>IFERROR(SMALL(Sheet1!K:K, ROW(A37)), "")</f>
        <v/>
      </c>
      <c r="B38" t="str" cm="1">
        <f t="array" ref="B38">IF(A38="", "", INDEX(Sheet1!$A:$A, A38, ))</f>
        <v/>
      </c>
      <c r="C38" t="str" cm="1">
        <f t="array" ref="C38">IF(A38="", "", INDEX(Sheet1!$B:$B, A38, ))</f>
        <v/>
      </c>
      <c r="D38" t="str" cm="1">
        <f t="array" ref="D38">IF(A38="", "", INDEX(Sheet1!$C:$C, A38, ))</f>
        <v/>
      </c>
      <c r="E38" t="str" cm="1">
        <f t="array" ref="E38">IF(A38="", "", INDEX(Sheet1!$D:$D, A38, ))</f>
        <v/>
      </c>
      <c r="F38" t="str" cm="1">
        <f t="array" ref="F38">IF(A38="", "", INDEX(Sheet1!$E:$E, A38, ))</f>
        <v/>
      </c>
      <c r="G38" t="str" cm="1">
        <f t="array" ref="G38">IF(A38="", "", INDEX(Sheet1!$F:$F, A38, ))</f>
        <v/>
      </c>
      <c r="H38" t="str" cm="1">
        <f t="array" ref="H38">IF(A38="", "", INDEX(Sheet1!$G:$G, A38, ))</f>
        <v/>
      </c>
      <c r="I38" t="str" cm="1">
        <f t="array" ref="I38">IF(A38="", "", INDEX(Sheet1!$H:$H, A38, ))</f>
        <v/>
      </c>
      <c r="J38" t="str">
        <f t="shared" si="0"/>
        <v/>
      </c>
      <c r="K38" t="str">
        <f t="shared" si="1"/>
        <v/>
      </c>
      <c r="L38" t="str">
        <f t="shared" si="2"/>
        <v/>
      </c>
      <c r="M38" t="str">
        <f t="shared" si="3"/>
        <v/>
      </c>
      <c r="N38" t="str">
        <f t="shared" si="4"/>
        <v/>
      </c>
      <c r="O38" t="str">
        <f t="shared" si="5"/>
        <v/>
      </c>
      <c r="P38" t="str">
        <f t="shared" si="6"/>
        <v/>
      </c>
    </row>
    <row r="39" spans="1:16" x14ac:dyDescent="0.75">
      <c r="A39" t="str">
        <f>IFERROR(SMALL(Sheet1!K:K, ROW(A38)), "")</f>
        <v/>
      </c>
      <c r="B39" t="str" cm="1">
        <f t="array" ref="B39">IF(A39="", "", INDEX(Sheet1!$A:$A, A39, ))</f>
        <v/>
      </c>
      <c r="C39" t="str" cm="1">
        <f t="array" ref="C39">IF(A39="", "", INDEX(Sheet1!$B:$B, A39, ))</f>
        <v/>
      </c>
      <c r="D39" t="str" cm="1">
        <f t="array" ref="D39">IF(A39="", "", INDEX(Sheet1!$C:$C, A39, ))</f>
        <v/>
      </c>
      <c r="E39" t="str" cm="1">
        <f t="array" ref="E39">IF(A39="", "", INDEX(Sheet1!$D:$D, A39, ))</f>
        <v/>
      </c>
      <c r="F39" t="str" cm="1">
        <f t="array" ref="F39">IF(A39="", "", INDEX(Sheet1!$E:$E, A39, ))</f>
        <v/>
      </c>
      <c r="G39" t="str" cm="1">
        <f t="array" ref="G39">IF(A39="", "", INDEX(Sheet1!$F:$F, A39, ))</f>
        <v/>
      </c>
      <c r="H39" t="str" cm="1">
        <f t="array" ref="H39">IF(A39="", "", INDEX(Sheet1!$G:$G, A39, ))</f>
        <v/>
      </c>
      <c r="I39" t="str" cm="1">
        <f t="array" ref="I39">IF(A39="", "", INDEX(Sheet1!$H:$H, A39, ))</f>
        <v/>
      </c>
      <c r="J39" t="str">
        <f t="shared" si="0"/>
        <v/>
      </c>
      <c r="K39" t="str">
        <f t="shared" si="1"/>
        <v/>
      </c>
      <c r="L39" t="str">
        <f t="shared" si="2"/>
        <v/>
      </c>
      <c r="M39" t="str">
        <f t="shared" si="3"/>
        <v/>
      </c>
      <c r="N39" t="str">
        <f t="shared" si="4"/>
        <v/>
      </c>
      <c r="O39" t="str">
        <f t="shared" si="5"/>
        <v/>
      </c>
      <c r="P39" t="str">
        <f t="shared" si="6"/>
        <v/>
      </c>
    </row>
    <row r="40" spans="1:16" x14ac:dyDescent="0.75">
      <c r="A40" t="str">
        <f>IFERROR(SMALL(Sheet1!K:K, ROW(A39)), "")</f>
        <v/>
      </c>
      <c r="B40" t="str" cm="1">
        <f t="array" ref="B40">IF(A40="", "", INDEX(Sheet1!$A:$A, A40, ))</f>
        <v/>
      </c>
      <c r="C40" t="str" cm="1">
        <f t="array" ref="C40">IF(A40="", "", INDEX(Sheet1!$B:$B, A40, ))</f>
        <v/>
      </c>
      <c r="D40" t="str" cm="1">
        <f t="array" ref="D40">IF(A40="", "", INDEX(Sheet1!$C:$C, A40, ))</f>
        <v/>
      </c>
      <c r="E40" t="str" cm="1">
        <f t="array" ref="E40">IF(A40="", "", INDEX(Sheet1!$D:$D, A40, ))</f>
        <v/>
      </c>
      <c r="F40" t="str" cm="1">
        <f t="array" ref="F40">IF(A40="", "", INDEX(Sheet1!$E:$E, A40, ))</f>
        <v/>
      </c>
      <c r="G40" t="str" cm="1">
        <f t="array" ref="G40">IF(A40="", "", INDEX(Sheet1!$F:$F, A40, ))</f>
        <v/>
      </c>
      <c r="H40" t="str" cm="1">
        <f t="array" ref="H40">IF(A40="", "", INDEX(Sheet1!$G:$G, A40, ))</f>
        <v/>
      </c>
      <c r="I40" t="str" cm="1">
        <f t="array" ref="I40">IF(A40="", "", INDEX(Sheet1!$H:$H, A40, ))</f>
        <v/>
      </c>
      <c r="J40" t="str">
        <f t="shared" si="0"/>
        <v/>
      </c>
      <c r="K40" t="str">
        <f t="shared" si="1"/>
        <v/>
      </c>
      <c r="L40" t="str">
        <f t="shared" si="2"/>
        <v/>
      </c>
      <c r="M40" t="str">
        <f t="shared" si="3"/>
        <v/>
      </c>
      <c r="N40" t="str">
        <f t="shared" si="4"/>
        <v/>
      </c>
      <c r="O40" t="str">
        <f t="shared" si="5"/>
        <v/>
      </c>
      <c r="P40" t="str">
        <f t="shared" si="6"/>
        <v/>
      </c>
    </row>
    <row r="41" spans="1:16" x14ac:dyDescent="0.75">
      <c r="A41" t="str">
        <f>IFERROR(SMALL(Sheet1!K:K, ROW(A40)), "")</f>
        <v/>
      </c>
      <c r="B41" t="str" cm="1">
        <f t="array" ref="B41">IF(A41="", "", INDEX(Sheet1!$A:$A, A41, ))</f>
        <v/>
      </c>
      <c r="C41" t="str" cm="1">
        <f t="array" ref="C41">IF(A41="", "", INDEX(Sheet1!$B:$B, A41, ))</f>
        <v/>
      </c>
      <c r="D41" t="str" cm="1">
        <f t="array" ref="D41">IF(A41="", "", INDEX(Sheet1!$C:$C, A41, ))</f>
        <v/>
      </c>
      <c r="E41" t="str" cm="1">
        <f t="array" ref="E41">IF(A41="", "", INDEX(Sheet1!$D:$D, A41, ))</f>
        <v/>
      </c>
      <c r="F41" t="str" cm="1">
        <f t="array" ref="F41">IF(A41="", "", INDEX(Sheet1!$E:$E, A41, ))</f>
        <v/>
      </c>
      <c r="G41" t="str" cm="1">
        <f t="array" ref="G41">IF(A41="", "", INDEX(Sheet1!$F:$F, A41, ))</f>
        <v/>
      </c>
      <c r="H41" t="str" cm="1">
        <f t="array" ref="H41">IF(A41="", "", INDEX(Sheet1!$G:$G, A41, ))</f>
        <v/>
      </c>
      <c r="I41" t="str" cm="1">
        <f t="array" ref="I41">IF(A41="", "", INDEX(Sheet1!$H:$H, A41, ))</f>
        <v/>
      </c>
      <c r="J41" t="str">
        <f t="shared" si="0"/>
        <v/>
      </c>
      <c r="K41" t="str">
        <f t="shared" si="1"/>
        <v/>
      </c>
      <c r="L41" t="str">
        <f t="shared" si="2"/>
        <v/>
      </c>
      <c r="M41" t="str">
        <f t="shared" si="3"/>
        <v/>
      </c>
      <c r="N41" t="str">
        <f t="shared" si="4"/>
        <v/>
      </c>
      <c r="O41" t="str">
        <f t="shared" si="5"/>
        <v/>
      </c>
      <c r="P41" t="str">
        <f t="shared" si="6"/>
        <v/>
      </c>
    </row>
    <row r="42" spans="1:16" x14ac:dyDescent="0.75">
      <c r="A42" t="str">
        <f>IFERROR(SMALL(Sheet1!K:K, ROW(A41)), "")</f>
        <v/>
      </c>
      <c r="B42" t="str" cm="1">
        <f t="array" ref="B42">IF(A42="", "", INDEX(Sheet1!$A:$A, A42, ))</f>
        <v/>
      </c>
      <c r="C42" t="str" cm="1">
        <f t="array" ref="C42">IF(A42="", "", INDEX(Sheet1!$B:$B, A42, ))</f>
        <v/>
      </c>
      <c r="D42" t="str" cm="1">
        <f t="array" ref="D42">IF(A42="", "", INDEX(Sheet1!$C:$C, A42, ))</f>
        <v/>
      </c>
      <c r="E42" t="str" cm="1">
        <f t="array" ref="E42">IF(A42="", "", INDEX(Sheet1!$D:$D, A42, ))</f>
        <v/>
      </c>
      <c r="F42" t="str" cm="1">
        <f t="array" ref="F42">IF(A42="", "", INDEX(Sheet1!$E:$E, A42, ))</f>
        <v/>
      </c>
      <c r="G42" t="str" cm="1">
        <f t="array" ref="G42">IF(A42="", "", INDEX(Sheet1!$F:$F, A42, ))</f>
        <v/>
      </c>
      <c r="H42" t="str" cm="1">
        <f t="array" ref="H42">IF(A42="", "", INDEX(Sheet1!$G:$G, A42, ))</f>
        <v/>
      </c>
      <c r="I42" t="str" cm="1">
        <f t="array" ref="I42">IF(A42="", "", INDEX(Sheet1!$H:$H, A42, ))</f>
        <v/>
      </c>
      <c r="J42" t="str">
        <f t="shared" si="0"/>
        <v/>
      </c>
      <c r="K42" t="str">
        <f t="shared" si="1"/>
        <v/>
      </c>
      <c r="L42" t="str">
        <f t="shared" si="2"/>
        <v/>
      </c>
      <c r="M42" t="str">
        <f t="shared" si="3"/>
        <v/>
      </c>
      <c r="N42" t="str">
        <f t="shared" si="4"/>
        <v/>
      </c>
      <c r="O42" t="str">
        <f t="shared" si="5"/>
        <v/>
      </c>
      <c r="P42" t="str">
        <f t="shared" si="6"/>
        <v/>
      </c>
    </row>
    <row r="43" spans="1:16" x14ac:dyDescent="0.75">
      <c r="A43" t="str">
        <f>IFERROR(SMALL(Sheet1!K:K, ROW(A42)), "")</f>
        <v/>
      </c>
      <c r="B43" t="str" cm="1">
        <f t="array" ref="B43">IF(A43="", "", INDEX(Sheet1!$A:$A, A43, ))</f>
        <v/>
      </c>
      <c r="C43" t="str" cm="1">
        <f t="array" ref="C43">IF(A43="", "", INDEX(Sheet1!$B:$B, A43, ))</f>
        <v/>
      </c>
      <c r="D43" t="str" cm="1">
        <f t="array" ref="D43">IF(A43="", "", INDEX(Sheet1!$C:$C, A43, ))</f>
        <v/>
      </c>
      <c r="E43" t="str" cm="1">
        <f t="array" ref="E43">IF(A43="", "", INDEX(Sheet1!$D:$D, A43, ))</f>
        <v/>
      </c>
      <c r="F43" t="str" cm="1">
        <f t="array" ref="F43">IF(A43="", "", INDEX(Sheet1!$E:$E, A43, ))</f>
        <v/>
      </c>
      <c r="G43" t="str" cm="1">
        <f t="array" ref="G43">IF(A43="", "", INDEX(Sheet1!$F:$F, A43, ))</f>
        <v/>
      </c>
      <c r="H43" t="str" cm="1">
        <f t="array" ref="H43">IF(A43="", "", INDEX(Sheet1!$G:$G, A43, ))</f>
        <v/>
      </c>
      <c r="I43" t="str" cm="1">
        <f t="array" ref="I43">IF(A43="", "", INDEX(Sheet1!$H:$H, A43, ))</f>
        <v/>
      </c>
      <c r="J43" t="str">
        <f t="shared" si="0"/>
        <v/>
      </c>
      <c r="K43" t="str">
        <f t="shared" si="1"/>
        <v/>
      </c>
      <c r="L43" t="str">
        <f t="shared" si="2"/>
        <v/>
      </c>
      <c r="M43" t="str">
        <f t="shared" si="3"/>
        <v/>
      </c>
      <c r="N43" t="str">
        <f t="shared" si="4"/>
        <v/>
      </c>
      <c r="O43" t="str">
        <f t="shared" si="5"/>
        <v/>
      </c>
      <c r="P43" t="str">
        <f t="shared" si="6"/>
        <v/>
      </c>
    </row>
    <row r="44" spans="1:16" x14ac:dyDescent="0.75">
      <c r="A44" t="str">
        <f>IFERROR(SMALL(Sheet1!K:K, ROW(A43)), "")</f>
        <v/>
      </c>
      <c r="B44" t="str" cm="1">
        <f t="array" ref="B44">IF(A44="", "", INDEX(Sheet1!$A:$A, A44, ))</f>
        <v/>
      </c>
      <c r="C44" t="str" cm="1">
        <f t="array" ref="C44">IF(A44="", "", INDEX(Sheet1!$B:$B, A44, ))</f>
        <v/>
      </c>
      <c r="D44" t="str" cm="1">
        <f t="array" ref="D44">IF(A44="", "", INDEX(Sheet1!$C:$C, A44, ))</f>
        <v/>
      </c>
      <c r="E44" t="str" cm="1">
        <f t="array" ref="E44">IF(A44="", "", INDEX(Sheet1!$D:$D, A44, ))</f>
        <v/>
      </c>
      <c r="F44" t="str" cm="1">
        <f t="array" ref="F44">IF(A44="", "", INDEX(Sheet1!$E:$E, A44, ))</f>
        <v/>
      </c>
      <c r="G44" t="str" cm="1">
        <f t="array" ref="G44">IF(A44="", "", INDEX(Sheet1!$F:$F, A44, ))</f>
        <v/>
      </c>
      <c r="H44" t="str" cm="1">
        <f t="array" ref="H44">IF(A44="", "", INDEX(Sheet1!$G:$G, A44, ))</f>
        <v/>
      </c>
      <c r="I44" t="str" cm="1">
        <f t="array" ref="I44">IF(A44="", "", INDEX(Sheet1!$H:$H, A44, ))</f>
        <v/>
      </c>
      <c r="J44" t="str">
        <f t="shared" si="0"/>
        <v/>
      </c>
      <c r="K44" t="str">
        <f t="shared" si="1"/>
        <v/>
      </c>
      <c r="L44" t="str">
        <f t="shared" si="2"/>
        <v/>
      </c>
      <c r="M44" t="str">
        <f t="shared" si="3"/>
        <v/>
      </c>
      <c r="N44" t="str">
        <f t="shared" si="4"/>
        <v/>
      </c>
      <c r="O44" t="str">
        <f t="shared" si="5"/>
        <v/>
      </c>
      <c r="P44" t="str">
        <f t="shared" si="6"/>
        <v/>
      </c>
    </row>
    <row r="45" spans="1:16" x14ac:dyDescent="0.75">
      <c r="A45" t="str">
        <f>IFERROR(SMALL(Sheet1!K:K, ROW(A44)), "")</f>
        <v/>
      </c>
      <c r="B45" t="str" cm="1">
        <f t="array" ref="B45">IF(A45="", "", INDEX(Sheet1!$A:$A, A45, ))</f>
        <v/>
      </c>
      <c r="C45" t="str" cm="1">
        <f t="array" ref="C45">IF(A45="", "", INDEX(Sheet1!$B:$B, A45, ))</f>
        <v/>
      </c>
      <c r="D45" t="str" cm="1">
        <f t="array" ref="D45">IF(A45="", "", INDEX(Sheet1!$C:$C, A45, ))</f>
        <v/>
      </c>
      <c r="E45" t="str" cm="1">
        <f t="array" ref="E45">IF(A45="", "", INDEX(Sheet1!$D:$D, A45, ))</f>
        <v/>
      </c>
      <c r="F45" t="str" cm="1">
        <f t="array" ref="F45">IF(A45="", "", INDEX(Sheet1!$E:$E, A45, ))</f>
        <v/>
      </c>
      <c r="G45" t="str" cm="1">
        <f t="array" ref="G45">IF(A45="", "", INDEX(Sheet1!$F:$F, A45, ))</f>
        <v/>
      </c>
      <c r="H45" t="str" cm="1">
        <f t="array" ref="H45">IF(A45="", "", INDEX(Sheet1!$G:$G, A45, ))</f>
        <v/>
      </c>
      <c r="I45" t="str" cm="1">
        <f t="array" ref="I45">IF(A45="", "", INDEX(Sheet1!$H:$H, A45, ))</f>
        <v/>
      </c>
      <c r="J45" t="str">
        <f t="shared" si="0"/>
        <v/>
      </c>
      <c r="K45" t="str">
        <f t="shared" si="1"/>
        <v/>
      </c>
      <c r="L45" t="str">
        <f t="shared" si="2"/>
        <v/>
      </c>
      <c r="M45" t="str">
        <f t="shared" si="3"/>
        <v/>
      </c>
      <c r="N45" t="str">
        <f t="shared" si="4"/>
        <v/>
      </c>
      <c r="O45" t="str">
        <f t="shared" si="5"/>
        <v/>
      </c>
      <c r="P45" t="str">
        <f t="shared" si="6"/>
        <v/>
      </c>
    </row>
    <row r="46" spans="1:16" x14ac:dyDescent="0.75">
      <c r="A46" t="str">
        <f>IFERROR(SMALL(Sheet1!K:K, ROW(A45)), "")</f>
        <v/>
      </c>
      <c r="B46" t="str" cm="1">
        <f t="array" ref="B46">IF(A46="", "", INDEX(Sheet1!$A:$A, A46, ))</f>
        <v/>
      </c>
      <c r="C46" t="str" cm="1">
        <f t="array" ref="C46">IF(A46="", "", INDEX(Sheet1!$B:$B, A46, ))</f>
        <v/>
      </c>
      <c r="D46" t="str" cm="1">
        <f t="array" ref="D46">IF(A46="", "", INDEX(Sheet1!$C:$C, A46, ))</f>
        <v/>
      </c>
      <c r="E46" t="str" cm="1">
        <f t="array" ref="E46">IF(A46="", "", INDEX(Sheet1!$D:$D, A46, ))</f>
        <v/>
      </c>
      <c r="F46" t="str" cm="1">
        <f t="array" ref="F46">IF(A46="", "", INDEX(Sheet1!$E:$E, A46, ))</f>
        <v/>
      </c>
      <c r="G46" t="str" cm="1">
        <f t="array" ref="G46">IF(A46="", "", INDEX(Sheet1!$F:$F, A46, ))</f>
        <v/>
      </c>
      <c r="H46" t="str" cm="1">
        <f t="array" ref="H46">IF(A46="", "", INDEX(Sheet1!$G:$G, A46, ))</f>
        <v/>
      </c>
      <c r="I46" t="str" cm="1">
        <f t="array" ref="I46">IF(A46="", "", INDEX(Sheet1!$H:$H, A46, ))</f>
        <v/>
      </c>
      <c r="J46" t="str">
        <f t="shared" si="0"/>
        <v/>
      </c>
      <c r="K46" t="str">
        <f t="shared" si="1"/>
        <v/>
      </c>
      <c r="L46" t="str">
        <f t="shared" si="2"/>
        <v/>
      </c>
      <c r="M46" t="str">
        <f t="shared" si="3"/>
        <v/>
      </c>
      <c r="N46" t="str">
        <f t="shared" si="4"/>
        <v/>
      </c>
      <c r="O46" t="str">
        <f t="shared" si="5"/>
        <v/>
      </c>
      <c r="P46" t="str">
        <f t="shared" si="6"/>
        <v/>
      </c>
    </row>
    <row r="47" spans="1:16" x14ac:dyDescent="0.75">
      <c r="A47" t="str">
        <f>IFERROR(SMALL(Sheet1!K:K, ROW(A46)), "")</f>
        <v/>
      </c>
      <c r="B47" t="str" cm="1">
        <f t="array" ref="B47">IF(A47="", "", INDEX(Sheet1!$A:$A, A47, ))</f>
        <v/>
      </c>
      <c r="C47" t="str" cm="1">
        <f t="array" ref="C47">IF(A47="", "", INDEX(Sheet1!$B:$B, A47, ))</f>
        <v/>
      </c>
      <c r="D47" t="str" cm="1">
        <f t="array" ref="D47">IF(A47="", "", INDEX(Sheet1!$C:$C, A47, ))</f>
        <v/>
      </c>
      <c r="E47" t="str" cm="1">
        <f t="array" ref="E47">IF(A47="", "", INDEX(Sheet1!$D:$D, A47, ))</f>
        <v/>
      </c>
      <c r="F47" t="str" cm="1">
        <f t="array" ref="F47">IF(A47="", "", INDEX(Sheet1!$E:$E, A47, ))</f>
        <v/>
      </c>
      <c r="G47" t="str" cm="1">
        <f t="array" ref="G47">IF(A47="", "", INDEX(Sheet1!$F:$F, A47, ))</f>
        <v/>
      </c>
      <c r="H47" t="str" cm="1">
        <f t="array" ref="H47">IF(A47="", "", INDEX(Sheet1!$G:$G, A47, ))</f>
        <v/>
      </c>
      <c r="I47" t="str" cm="1">
        <f t="array" ref="I47">IF(A47="", "", INDEX(Sheet1!$H:$H, A47, ))</f>
        <v/>
      </c>
      <c r="J47" t="str">
        <f t="shared" si="0"/>
        <v/>
      </c>
      <c r="K47" t="str">
        <f t="shared" si="1"/>
        <v/>
      </c>
      <c r="L47" t="str">
        <f t="shared" si="2"/>
        <v/>
      </c>
      <c r="M47" t="str">
        <f t="shared" si="3"/>
        <v/>
      </c>
      <c r="N47" t="str">
        <f t="shared" si="4"/>
        <v/>
      </c>
      <c r="O47" t="str">
        <f t="shared" si="5"/>
        <v/>
      </c>
      <c r="P47" t="str">
        <f t="shared" si="6"/>
        <v/>
      </c>
    </row>
    <row r="48" spans="1:16" x14ac:dyDescent="0.75">
      <c r="A48" t="str">
        <f>IFERROR(SMALL(Sheet1!K:K, ROW(A47)), "")</f>
        <v/>
      </c>
      <c r="B48" t="str" cm="1">
        <f t="array" ref="B48">IF(A48="", "", INDEX(Sheet1!$A:$A, A48, ))</f>
        <v/>
      </c>
      <c r="C48" t="str" cm="1">
        <f t="array" ref="C48">IF(A48="", "", INDEX(Sheet1!$B:$B, A48, ))</f>
        <v/>
      </c>
      <c r="D48" t="str" cm="1">
        <f t="array" ref="D48">IF(A48="", "", INDEX(Sheet1!$C:$C, A48, ))</f>
        <v/>
      </c>
      <c r="E48" t="str" cm="1">
        <f t="array" ref="E48">IF(A48="", "", INDEX(Sheet1!$D:$D, A48, ))</f>
        <v/>
      </c>
      <c r="F48" t="str" cm="1">
        <f t="array" ref="F48">IF(A48="", "", INDEX(Sheet1!$E:$E, A48, ))</f>
        <v/>
      </c>
      <c r="G48" t="str" cm="1">
        <f t="array" ref="G48">IF(A48="", "", INDEX(Sheet1!$F:$F, A48, ))</f>
        <v/>
      </c>
      <c r="H48" t="str" cm="1">
        <f t="array" ref="H48">IF(A48="", "", INDEX(Sheet1!$G:$G, A48, ))</f>
        <v/>
      </c>
      <c r="I48" t="str" cm="1">
        <f t="array" ref="I48">IF(A48="", "", INDEX(Sheet1!$H:$H, A48, ))</f>
        <v/>
      </c>
      <c r="J48" t="str">
        <f t="shared" si="0"/>
        <v/>
      </c>
      <c r="K48" t="str">
        <f t="shared" si="1"/>
        <v/>
      </c>
      <c r="L48" t="str">
        <f t="shared" si="2"/>
        <v/>
      </c>
      <c r="M48" t="str">
        <f t="shared" si="3"/>
        <v/>
      </c>
      <c r="N48" t="str">
        <f t="shared" si="4"/>
        <v/>
      </c>
      <c r="O48" t="str">
        <f t="shared" si="5"/>
        <v/>
      </c>
      <c r="P48" t="str">
        <f t="shared" si="6"/>
        <v/>
      </c>
    </row>
    <row r="49" spans="1:16" x14ac:dyDescent="0.75">
      <c r="A49" t="str">
        <f>IFERROR(SMALL(Sheet1!K:K, ROW(A48)), "")</f>
        <v/>
      </c>
      <c r="B49" t="str" cm="1">
        <f t="array" ref="B49">IF(A49="", "", INDEX(Sheet1!$A:$A, A49, ))</f>
        <v/>
      </c>
      <c r="C49" t="str" cm="1">
        <f t="array" ref="C49">IF(A49="", "", INDEX(Sheet1!$B:$B, A49, ))</f>
        <v/>
      </c>
      <c r="D49" t="str" cm="1">
        <f t="array" ref="D49">IF(A49="", "", INDEX(Sheet1!$C:$C, A49, ))</f>
        <v/>
      </c>
      <c r="E49" t="str" cm="1">
        <f t="array" ref="E49">IF(A49="", "", INDEX(Sheet1!$D:$D, A49, ))</f>
        <v/>
      </c>
      <c r="F49" t="str" cm="1">
        <f t="array" ref="F49">IF(A49="", "", INDEX(Sheet1!$E:$E, A49, ))</f>
        <v/>
      </c>
      <c r="G49" t="str" cm="1">
        <f t="array" ref="G49">IF(A49="", "", INDEX(Sheet1!$F:$F, A49, ))</f>
        <v/>
      </c>
      <c r="H49" t="str" cm="1">
        <f t="array" ref="H49">IF(A49="", "", INDEX(Sheet1!$G:$G, A49, ))</f>
        <v/>
      </c>
      <c r="I49" t="str" cm="1">
        <f t="array" ref="I49">IF(A49="", "", INDEX(Sheet1!$H:$H, A49, ))</f>
        <v/>
      </c>
      <c r="J49" t="str">
        <f t="shared" si="0"/>
        <v/>
      </c>
      <c r="K49" t="str">
        <f t="shared" si="1"/>
        <v/>
      </c>
      <c r="L49" t="str">
        <f t="shared" si="2"/>
        <v/>
      </c>
      <c r="M49" t="str">
        <f t="shared" si="3"/>
        <v/>
      </c>
      <c r="N49" t="str">
        <f t="shared" si="4"/>
        <v/>
      </c>
      <c r="O49" t="str">
        <f t="shared" si="5"/>
        <v/>
      </c>
      <c r="P49" t="str">
        <f t="shared" si="6"/>
        <v/>
      </c>
    </row>
    <row r="50" spans="1:16" x14ac:dyDescent="0.75">
      <c r="A50" t="str">
        <f>IFERROR(SMALL(Sheet1!K:K, ROW(A49)), "")</f>
        <v/>
      </c>
      <c r="B50" t="str" cm="1">
        <f t="array" ref="B50">IF(A50="", "", INDEX(Sheet1!$A:$A, A50, ))</f>
        <v/>
      </c>
      <c r="C50" t="str" cm="1">
        <f t="array" ref="C50">IF(A50="", "", INDEX(Sheet1!$B:$B, A50, ))</f>
        <v/>
      </c>
      <c r="D50" t="str" cm="1">
        <f t="array" ref="D50">IF(A50="", "", INDEX(Sheet1!$C:$C, A50, ))</f>
        <v/>
      </c>
      <c r="E50" t="str" cm="1">
        <f t="array" ref="E50">IF(A50="", "", INDEX(Sheet1!$D:$D, A50, ))</f>
        <v/>
      </c>
      <c r="F50" t="str" cm="1">
        <f t="array" ref="F50">IF(A50="", "", INDEX(Sheet1!$E:$E, A50, ))</f>
        <v/>
      </c>
      <c r="G50" t="str" cm="1">
        <f t="array" ref="G50">IF(A50="", "", INDEX(Sheet1!$F:$F, A50, ))</f>
        <v/>
      </c>
      <c r="H50" t="str" cm="1">
        <f t="array" ref="H50">IF(A50="", "", INDEX(Sheet1!$G:$G, A50, ))</f>
        <v/>
      </c>
      <c r="I50" t="str" cm="1">
        <f t="array" ref="I50">IF(A50="", "", INDEX(Sheet1!$H:$H, A50, ))</f>
        <v/>
      </c>
      <c r="J50" t="str">
        <f t="shared" si="0"/>
        <v/>
      </c>
      <c r="K50" t="str">
        <f t="shared" si="1"/>
        <v/>
      </c>
      <c r="L50" t="str">
        <f t="shared" si="2"/>
        <v/>
      </c>
      <c r="M50" t="str">
        <f t="shared" si="3"/>
        <v/>
      </c>
      <c r="N50" t="str">
        <f t="shared" si="4"/>
        <v/>
      </c>
      <c r="O50" t="str">
        <f t="shared" si="5"/>
        <v/>
      </c>
      <c r="P50" t="str">
        <f t="shared" si="6"/>
        <v/>
      </c>
    </row>
    <row r="51" spans="1:16" x14ac:dyDescent="0.75">
      <c r="A51" t="str">
        <f>IFERROR(SMALL(Sheet1!K:K, ROW(A50)), "")</f>
        <v/>
      </c>
      <c r="B51" t="str" cm="1">
        <f t="array" ref="B51">IF(A51="", "", INDEX(Sheet1!$A:$A, A51, ))</f>
        <v/>
      </c>
      <c r="C51" t="str" cm="1">
        <f t="array" ref="C51">IF(A51="", "", INDEX(Sheet1!$B:$B, A51, ))</f>
        <v/>
      </c>
      <c r="D51" t="str" cm="1">
        <f t="array" ref="D51">IF(A51="", "", INDEX(Sheet1!$C:$C, A51, ))</f>
        <v/>
      </c>
      <c r="E51" t="str" cm="1">
        <f t="array" ref="E51">IF(A51="", "", INDEX(Sheet1!$D:$D, A51, ))</f>
        <v/>
      </c>
      <c r="F51" t="str" cm="1">
        <f t="array" ref="F51">IF(A51="", "", INDEX(Sheet1!$E:$E, A51, ))</f>
        <v/>
      </c>
      <c r="G51" t="str" cm="1">
        <f t="array" ref="G51">IF(A51="", "", INDEX(Sheet1!$F:$F, A51, ))</f>
        <v/>
      </c>
      <c r="H51" t="str" cm="1">
        <f t="array" ref="H51">IF(A51="", "", INDEX(Sheet1!$G:$G, A51, ))</f>
        <v/>
      </c>
      <c r="I51" t="str" cm="1">
        <f t="array" ref="I51">IF(A51="", "", INDEX(Sheet1!$H:$H, A51, ))</f>
        <v/>
      </c>
      <c r="J51" t="str">
        <f t="shared" si="0"/>
        <v/>
      </c>
      <c r="K51" t="str">
        <f t="shared" si="1"/>
        <v/>
      </c>
      <c r="L51" t="str">
        <f t="shared" si="2"/>
        <v/>
      </c>
      <c r="M51" t="str">
        <f t="shared" si="3"/>
        <v/>
      </c>
      <c r="N51" t="str">
        <f t="shared" si="4"/>
        <v/>
      </c>
      <c r="O51" t="str">
        <f t="shared" si="5"/>
        <v/>
      </c>
      <c r="P51" t="str">
        <f t="shared" si="6"/>
        <v/>
      </c>
    </row>
    <row r="52" spans="1:16" x14ac:dyDescent="0.75">
      <c r="A52" t="str">
        <f>IFERROR(SMALL(Sheet1!K:K, ROW(A51)), "")</f>
        <v/>
      </c>
      <c r="B52" t="str" cm="1">
        <f t="array" ref="B52">IF(A52="", "", INDEX(Sheet1!$A:$A, A52, ))</f>
        <v/>
      </c>
      <c r="C52" t="str" cm="1">
        <f t="array" ref="C52">IF(A52="", "", INDEX(Sheet1!$B:$B, A52, ))</f>
        <v/>
      </c>
      <c r="D52" t="str" cm="1">
        <f t="array" ref="D52">IF(A52="", "", INDEX(Sheet1!$C:$C, A52, ))</f>
        <v/>
      </c>
      <c r="E52" t="str" cm="1">
        <f t="array" ref="E52">IF(A52="", "", INDEX(Sheet1!$D:$D, A52, ))</f>
        <v/>
      </c>
      <c r="F52" t="str" cm="1">
        <f t="array" ref="F52">IF(A52="", "", INDEX(Sheet1!$E:$E, A52, ))</f>
        <v/>
      </c>
      <c r="G52" t="str" cm="1">
        <f t="array" ref="G52">IF(A52="", "", INDEX(Sheet1!$F:$F, A52, ))</f>
        <v/>
      </c>
      <c r="H52" t="str" cm="1">
        <f t="array" ref="H52">IF(A52="", "", INDEX(Sheet1!$G:$G, A52, ))</f>
        <v/>
      </c>
      <c r="I52" t="str" cm="1">
        <f t="array" ref="I52">IF(A52="", "", INDEX(Sheet1!$H:$H, A52, ))</f>
        <v/>
      </c>
      <c r="J52" t="str">
        <f t="shared" si="0"/>
        <v/>
      </c>
      <c r="K52" t="str">
        <f t="shared" si="1"/>
        <v/>
      </c>
      <c r="L52" t="str">
        <f t="shared" si="2"/>
        <v/>
      </c>
      <c r="M52" t="str">
        <f t="shared" si="3"/>
        <v/>
      </c>
      <c r="N52" t="str">
        <f t="shared" si="4"/>
        <v/>
      </c>
      <c r="O52" t="str">
        <f t="shared" si="5"/>
        <v/>
      </c>
      <c r="P52" t="str">
        <f t="shared" si="6"/>
        <v/>
      </c>
    </row>
    <row r="53" spans="1:16" x14ac:dyDescent="0.75">
      <c r="A53" t="str">
        <f>IFERROR(SMALL(Sheet1!K:K, ROW(A52)), "")</f>
        <v/>
      </c>
      <c r="B53" t="str" cm="1">
        <f t="array" ref="B53">IF(A53="", "", INDEX(Sheet1!$A:$A, A53, ))</f>
        <v/>
      </c>
      <c r="C53" t="str" cm="1">
        <f t="array" ref="C53">IF(A53="", "", INDEX(Sheet1!$B:$B, A53, ))</f>
        <v/>
      </c>
      <c r="D53" t="str" cm="1">
        <f t="array" ref="D53">IF(A53="", "", INDEX(Sheet1!$C:$C, A53, ))</f>
        <v/>
      </c>
      <c r="E53" t="str" cm="1">
        <f t="array" ref="E53">IF(A53="", "", INDEX(Sheet1!$D:$D, A53, ))</f>
        <v/>
      </c>
      <c r="F53" t="str" cm="1">
        <f t="array" ref="F53">IF(A53="", "", INDEX(Sheet1!$E:$E, A53, ))</f>
        <v/>
      </c>
      <c r="G53" t="str" cm="1">
        <f t="array" ref="G53">IF(A53="", "", INDEX(Sheet1!$F:$F, A53, ))</f>
        <v/>
      </c>
      <c r="H53" t="str" cm="1">
        <f t="array" ref="H53">IF(A53="", "", INDEX(Sheet1!$G:$G, A53, ))</f>
        <v/>
      </c>
      <c r="I53" t="str" cm="1">
        <f t="array" ref="I53">IF(A53="", "", INDEX(Sheet1!$H:$H, A53, ))</f>
        <v/>
      </c>
      <c r="J53" t="str">
        <f t="shared" si="0"/>
        <v/>
      </c>
      <c r="K53" t="str">
        <f t="shared" si="1"/>
        <v/>
      </c>
      <c r="L53" t="str">
        <f t="shared" si="2"/>
        <v/>
      </c>
      <c r="M53" t="str">
        <f t="shared" si="3"/>
        <v/>
      </c>
      <c r="N53" t="str">
        <f t="shared" si="4"/>
        <v/>
      </c>
      <c r="O53" t="str">
        <f t="shared" si="5"/>
        <v/>
      </c>
      <c r="P53" t="str">
        <f t="shared" si="6"/>
        <v/>
      </c>
    </row>
    <row r="54" spans="1:16" x14ac:dyDescent="0.75">
      <c r="A54" t="str">
        <f>IFERROR(SMALL(Sheet1!K:K, ROW(A53)), "")</f>
        <v/>
      </c>
      <c r="B54" t="str" cm="1">
        <f t="array" ref="B54">IF(A54="", "", INDEX(Sheet1!$A:$A, A54, ))</f>
        <v/>
      </c>
      <c r="C54" t="str" cm="1">
        <f t="array" ref="C54">IF(A54="", "", INDEX(Sheet1!$B:$B, A54, ))</f>
        <v/>
      </c>
      <c r="D54" t="str" cm="1">
        <f t="array" ref="D54">IF(A54="", "", INDEX(Sheet1!$C:$C, A54, ))</f>
        <v/>
      </c>
      <c r="E54" t="str" cm="1">
        <f t="array" ref="E54">IF(A54="", "", INDEX(Sheet1!$D:$D, A54, ))</f>
        <v/>
      </c>
      <c r="F54" t="str" cm="1">
        <f t="array" ref="F54">IF(A54="", "", INDEX(Sheet1!$E:$E, A54, ))</f>
        <v/>
      </c>
      <c r="G54" t="str" cm="1">
        <f t="array" ref="G54">IF(A54="", "", INDEX(Sheet1!$F:$F, A54, ))</f>
        <v/>
      </c>
      <c r="H54" t="str" cm="1">
        <f t="array" ref="H54">IF(A54="", "", INDEX(Sheet1!$G:$G, A54, ))</f>
        <v/>
      </c>
      <c r="I54" t="str" cm="1">
        <f t="array" ref="I54">IF(A54="", "", INDEX(Sheet1!$H:$H, A54, ))</f>
        <v/>
      </c>
      <c r="J54" t="str">
        <f t="shared" si="0"/>
        <v/>
      </c>
      <c r="K54" t="str">
        <f t="shared" si="1"/>
        <v/>
      </c>
      <c r="L54" t="str">
        <f t="shared" si="2"/>
        <v/>
      </c>
      <c r="M54" t="str">
        <f t="shared" si="3"/>
        <v/>
      </c>
      <c r="N54" t="str">
        <f t="shared" si="4"/>
        <v/>
      </c>
      <c r="O54" t="str">
        <f t="shared" si="5"/>
        <v/>
      </c>
      <c r="P54" t="str">
        <f t="shared" si="6"/>
        <v/>
      </c>
    </row>
    <row r="55" spans="1:16" x14ac:dyDescent="0.75">
      <c r="A55" t="str">
        <f>IFERROR(SMALL(Sheet1!K:K, ROW(A54)), "")</f>
        <v/>
      </c>
      <c r="B55" t="str" cm="1">
        <f t="array" ref="B55">IF(A55="", "", INDEX(Sheet1!$A:$A, A55, ))</f>
        <v/>
      </c>
      <c r="C55" t="str" cm="1">
        <f t="array" ref="C55">IF(A55="", "", INDEX(Sheet1!$B:$B, A55, ))</f>
        <v/>
      </c>
      <c r="D55" t="str" cm="1">
        <f t="array" ref="D55">IF(A55="", "", INDEX(Sheet1!$C:$C, A55, ))</f>
        <v/>
      </c>
      <c r="E55" t="str" cm="1">
        <f t="array" ref="E55">IF(A55="", "", INDEX(Sheet1!$D:$D, A55, ))</f>
        <v/>
      </c>
      <c r="F55" t="str" cm="1">
        <f t="array" ref="F55">IF(A55="", "", INDEX(Sheet1!$E:$E, A55, ))</f>
        <v/>
      </c>
      <c r="G55" t="str" cm="1">
        <f t="array" ref="G55">IF(A55="", "", INDEX(Sheet1!$F:$F, A55, ))</f>
        <v/>
      </c>
      <c r="H55" t="str" cm="1">
        <f t="array" ref="H55">IF(A55="", "", INDEX(Sheet1!$G:$G, A55, ))</f>
        <v/>
      </c>
      <c r="I55" t="str" cm="1">
        <f t="array" ref="I55">IF(A55="", "", INDEX(Sheet1!$H:$H, A55, ))</f>
        <v/>
      </c>
      <c r="J55" t="str">
        <f t="shared" si="0"/>
        <v/>
      </c>
      <c r="K55" t="str">
        <f t="shared" si="1"/>
        <v/>
      </c>
      <c r="L55" t="str">
        <f t="shared" si="2"/>
        <v/>
      </c>
      <c r="M55" t="str">
        <f t="shared" si="3"/>
        <v/>
      </c>
      <c r="N55" t="str">
        <f t="shared" si="4"/>
        <v/>
      </c>
      <c r="O55" t="str">
        <f t="shared" si="5"/>
        <v/>
      </c>
      <c r="P55" t="str">
        <f t="shared" si="6"/>
        <v/>
      </c>
    </row>
    <row r="56" spans="1:16" x14ac:dyDescent="0.75">
      <c r="A56" t="str">
        <f>IFERROR(SMALL(Sheet1!K:K, ROW(A55)), "")</f>
        <v/>
      </c>
      <c r="B56" t="str" cm="1">
        <f t="array" ref="B56">IF(A56="", "", INDEX(Sheet1!$A:$A, A56, ))</f>
        <v/>
      </c>
      <c r="C56" t="str" cm="1">
        <f t="array" ref="C56">IF(A56="", "", INDEX(Sheet1!$B:$B, A56, ))</f>
        <v/>
      </c>
      <c r="D56" t="str" cm="1">
        <f t="array" ref="D56">IF(A56="", "", INDEX(Sheet1!$C:$C, A56, ))</f>
        <v/>
      </c>
      <c r="E56" t="str" cm="1">
        <f t="array" ref="E56">IF(A56="", "", INDEX(Sheet1!$D:$D, A56, ))</f>
        <v/>
      </c>
      <c r="F56" t="str" cm="1">
        <f t="array" ref="F56">IF(A56="", "", INDEX(Sheet1!$E:$E, A56, ))</f>
        <v/>
      </c>
      <c r="G56" t="str" cm="1">
        <f t="array" ref="G56">IF(A56="", "", INDEX(Sheet1!$F:$F, A56, ))</f>
        <v/>
      </c>
      <c r="H56" t="str" cm="1">
        <f t="array" ref="H56">IF(A56="", "", INDEX(Sheet1!$G:$G, A56, ))</f>
        <v/>
      </c>
      <c r="I56" t="str" cm="1">
        <f t="array" ref="I56">IF(A56="", "", INDEX(Sheet1!$H:$H, A56, ))</f>
        <v/>
      </c>
      <c r="J56" t="str">
        <f t="shared" si="0"/>
        <v/>
      </c>
      <c r="K56" t="str">
        <f t="shared" si="1"/>
        <v/>
      </c>
      <c r="L56" t="str">
        <f t="shared" si="2"/>
        <v/>
      </c>
      <c r="M56" t="str">
        <f t="shared" si="3"/>
        <v/>
      </c>
      <c r="N56" t="str">
        <f t="shared" si="4"/>
        <v/>
      </c>
      <c r="O56" t="str">
        <f t="shared" si="5"/>
        <v/>
      </c>
      <c r="P56" t="str">
        <f t="shared" si="6"/>
        <v/>
      </c>
    </row>
    <row r="57" spans="1:16" x14ac:dyDescent="0.75">
      <c r="A57" t="str">
        <f>IFERROR(SMALL(Sheet1!K:K, ROW(A56)), "")</f>
        <v/>
      </c>
      <c r="B57" t="str" cm="1">
        <f t="array" ref="B57">IF(A57="", "", INDEX(Sheet1!$A:$A, A57, ))</f>
        <v/>
      </c>
      <c r="C57" t="str" cm="1">
        <f t="array" ref="C57">IF(A57="", "", INDEX(Sheet1!$B:$B, A57, ))</f>
        <v/>
      </c>
      <c r="D57" t="str" cm="1">
        <f t="array" ref="D57">IF(A57="", "", INDEX(Sheet1!$C:$C, A57, ))</f>
        <v/>
      </c>
      <c r="E57" t="str" cm="1">
        <f t="array" ref="E57">IF(A57="", "", INDEX(Sheet1!$D:$D, A57, ))</f>
        <v/>
      </c>
      <c r="F57" t="str" cm="1">
        <f t="array" ref="F57">IF(A57="", "", INDEX(Sheet1!$E:$E, A57, ))</f>
        <v/>
      </c>
      <c r="G57" t="str" cm="1">
        <f t="array" ref="G57">IF(A57="", "", INDEX(Sheet1!$F:$F, A57, ))</f>
        <v/>
      </c>
      <c r="H57" t="str" cm="1">
        <f t="array" ref="H57">IF(A57="", "", INDEX(Sheet1!$G:$G, A57, ))</f>
        <v/>
      </c>
      <c r="I57" t="str" cm="1">
        <f t="array" ref="I57">IF(A57="", "", INDEX(Sheet1!$H:$H, A57, ))</f>
        <v/>
      </c>
      <c r="J57" t="str">
        <f t="shared" si="0"/>
        <v/>
      </c>
      <c r="K57" t="str">
        <f t="shared" si="1"/>
        <v/>
      </c>
      <c r="L57" t="str">
        <f t="shared" si="2"/>
        <v/>
      </c>
      <c r="M57" t="str">
        <f t="shared" si="3"/>
        <v/>
      </c>
      <c r="N57" t="str">
        <f t="shared" si="4"/>
        <v/>
      </c>
      <c r="O57" t="str">
        <f t="shared" si="5"/>
        <v/>
      </c>
      <c r="P57" t="str">
        <f t="shared" si="6"/>
        <v/>
      </c>
    </row>
    <row r="58" spans="1:16" x14ac:dyDescent="0.75">
      <c r="A58" t="str">
        <f>IFERROR(SMALL(Sheet1!K:K, ROW(A57)), "")</f>
        <v/>
      </c>
      <c r="B58" t="str" cm="1">
        <f t="array" ref="B58">IF(A58="", "", INDEX(Sheet1!$A:$A, A58, ))</f>
        <v/>
      </c>
      <c r="C58" t="str" cm="1">
        <f t="array" ref="C58">IF(A58="", "", INDEX(Sheet1!$B:$B, A58, ))</f>
        <v/>
      </c>
      <c r="D58" t="str" cm="1">
        <f t="array" ref="D58">IF(A58="", "", INDEX(Sheet1!$C:$C, A58, ))</f>
        <v/>
      </c>
      <c r="E58" t="str" cm="1">
        <f t="array" ref="E58">IF(A58="", "", INDEX(Sheet1!$D:$D, A58, ))</f>
        <v/>
      </c>
      <c r="F58" t="str" cm="1">
        <f t="array" ref="F58">IF(A58="", "", INDEX(Sheet1!$E:$E, A58, ))</f>
        <v/>
      </c>
      <c r="G58" t="str" cm="1">
        <f t="array" ref="G58">IF(A58="", "", INDEX(Sheet1!$F:$F, A58, ))</f>
        <v/>
      </c>
      <c r="H58" t="str" cm="1">
        <f t="array" ref="H58">IF(A58="", "", INDEX(Sheet1!$G:$G, A58, ))</f>
        <v/>
      </c>
      <c r="I58" t="str" cm="1">
        <f t="array" ref="I58">IF(A58="", "", INDEX(Sheet1!$H:$H, A58, ))</f>
        <v/>
      </c>
      <c r="J58" t="str">
        <f t="shared" si="0"/>
        <v/>
      </c>
      <c r="K58" t="str">
        <f t="shared" si="1"/>
        <v/>
      </c>
      <c r="L58" t="str">
        <f t="shared" si="2"/>
        <v/>
      </c>
      <c r="M58" t="str">
        <f t="shared" si="3"/>
        <v/>
      </c>
      <c r="N58" t="str">
        <f t="shared" si="4"/>
        <v/>
      </c>
      <c r="O58" t="str">
        <f t="shared" si="5"/>
        <v/>
      </c>
      <c r="P58" t="str">
        <f t="shared" si="6"/>
        <v/>
      </c>
    </row>
    <row r="59" spans="1:16" x14ac:dyDescent="0.75">
      <c r="A59" t="str">
        <f>IFERROR(SMALL(Sheet1!K:K, ROW(A58)), "")</f>
        <v/>
      </c>
      <c r="B59" t="str" cm="1">
        <f t="array" ref="B59">IF(A59="", "", INDEX(Sheet1!$A:$A, A59, ))</f>
        <v/>
      </c>
      <c r="C59" t="str" cm="1">
        <f t="array" ref="C59">IF(A59="", "", INDEX(Sheet1!$B:$B, A59, ))</f>
        <v/>
      </c>
      <c r="D59" t="str" cm="1">
        <f t="array" ref="D59">IF(A59="", "", INDEX(Sheet1!$C:$C, A59, ))</f>
        <v/>
      </c>
      <c r="E59" t="str" cm="1">
        <f t="array" ref="E59">IF(A59="", "", INDEX(Sheet1!$D:$D, A59, ))</f>
        <v/>
      </c>
      <c r="F59" t="str" cm="1">
        <f t="array" ref="F59">IF(A59="", "", INDEX(Sheet1!$E:$E, A59, ))</f>
        <v/>
      </c>
      <c r="G59" t="str" cm="1">
        <f t="array" ref="G59">IF(A59="", "", INDEX(Sheet1!$F:$F, A59, ))</f>
        <v/>
      </c>
      <c r="H59" t="str" cm="1">
        <f t="array" ref="H59">IF(A59="", "", INDEX(Sheet1!$G:$G, A59, ))</f>
        <v/>
      </c>
      <c r="I59" t="str" cm="1">
        <f t="array" ref="I59">IF(A59="", "", INDEX(Sheet1!$H:$H, A59, ))</f>
        <v/>
      </c>
      <c r="J59" t="str">
        <f t="shared" si="0"/>
        <v/>
      </c>
      <c r="K59" t="str">
        <f t="shared" si="1"/>
        <v/>
      </c>
      <c r="L59" t="str">
        <f t="shared" si="2"/>
        <v/>
      </c>
      <c r="M59" t="str">
        <f t="shared" si="3"/>
        <v/>
      </c>
      <c r="N59" t="str">
        <f t="shared" si="4"/>
        <v/>
      </c>
      <c r="O59" t="str">
        <f t="shared" si="5"/>
        <v/>
      </c>
      <c r="P59" t="str">
        <f t="shared" si="6"/>
        <v/>
      </c>
    </row>
    <row r="60" spans="1:16" x14ac:dyDescent="0.75">
      <c r="A60" t="str">
        <f>IFERROR(SMALL(Sheet1!K:K, ROW(A59)), "")</f>
        <v/>
      </c>
      <c r="B60" t="str" cm="1">
        <f t="array" ref="B60">IF(A60="", "", INDEX(Sheet1!$A:$A, A60, ))</f>
        <v/>
      </c>
      <c r="C60" t="str" cm="1">
        <f t="array" ref="C60">IF(A60="", "", INDEX(Sheet1!$B:$B, A60, ))</f>
        <v/>
      </c>
      <c r="D60" t="str" cm="1">
        <f t="array" ref="D60">IF(A60="", "", INDEX(Sheet1!$C:$C, A60, ))</f>
        <v/>
      </c>
      <c r="E60" t="str" cm="1">
        <f t="array" ref="E60">IF(A60="", "", INDEX(Sheet1!$D:$D, A60, ))</f>
        <v/>
      </c>
      <c r="F60" t="str" cm="1">
        <f t="array" ref="F60">IF(A60="", "", INDEX(Sheet1!$E:$E, A60, ))</f>
        <v/>
      </c>
      <c r="G60" t="str" cm="1">
        <f t="array" ref="G60">IF(A60="", "", INDEX(Sheet1!$F:$F, A60, ))</f>
        <v/>
      </c>
      <c r="H60" t="str" cm="1">
        <f t="array" ref="H60">IF(A60="", "", INDEX(Sheet1!$G:$G, A60, ))</f>
        <v/>
      </c>
      <c r="I60" t="str" cm="1">
        <f t="array" ref="I60">IF(A60="", "", INDEX(Sheet1!$H:$H, A60, ))</f>
        <v/>
      </c>
      <c r="J60" t="str">
        <f t="shared" si="0"/>
        <v/>
      </c>
      <c r="K60" t="str">
        <f t="shared" si="1"/>
        <v/>
      </c>
      <c r="L60" t="str">
        <f t="shared" si="2"/>
        <v/>
      </c>
      <c r="M60" t="str">
        <f t="shared" si="3"/>
        <v/>
      </c>
      <c r="N60" t="str">
        <f t="shared" si="4"/>
        <v/>
      </c>
      <c r="O60" t="str">
        <f t="shared" si="5"/>
        <v/>
      </c>
      <c r="P60" t="str">
        <f t="shared" si="6"/>
        <v/>
      </c>
    </row>
    <row r="61" spans="1:16" x14ac:dyDescent="0.75">
      <c r="A61" t="str">
        <f>IFERROR(SMALL(Sheet1!K:K, ROW(A60)), "")</f>
        <v/>
      </c>
      <c r="B61" t="str" cm="1">
        <f t="array" ref="B61">IF(A61="", "", INDEX(Sheet1!$A:$A, A61, ))</f>
        <v/>
      </c>
      <c r="C61" t="str" cm="1">
        <f t="array" ref="C61">IF(A61="", "", INDEX(Sheet1!$B:$B, A61, ))</f>
        <v/>
      </c>
      <c r="D61" t="str" cm="1">
        <f t="array" ref="D61">IF(A61="", "", INDEX(Sheet1!$C:$C, A61, ))</f>
        <v/>
      </c>
      <c r="E61" t="str" cm="1">
        <f t="array" ref="E61">IF(A61="", "", INDEX(Sheet1!$D:$D, A61, ))</f>
        <v/>
      </c>
      <c r="F61" t="str" cm="1">
        <f t="array" ref="F61">IF(A61="", "", INDEX(Sheet1!$E:$E, A61, ))</f>
        <v/>
      </c>
      <c r="G61" t="str" cm="1">
        <f t="array" ref="G61">IF(A61="", "", INDEX(Sheet1!$F:$F, A61, ))</f>
        <v/>
      </c>
      <c r="H61" t="str" cm="1">
        <f t="array" ref="H61">IF(A61="", "", INDEX(Sheet1!$G:$G, A61, ))</f>
        <v/>
      </c>
      <c r="I61" t="str" cm="1">
        <f t="array" ref="I61">IF(A61="", "", INDEX(Sheet1!$H:$H, A61, ))</f>
        <v/>
      </c>
      <c r="J61" t="str">
        <f t="shared" si="0"/>
        <v/>
      </c>
      <c r="K61" t="str">
        <f t="shared" si="1"/>
        <v/>
      </c>
      <c r="L61" t="str">
        <f t="shared" si="2"/>
        <v/>
      </c>
      <c r="M61" t="str">
        <f t="shared" si="3"/>
        <v/>
      </c>
      <c r="N61" t="str">
        <f t="shared" si="4"/>
        <v/>
      </c>
      <c r="O61" t="str">
        <f t="shared" si="5"/>
        <v/>
      </c>
      <c r="P61" t="str">
        <f t="shared" si="6"/>
        <v/>
      </c>
    </row>
    <row r="62" spans="1:16" x14ac:dyDescent="0.75">
      <c r="A62" t="str">
        <f>IFERROR(SMALL(Sheet1!K:K, ROW(A61)), "")</f>
        <v/>
      </c>
      <c r="B62" t="str" cm="1">
        <f t="array" ref="B62">IF(A62="", "", INDEX(Sheet1!$A:$A, A62, ))</f>
        <v/>
      </c>
      <c r="C62" t="str" cm="1">
        <f t="array" ref="C62">IF(A62="", "", INDEX(Sheet1!$B:$B, A62, ))</f>
        <v/>
      </c>
      <c r="D62" t="str" cm="1">
        <f t="array" ref="D62">IF(A62="", "", INDEX(Sheet1!$C:$C, A62, ))</f>
        <v/>
      </c>
      <c r="E62" t="str" cm="1">
        <f t="array" ref="E62">IF(A62="", "", INDEX(Sheet1!$D:$D, A62, ))</f>
        <v/>
      </c>
      <c r="F62" t="str" cm="1">
        <f t="array" ref="F62">IF(A62="", "", INDEX(Sheet1!$E:$E, A62, ))</f>
        <v/>
      </c>
      <c r="G62" t="str" cm="1">
        <f t="array" ref="G62">IF(A62="", "", INDEX(Sheet1!$F:$F, A62, ))</f>
        <v/>
      </c>
      <c r="H62" t="str" cm="1">
        <f t="array" ref="H62">IF(A62="", "", INDEX(Sheet1!$G:$G, A62, ))</f>
        <v/>
      </c>
      <c r="I62" t="str" cm="1">
        <f t="array" ref="I62">IF(A62="", "", INDEX(Sheet1!$H:$H, A62, ))</f>
        <v/>
      </c>
      <c r="J62" t="str">
        <f t="shared" si="0"/>
        <v/>
      </c>
      <c r="K62" t="str">
        <f t="shared" si="1"/>
        <v/>
      </c>
      <c r="L62" t="str">
        <f t="shared" si="2"/>
        <v/>
      </c>
      <c r="M62" t="str">
        <f t="shared" si="3"/>
        <v/>
      </c>
      <c r="N62" t="str">
        <f t="shared" si="4"/>
        <v/>
      </c>
      <c r="O62" t="str">
        <f t="shared" si="5"/>
        <v/>
      </c>
      <c r="P62" t="str">
        <f t="shared" si="6"/>
        <v/>
      </c>
    </row>
    <row r="63" spans="1:16" x14ac:dyDescent="0.75">
      <c r="A63" t="str">
        <f>IFERROR(SMALL(Sheet1!K:K, ROW(A62)), "")</f>
        <v/>
      </c>
      <c r="B63" t="str" cm="1">
        <f t="array" ref="B63">IF(A63="", "", INDEX(Sheet1!$A:$A, A63, ))</f>
        <v/>
      </c>
      <c r="C63" t="str" cm="1">
        <f t="array" ref="C63">IF(A63="", "", INDEX(Sheet1!$B:$B, A63, ))</f>
        <v/>
      </c>
      <c r="D63" t="str" cm="1">
        <f t="array" ref="D63">IF(A63="", "", INDEX(Sheet1!$C:$C, A63, ))</f>
        <v/>
      </c>
      <c r="E63" t="str" cm="1">
        <f t="array" ref="E63">IF(A63="", "", INDEX(Sheet1!$D:$D, A63, ))</f>
        <v/>
      </c>
      <c r="F63" t="str" cm="1">
        <f t="array" ref="F63">IF(A63="", "", INDEX(Sheet1!$E:$E, A63, ))</f>
        <v/>
      </c>
      <c r="G63" t="str" cm="1">
        <f t="array" ref="G63">IF(A63="", "", INDEX(Sheet1!$F:$F, A63, ))</f>
        <v/>
      </c>
      <c r="H63" t="str" cm="1">
        <f t="array" ref="H63">IF(A63="", "", INDEX(Sheet1!$G:$G, A63, ))</f>
        <v/>
      </c>
      <c r="I63" t="str" cm="1">
        <f t="array" ref="I63">IF(A63="", "", INDEX(Sheet1!$H:$H, A63, ))</f>
        <v/>
      </c>
      <c r="J63" t="str">
        <f t="shared" si="0"/>
        <v/>
      </c>
      <c r="K63" t="str">
        <f t="shared" si="1"/>
        <v/>
      </c>
      <c r="L63" t="str">
        <f t="shared" si="2"/>
        <v/>
      </c>
      <c r="M63" t="str">
        <f t="shared" si="3"/>
        <v/>
      </c>
      <c r="N63" t="str">
        <f t="shared" si="4"/>
        <v/>
      </c>
      <c r="O63" t="str">
        <f t="shared" si="5"/>
        <v/>
      </c>
      <c r="P63" t="str">
        <f t="shared" si="6"/>
        <v/>
      </c>
    </row>
    <row r="64" spans="1:16" x14ac:dyDescent="0.75">
      <c r="A64" t="str">
        <f>IFERROR(SMALL(Sheet1!K:K, ROW(A63)), "")</f>
        <v/>
      </c>
      <c r="B64" t="str" cm="1">
        <f t="array" ref="B64">IF(A64="", "", INDEX(Sheet1!$A:$A, A64, ))</f>
        <v/>
      </c>
      <c r="C64" t="str" cm="1">
        <f t="array" ref="C64">IF(A64="", "", INDEX(Sheet1!$B:$B, A64, ))</f>
        <v/>
      </c>
      <c r="D64" t="str" cm="1">
        <f t="array" ref="D64">IF(A64="", "", INDEX(Sheet1!$C:$C, A64, ))</f>
        <v/>
      </c>
      <c r="E64" t="str" cm="1">
        <f t="array" ref="E64">IF(A64="", "", INDEX(Sheet1!$D:$D, A64, ))</f>
        <v/>
      </c>
      <c r="F64" t="str" cm="1">
        <f t="array" ref="F64">IF(A64="", "", INDEX(Sheet1!$E:$E, A64, ))</f>
        <v/>
      </c>
      <c r="G64" t="str" cm="1">
        <f t="array" ref="G64">IF(A64="", "", INDEX(Sheet1!$F:$F, A64, ))</f>
        <v/>
      </c>
      <c r="H64" t="str" cm="1">
        <f t="array" ref="H64">IF(A64="", "", INDEX(Sheet1!$G:$G, A64, ))</f>
        <v/>
      </c>
      <c r="I64" t="str" cm="1">
        <f t="array" ref="I64">IF(A64="", "", INDEX(Sheet1!$H:$H, A64, ))</f>
        <v/>
      </c>
      <c r="J64" t="str">
        <f t="shared" si="0"/>
        <v/>
      </c>
      <c r="K64" t="str">
        <f t="shared" si="1"/>
        <v/>
      </c>
      <c r="L64" t="str">
        <f t="shared" si="2"/>
        <v/>
      </c>
      <c r="M64" t="str">
        <f t="shared" si="3"/>
        <v/>
      </c>
      <c r="N64" t="str">
        <f t="shared" si="4"/>
        <v/>
      </c>
      <c r="O64" t="str">
        <f t="shared" si="5"/>
        <v/>
      </c>
      <c r="P64" t="str">
        <f t="shared" si="6"/>
        <v/>
      </c>
    </row>
    <row r="65" spans="1:16" x14ac:dyDescent="0.75">
      <c r="A65" t="str">
        <f>IFERROR(SMALL(Sheet1!K:K, ROW(A64)), "")</f>
        <v/>
      </c>
      <c r="B65" t="str" cm="1">
        <f t="array" ref="B65">IF(A65="", "", INDEX(Sheet1!$A:$A, A65, ))</f>
        <v/>
      </c>
      <c r="C65" t="str" cm="1">
        <f t="array" ref="C65">IF(A65="", "", INDEX(Sheet1!$B:$B, A65, ))</f>
        <v/>
      </c>
      <c r="D65" t="str" cm="1">
        <f t="array" ref="D65">IF(A65="", "", INDEX(Sheet1!$C:$C, A65, ))</f>
        <v/>
      </c>
      <c r="E65" t="str" cm="1">
        <f t="array" ref="E65">IF(A65="", "", INDEX(Sheet1!$D:$D, A65, ))</f>
        <v/>
      </c>
      <c r="F65" t="str" cm="1">
        <f t="array" ref="F65">IF(A65="", "", INDEX(Sheet1!$E:$E, A65, ))</f>
        <v/>
      </c>
      <c r="G65" t="str" cm="1">
        <f t="array" ref="G65">IF(A65="", "", INDEX(Sheet1!$F:$F, A65, ))</f>
        <v/>
      </c>
      <c r="H65" t="str" cm="1">
        <f t="array" ref="H65">IF(A65="", "", INDEX(Sheet1!$G:$G, A65, ))</f>
        <v/>
      </c>
      <c r="I65" t="str" cm="1">
        <f t="array" ref="I65">IF(A65="", "", INDEX(Sheet1!$H:$H, A65, ))</f>
        <v/>
      </c>
      <c r="J65" t="str">
        <f t="shared" si="0"/>
        <v/>
      </c>
      <c r="K65" t="str">
        <f t="shared" si="1"/>
        <v/>
      </c>
      <c r="L65" t="str">
        <f t="shared" si="2"/>
        <v/>
      </c>
      <c r="M65" t="str">
        <f t="shared" si="3"/>
        <v/>
      </c>
      <c r="N65" t="str">
        <f t="shared" si="4"/>
        <v/>
      </c>
      <c r="O65" t="str">
        <f t="shared" si="5"/>
        <v/>
      </c>
      <c r="P65" t="str">
        <f t="shared" si="6"/>
        <v/>
      </c>
    </row>
    <row r="66" spans="1:16" x14ac:dyDescent="0.75">
      <c r="A66" t="str">
        <f>IFERROR(SMALL(Sheet1!K:K, ROW(A65)), "")</f>
        <v/>
      </c>
      <c r="B66" t="str" cm="1">
        <f t="array" ref="B66">IF(A66="", "", INDEX(Sheet1!$A:$A, A66, ))</f>
        <v/>
      </c>
      <c r="C66" t="str" cm="1">
        <f t="array" ref="C66">IF(A66="", "", INDEX(Sheet1!$B:$B, A66, ))</f>
        <v/>
      </c>
      <c r="D66" t="str" cm="1">
        <f t="array" ref="D66">IF(A66="", "", INDEX(Sheet1!$C:$C, A66, ))</f>
        <v/>
      </c>
      <c r="E66" t="str" cm="1">
        <f t="array" ref="E66">IF(A66="", "", INDEX(Sheet1!$D:$D, A66, ))</f>
        <v/>
      </c>
      <c r="F66" t="str" cm="1">
        <f t="array" ref="F66">IF(A66="", "", INDEX(Sheet1!$E:$E, A66, ))</f>
        <v/>
      </c>
      <c r="G66" t="str" cm="1">
        <f t="array" ref="G66">IF(A66="", "", INDEX(Sheet1!$F:$F, A66, ))</f>
        <v/>
      </c>
      <c r="H66" t="str" cm="1">
        <f t="array" ref="H66">IF(A66="", "", INDEX(Sheet1!$G:$G, A66, ))</f>
        <v/>
      </c>
      <c r="I66" t="str" cm="1">
        <f t="array" ref="I66">IF(A66="", "", INDEX(Sheet1!$H:$H, A66, ))</f>
        <v/>
      </c>
      <c r="J66" t="str">
        <f t="shared" si="0"/>
        <v/>
      </c>
      <c r="K66" t="str">
        <f t="shared" si="1"/>
        <v/>
      </c>
      <c r="L66" t="str">
        <f t="shared" si="2"/>
        <v/>
      </c>
      <c r="M66" t="str">
        <f t="shared" si="3"/>
        <v/>
      </c>
      <c r="N66" t="str">
        <f t="shared" si="4"/>
        <v/>
      </c>
      <c r="O66" t="str">
        <f t="shared" si="5"/>
        <v/>
      </c>
      <c r="P66" t="str">
        <f t="shared" si="6"/>
        <v/>
      </c>
    </row>
    <row r="67" spans="1:16" x14ac:dyDescent="0.75">
      <c r="A67" t="str">
        <f>IFERROR(SMALL(Sheet1!K:K, ROW(A66)), "")</f>
        <v/>
      </c>
      <c r="B67" t="str" cm="1">
        <f t="array" ref="B67">IF(A67="", "", INDEX(Sheet1!$A:$A, A67, ))</f>
        <v/>
      </c>
      <c r="C67" t="str" cm="1">
        <f t="array" ref="C67">IF(A67="", "", INDEX(Sheet1!$B:$B, A67, ))</f>
        <v/>
      </c>
      <c r="D67" t="str" cm="1">
        <f t="array" ref="D67">IF(A67="", "", INDEX(Sheet1!$C:$C, A67, ))</f>
        <v/>
      </c>
      <c r="E67" t="str" cm="1">
        <f t="array" ref="E67">IF(A67="", "", INDEX(Sheet1!$D:$D, A67, ))</f>
        <v/>
      </c>
      <c r="F67" t="str" cm="1">
        <f t="array" ref="F67">IF(A67="", "", INDEX(Sheet1!$E:$E, A67, ))</f>
        <v/>
      </c>
      <c r="G67" t="str" cm="1">
        <f t="array" ref="G67">IF(A67="", "", INDEX(Sheet1!$F:$F, A67, ))</f>
        <v/>
      </c>
      <c r="H67" t="str" cm="1">
        <f t="array" ref="H67">IF(A67="", "", INDEX(Sheet1!$G:$G, A67, ))</f>
        <v/>
      </c>
      <c r="I67" t="str" cm="1">
        <f t="array" ref="I67">IF(A67="", "", INDEX(Sheet1!$H:$H, A67, ))</f>
        <v/>
      </c>
      <c r="J67" t="str">
        <f t="shared" ref="J67:J100" si="7">IF(I67=I66,"",I67)</f>
        <v/>
      </c>
      <c r="K67" t="str">
        <f t="shared" ref="K67:K100" si="8">IF(J67="","",B67)</f>
        <v/>
      </c>
      <c r="L67" t="str">
        <f t="shared" ref="L67:L100" si="9">IF(B67="","",D67)</f>
        <v/>
      </c>
      <c r="M67" t="str">
        <f t="shared" ref="M67:M100" si="10">IF(B67="","",E67)</f>
        <v/>
      </c>
      <c r="N67" t="str">
        <f t="shared" ref="N67:N100" si="11">IF(B67="","",F67)</f>
        <v/>
      </c>
      <c r="O67" t="str">
        <f t="shared" ref="O67:O100" si="12">IF(B67="","",G67)</f>
        <v/>
      </c>
      <c r="P67" t="str">
        <f t="shared" ref="P67:P100" si="13">IF(B67="","",H67)</f>
        <v/>
      </c>
    </row>
    <row r="68" spans="1:16" x14ac:dyDescent="0.75">
      <c r="A68" t="str">
        <f>IFERROR(SMALL(Sheet1!K:K, ROW(A67)), "")</f>
        <v/>
      </c>
      <c r="B68" t="str" cm="1">
        <f t="array" ref="B68">IF(A68="", "", INDEX(Sheet1!$A:$A, A68, ))</f>
        <v/>
      </c>
      <c r="C68" t="str" cm="1">
        <f t="array" ref="C68">IF(A68="", "", INDEX(Sheet1!$B:$B, A68, ))</f>
        <v/>
      </c>
      <c r="D68" t="str" cm="1">
        <f t="array" ref="D68">IF(A68="", "", INDEX(Sheet1!$C:$C, A68, ))</f>
        <v/>
      </c>
      <c r="E68" t="str" cm="1">
        <f t="array" ref="E68">IF(A68="", "", INDEX(Sheet1!$D:$D, A68, ))</f>
        <v/>
      </c>
      <c r="F68" t="str" cm="1">
        <f t="array" ref="F68">IF(A68="", "", INDEX(Sheet1!$E:$E, A68, ))</f>
        <v/>
      </c>
      <c r="G68" t="str" cm="1">
        <f t="array" ref="G68">IF(A68="", "", INDEX(Sheet1!$F:$F, A68, ))</f>
        <v/>
      </c>
      <c r="H68" t="str" cm="1">
        <f t="array" ref="H68">IF(A68="", "", INDEX(Sheet1!$G:$G, A68, ))</f>
        <v/>
      </c>
      <c r="I68" t="str" cm="1">
        <f t="array" ref="I68">IF(A68="", "", INDEX(Sheet1!$H:$H, A68, ))</f>
        <v/>
      </c>
      <c r="J68" t="str">
        <f t="shared" si="7"/>
        <v/>
      </c>
      <c r="K68" t="str">
        <f t="shared" si="8"/>
        <v/>
      </c>
      <c r="L68" t="str">
        <f t="shared" si="9"/>
        <v/>
      </c>
      <c r="M68" t="str">
        <f t="shared" si="10"/>
        <v/>
      </c>
      <c r="N68" t="str">
        <f t="shared" si="11"/>
        <v/>
      </c>
      <c r="O68" t="str">
        <f t="shared" si="12"/>
        <v/>
      </c>
      <c r="P68" t="str">
        <f t="shared" si="13"/>
        <v/>
      </c>
    </row>
    <row r="69" spans="1:16" x14ac:dyDescent="0.75">
      <c r="A69" t="str">
        <f>IFERROR(SMALL(Sheet1!K:K, ROW(A68)), "")</f>
        <v/>
      </c>
      <c r="B69" t="str" cm="1">
        <f t="array" ref="B69">IF(A69="", "", INDEX(Sheet1!$A:$A, A69, ))</f>
        <v/>
      </c>
      <c r="C69" t="str" cm="1">
        <f t="array" ref="C69">IF(A69="", "", INDEX(Sheet1!$B:$B, A69, ))</f>
        <v/>
      </c>
      <c r="D69" t="str" cm="1">
        <f t="array" ref="D69">IF(A69="", "", INDEX(Sheet1!$C:$C, A69, ))</f>
        <v/>
      </c>
      <c r="E69" t="str" cm="1">
        <f t="array" ref="E69">IF(A69="", "", INDEX(Sheet1!$D:$D, A69, ))</f>
        <v/>
      </c>
      <c r="F69" t="str" cm="1">
        <f t="array" ref="F69">IF(A69="", "", INDEX(Sheet1!$E:$E, A69, ))</f>
        <v/>
      </c>
      <c r="G69" t="str" cm="1">
        <f t="array" ref="G69">IF(A69="", "", INDEX(Sheet1!$F:$F, A69, ))</f>
        <v/>
      </c>
      <c r="H69" t="str" cm="1">
        <f t="array" ref="H69">IF(A69="", "", INDEX(Sheet1!$G:$G, A69, ))</f>
        <v/>
      </c>
      <c r="I69" t="str" cm="1">
        <f t="array" ref="I69">IF(A69="", "", INDEX(Sheet1!$H:$H, A69, ))</f>
        <v/>
      </c>
      <c r="J69" t="str">
        <f t="shared" si="7"/>
        <v/>
      </c>
      <c r="K69" t="str">
        <f t="shared" si="8"/>
        <v/>
      </c>
      <c r="L69" t="str">
        <f t="shared" si="9"/>
        <v/>
      </c>
      <c r="M69" t="str">
        <f t="shared" si="10"/>
        <v/>
      </c>
      <c r="N69" t="str">
        <f t="shared" si="11"/>
        <v/>
      </c>
      <c r="O69" t="str">
        <f t="shared" si="12"/>
        <v/>
      </c>
      <c r="P69" t="str">
        <f t="shared" si="13"/>
        <v/>
      </c>
    </row>
    <row r="70" spans="1:16" x14ac:dyDescent="0.75">
      <c r="A70" t="str">
        <f>IFERROR(SMALL(Sheet1!K:K, ROW(A69)), "")</f>
        <v/>
      </c>
      <c r="B70" t="str" cm="1">
        <f t="array" ref="B70">IF(A70="", "", INDEX(Sheet1!$A:$A, A70, ))</f>
        <v/>
      </c>
      <c r="C70" t="str" cm="1">
        <f t="array" ref="C70">IF(A70="", "", INDEX(Sheet1!$B:$B, A70, ))</f>
        <v/>
      </c>
      <c r="D70" t="str" cm="1">
        <f t="array" ref="D70">IF(A70="", "", INDEX(Sheet1!$C:$C, A70, ))</f>
        <v/>
      </c>
      <c r="E70" t="str" cm="1">
        <f t="array" ref="E70">IF(A70="", "", INDEX(Sheet1!$D:$D, A70, ))</f>
        <v/>
      </c>
      <c r="F70" t="str" cm="1">
        <f t="array" ref="F70">IF(A70="", "", INDEX(Sheet1!$E:$E, A70, ))</f>
        <v/>
      </c>
      <c r="G70" t="str" cm="1">
        <f t="array" ref="G70">IF(A70="", "", INDEX(Sheet1!$F:$F, A70, ))</f>
        <v/>
      </c>
      <c r="H70" t="str" cm="1">
        <f t="array" ref="H70">IF(A70="", "", INDEX(Sheet1!$G:$G, A70, ))</f>
        <v/>
      </c>
      <c r="I70" t="str" cm="1">
        <f t="array" ref="I70">IF(A70="", "", INDEX(Sheet1!$H:$H, A70, ))</f>
        <v/>
      </c>
      <c r="J70" t="str">
        <f t="shared" si="7"/>
        <v/>
      </c>
      <c r="K70" t="str">
        <f t="shared" si="8"/>
        <v/>
      </c>
      <c r="L70" t="str">
        <f t="shared" si="9"/>
        <v/>
      </c>
      <c r="M70" t="str">
        <f t="shared" si="10"/>
        <v/>
      </c>
      <c r="N70" t="str">
        <f t="shared" si="11"/>
        <v/>
      </c>
      <c r="O70" t="str">
        <f t="shared" si="12"/>
        <v/>
      </c>
      <c r="P70" t="str">
        <f t="shared" si="13"/>
        <v/>
      </c>
    </row>
    <row r="71" spans="1:16" x14ac:dyDescent="0.75">
      <c r="A71" t="str">
        <f>IFERROR(SMALL(Sheet1!K:K, ROW(A70)), "")</f>
        <v/>
      </c>
      <c r="B71" t="str" cm="1">
        <f t="array" ref="B71">IF(A71="", "", INDEX(Sheet1!$A:$A, A71, ))</f>
        <v/>
      </c>
      <c r="C71" t="str" cm="1">
        <f t="array" ref="C71">IF(A71="", "", INDEX(Sheet1!$B:$B, A71, ))</f>
        <v/>
      </c>
      <c r="D71" t="str" cm="1">
        <f t="array" ref="D71">IF(A71="", "", INDEX(Sheet1!$C:$C, A71, ))</f>
        <v/>
      </c>
      <c r="E71" t="str" cm="1">
        <f t="array" ref="E71">IF(A71="", "", INDEX(Sheet1!$D:$D, A71, ))</f>
        <v/>
      </c>
      <c r="F71" t="str" cm="1">
        <f t="array" ref="F71">IF(A71="", "", INDEX(Sheet1!$E:$E, A71, ))</f>
        <v/>
      </c>
      <c r="G71" t="str" cm="1">
        <f t="array" ref="G71">IF(A71="", "", INDEX(Sheet1!$F:$F, A71, ))</f>
        <v/>
      </c>
      <c r="H71" t="str" cm="1">
        <f t="array" ref="H71">IF(A71="", "", INDEX(Sheet1!$G:$G, A71, ))</f>
        <v/>
      </c>
      <c r="I71" t="str" cm="1">
        <f t="array" ref="I71">IF(A71="", "", INDEX(Sheet1!$H:$H, A71, ))</f>
        <v/>
      </c>
      <c r="J71" t="str">
        <f t="shared" si="7"/>
        <v/>
      </c>
      <c r="K71" t="str">
        <f t="shared" si="8"/>
        <v/>
      </c>
      <c r="L71" t="str">
        <f t="shared" si="9"/>
        <v/>
      </c>
      <c r="M71" t="str">
        <f t="shared" si="10"/>
        <v/>
      </c>
      <c r="N71" t="str">
        <f t="shared" si="11"/>
        <v/>
      </c>
      <c r="O71" t="str">
        <f t="shared" si="12"/>
        <v/>
      </c>
      <c r="P71" t="str">
        <f t="shared" si="13"/>
        <v/>
      </c>
    </row>
    <row r="72" spans="1:16" x14ac:dyDescent="0.75">
      <c r="A72" t="str">
        <f>IFERROR(SMALL(Sheet1!K:K, ROW(A71)), "")</f>
        <v/>
      </c>
      <c r="B72" t="str" cm="1">
        <f t="array" ref="B72">IF(A72="", "", INDEX(Sheet1!$A:$A, A72, ))</f>
        <v/>
      </c>
      <c r="C72" t="str" cm="1">
        <f t="array" ref="C72">IF(A72="", "", INDEX(Sheet1!$B:$B, A72, ))</f>
        <v/>
      </c>
      <c r="D72" t="str" cm="1">
        <f t="array" ref="D72">IF(A72="", "", INDEX(Sheet1!$C:$C, A72, ))</f>
        <v/>
      </c>
      <c r="E72" t="str" cm="1">
        <f t="array" ref="E72">IF(A72="", "", INDEX(Sheet1!$D:$D, A72, ))</f>
        <v/>
      </c>
      <c r="F72" t="str" cm="1">
        <f t="array" ref="F72">IF(A72="", "", INDEX(Sheet1!$E:$E, A72, ))</f>
        <v/>
      </c>
      <c r="G72" t="str" cm="1">
        <f t="array" ref="G72">IF(A72="", "", INDEX(Sheet1!$F:$F, A72, ))</f>
        <v/>
      </c>
      <c r="H72" t="str" cm="1">
        <f t="array" ref="H72">IF(A72="", "", INDEX(Sheet1!$G:$G, A72, ))</f>
        <v/>
      </c>
      <c r="I72" t="str" cm="1">
        <f t="array" ref="I72">IF(A72="", "", INDEX(Sheet1!$H:$H, A72, ))</f>
        <v/>
      </c>
      <c r="J72" t="str">
        <f t="shared" si="7"/>
        <v/>
      </c>
      <c r="K72" t="str">
        <f t="shared" si="8"/>
        <v/>
      </c>
      <c r="L72" t="str">
        <f t="shared" si="9"/>
        <v/>
      </c>
      <c r="M72" t="str">
        <f t="shared" si="10"/>
        <v/>
      </c>
      <c r="N72" t="str">
        <f t="shared" si="11"/>
        <v/>
      </c>
      <c r="O72" t="str">
        <f t="shared" si="12"/>
        <v/>
      </c>
      <c r="P72" t="str">
        <f t="shared" si="13"/>
        <v/>
      </c>
    </row>
    <row r="73" spans="1:16" x14ac:dyDescent="0.75">
      <c r="A73" t="str">
        <f>IFERROR(SMALL(Sheet1!K:K, ROW(A72)), "")</f>
        <v/>
      </c>
      <c r="B73" t="str" cm="1">
        <f t="array" ref="B73">IF(A73="", "", INDEX(Sheet1!$A:$A, A73, ))</f>
        <v/>
      </c>
      <c r="C73" t="str" cm="1">
        <f t="array" ref="C73">IF(A73="", "", INDEX(Sheet1!$B:$B, A73, ))</f>
        <v/>
      </c>
      <c r="D73" t="str" cm="1">
        <f t="array" ref="D73">IF(A73="", "", INDEX(Sheet1!$C:$C, A73, ))</f>
        <v/>
      </c>
      <c r="E73" t="str" cm="1">
        <f t="array" ref="E73">IF(A73="", "", INDEX(Sheet1!$D:$D, A73, ))</f>
        <v/>
      </c>
      <c r="F73" t="str" cm="1">
        <f t="array" ref="F73">IF(A73="", "", INDEX(Sheet1!$E:$E, A73, ))</f>
        <v/>
      </c>
      <c r="G73" t="str" cm="1">
        <f t="array" ref="G73">IF(A73="", "", INDEX(Sheet1!$F:$F, A73, ))</f>
        <v/>
      </c>
      <c r="H73" t="str" cm="1">
        <f t="array" ref="H73">IF(A73="", "", INDEX(Sheet1!$G:$G, A73, ))</f>
        <v/>
      </c>
      <c r="I73" t="str" cm="1">
        <f t="array" ref="I73">IF(A73="", "", INDEX(Sheet1!$H:$H, A73, ))</f>
        <v/>
      </c>
      <c r="J73" t="str">
        <f t="shared" si="7"/>
        <v/>
      </c>
      <c r="K73" t="str">
        <f t="shared" si="8"/>
        <v/>
      </c>
      <c r="L73" t="str">
        <f t="shared" si="9"/>
        <v/>
      </c>
      <c r="M73" t="str">
        <f t="shared" si="10"/>
        <v/>
      </c>
      <c r="N73" t="str">
        <f t="shared" si="11"/>
        <v/>
      </c>
      <c r="O73" t="str">
        <f t="shared" si="12"/>
        <v/>
      </c>
      <c r="P73" t="str">
        <f t="shared" si="13"/>
        <v/>
      </c>
    </row>
    <row r="74" spans="1:16" x14ac:dyDescent="0.75">
      <c r="A74" t="str">
        <f>IFERROR(SMALL(Sheet1!K:K, ROW(A73)), "")</f>
        <v/>
      </c>
      <c r="B74" t="str" cm="1">
        <f t="array" ref="B74">IF(A74="", "", INDEX(Sheet1!$A:$A, A74, ))</f>
        <v/>
      </c>
      <c r="C74" t="str" cm="1">
        <f t="array" ref="C74">IF(A74="", "", INDEX(Sheet1!$B:$B, A74, ))</f>
        <v/>
      </c>
      <c r="D74" t="str" cm="1">
        <f t="array" ref="D74">IF(A74="", "", INDEX(Sheet1!$C:$C, A74, ))</f>
        <v/>
      </c>
      <c r="E74" t="str" cm="1">
        <f t="array" ref="E74">IF(A74="", "", INDEX(Sheet1!$D:$D, A74, ))</f>
        <v/>
      </c>
      <c r="F74" t="str" cm="1">
        <f t="array" ref="F74">IF(A74="", "", INDEX(Sheet1!$E:$E, A74, ))</f>
        <v/>
      </c>
      <c r="G74" t="str" cm="1">
        <f t="array" ref="G74">IF(A74="", "", INDEX(Sheet1!$F:$F, A74, ))</f>
        <v/>
      </c>
      <c r="H74" t="str" cm="1">
        <f t="array" ref="H74">IF(A74="", "", INDEX(Sheet1!$G:$G, A74, ))</f>
        <v/>
      </c>
      <c r="I74" t="str" cm="1">
        <f t="array" ref="I74">IF(A74="", "", INDEX(Sheet1!$H:$H, A74, ))</f>
        <v/>
      </c>
      <c r="J74" t="str">
        <f t="shared" si="7"/>
        <v/>
      </c>
      <c r="K74" t="str">
        <f t="shared" si="8"/>
        <v/>
      </c>
      <c r="L74" t="str">
        <f t="shared" si="9"/>
        <v/>
      </c>
      <c r="M74" t="str">
        <f t="shared" si="10"/>
        <v/>
      </c>
      <c r="N74" t="str">
        <f t="shared" si="11"/>
        <v/>
      </c>
      <c r="O74" t="str">
        <f t="shared" si="12"/>
        <v/>
      </c>
      <c r="P74" t="str">
        <f t="shared" si="13"/>
        <v/>
      </c>
    </row>
    <row r="75" spans="1:16" x14ac:dyDescent="0.75">
      <c r="A75" t="str">
        <f>IFERROR(SMALL(Sheet1!K:K, ROW(A74)), "")</f>
        <v/>
      </c>
      <c r="B75" t="str" cm="1">
        <f t="array" ref="B75">IF(A75="", "", INDEX(Sheet1!$A:$A, A75, ))</f>
        <v/>
      </c>
      <c r="C75" t="str" cm="1">
        <f t="array" ref="C75">IF(A75="", "", INDEX(Sheet1!$B:$B, A75, ))</f>
        <v/>
      </c>
      <c r="D75" t="str" cm="1">
        <f t="array" ref="D75">IF(A75="", "", INDEX(Sheet1!$C:$C, A75, ))</f>
        <v/>
      </c>
      <c r="E75" t="str" cm="1">
        <f t="array" ref="E75">IF(A75="", "", INDEX(Sheet1!$D:$D, A75, ))</f>
        <v/>
      </c>
      <c r="F75" t="str" cm="1">
        <f t="array" ref="F75">IF(A75="", "", INDEX(Sheet1!$E:$E, A75, ))</f>
        <v/>
      </c>
      <c r="G75" t="str" cm="1">
        <f t="array" ref="G75">IF(A75="", "", INDEX(Sheet1!$F:$F, A75, ))</f>
        <v/>
      </c>
      <c r="H75" t="str" cm="1">
        <f t="array" ref="H75">IF(A75="", "", INDEX(Sheet1!$G:$G, A75, ))</f>
        <v/>
      </c>
      <c r="I75" t="str" cm="1">
        <f t="array" ref="I75">IF(A75="", "", INDEX(Sheet1!$H:$H, A75, ))</f>
        <v/>
      </c>
      <c r="J75" t="str">
        <f t="shared" si="7"/>
        <v/>
      </c>
      <c r="K75" t="str">
        <f t="shared" si="8"/>
        <v/>
      </c>
      <c r="L75" t="str">
        <f t="shared" si="9"/>
        <v/>
      </c>
      <c r="M75" t="str">
        <f t="shared" si="10"/>
        <v/>
      </c>
      <c r="N75" t="str">
        <f t="shared" si="11"/>
        <v/>
      </c>
      <c r="O75" t="str">
        <f t="shared" si="12"/>
        <v/>
      </c>
      <c r="P75" t="str">
        <f t="shared" si="13"/>
        <v/>
      </c>
    </row>
    <row r="76" spans="1:16" x14ac:dyDescent="0.75">
      <c r="A76" t="str">
        <f>IFERROR(SMALL(Sheet1!K:K, ROW(A75)), "")</f>
        <v/>
      </c>
      <c r="B76" t="str" cm="1">
        <f t="array" ref="B76">IF(A76="", "", INDEX(Sheet1!$A:$A, A76, ))</f>
        <v/>
      </c>
      <c r="C76" t="str" cm="1">
        <f t="array" ref="C76">IF(A76="", "", INDEX(Sheet1!$B:$B, A76, ))</f>
        <v/>
      </c>
      <c r="D76" t="str" cm="1">
        <f t="array" ref="D76">IF(A76="", "", INDEX(Sheet1!$C:$C, A76, ))</f>
        <v/>
      </c>
      <c r="E76" t="str" cm="1">
        <f t="array" ref="E76">IF(A76="", "", INDEX(Sheet1!$D:$D, A76, ))</f>
        <v/>
      </c>
      <c r="F76" t="str" cm="1">
        <f t="array" ref="F76">IF(A76="", "", INDEX(Sheet1!$E:$E, A76, ))</f>
        <v/>
      </c>
      <c r="G76" t="str" cm="1">
        <f t="array" ref="G76">IF(A76="", "", INDEX(Sheet1!$F:$F, A76, ))</f>
        <v/>
      </c>
      <c r="H76" t="str" cm="1">
        <f t="array" ref="H76">IF(A76="", "", INDEX(Sheet1!$G:$G, A76, ))</f>
        <v/>
      </c>
      <c r="I76" t="str" cm="1">
        <f t="array" ref="I76">IF(A76="", "", INDEX(Sheet1!$H:$H, A76, ))</f>
        <v/>
      </c>
      <c r="J76" t="str">
        <f t="shared" si="7"/>
        <v/>
      </c>
      <c r="K76" t="str">
        <f t="shared" si="8"/>
        <v/>
      </c>
      <c r="L76" t="str">
        <f t="shared" si="9"/>
        <v/>
      </c>
      <c r="M76" t="str">
        <f t="shared" si="10"/>
        <v/>
      </c>
      <c r="N76" t="str">
        <f t="shared" si="11"/>
        <v/>
      </c>
      <c r="O76" t="str">
        <f t="shared" si="12"/>
        <v/>
      </c>
      <c r="P76" t="str">
        <f t="shared" si="13"/>
        <v/>
      </c>
    </row>
    <row r="77" spans="1:16" x14ac:dyDescent="0.75">
      <c r="A77" t="str">
        <f>IFERROR(SMALL(Sheet1!K:K, ROW(A76)), "")</f>
        <v/>
      </c>
      <c r="B77" t="str" cm="1">
        <f t="array" ref="B77">IF(A77="", "", INDEX(Sheet1!$A:$A, A77, ))</f>
        <v/>
      </c>
      <c r="C77" t="str" cm="1">
        <f t="array" ref="C77">IF(A77="", "", INDEX(Sheet1!$B:$B, A77, ))</f>
        <v/>
      </c>
      <c r="D77" t="str" cm="1">
        <f t="array" ref="D77">IF(A77="", "", INDEX(Sheet1!$C:$C, A77, ))</f>
        <v/>
      </c>
      <c r="E77" t="str" cm="1">
        <f t="array" ref="E77">IF(A77="", "", INDEX(Sheet1!$D:$D, A77, ))</f>
        <v/>
      </c>
      <c r="F77" t="str" cm="1">
        <f t="array" ref="F77">IF(A77="", "", INDEX(Sheet1!$E:$E, A77, ))</f>
        <v/>
      </c>
      <c r="G77" t="str" cm="1">
        <f t="array" ref="G77">IF(A77="", "", INDEX(Sheet1!$F:$F, A77, ))</f>
        <v/>
      </c>
      <c r="H77" t="str" cm="1">
        <f t="array" ref="H77">IF(A77="", "", INDEX(Sheet1!$G:$G, A77, ))</f>
        <v/>
      </c>
      <c r="I77" t="str" cm="1">
        <f t="array" ref="I77">IF(A77="", "", INDEX(Sheet1!$H:$H, A77, ))</f>
        <v/>
      </c>
      <c r="J77" t="str">
        <f t="shared" si="7"/>
        <v/>
      </c>
      <c r="K77" t="str">
        <f t="shared" si="8"/>
        <v/>
      </c>
      <c r="L77" t="str">
        <f t="shared" si="9"/>
        <v/>
      </c>
      <c r="M77" t="str">
        <f t="shared" si="10"/>
        <v/>
      </c>
      <c r="N77" t="str">
        <f t="shared" si="11"/>
        <v/>
      </c>
      <c r="O77" t="str">
        <f t="shared" si="12"/>
        <v/>
      </c>
      <c r="P77" t="str">
        <f t="shared" si="13"/>
        <v/>
      </c>
    </row>
    <row r="78" spans="1:16" x14ac:dyDescent="0.75">
      <c r="A78" t="str">
        <f>IFERROR(SMALL(Sheet1!K:K, ROW(A77)), "")</f>
        <v/>
      </c>
      <c r="B78" t="str" cm="1">
        <f t="array" ref="B78">IF(A78="", "", INDEX(Sheet1!$A:$A, A78, ))</f>
        <v/>
      </c>
      <c r="C78" t="str" cm="1">
        <f t="array" ref="C78">IF(A78="", "", INDEX(Sheet1!$B:$B, A78, ))</f>
        <v/>
      </c>
      <c r="D78" t="str" cm="1">
        <f t="array" ref="D78">IF(A78="", "", INDEX(Sheet1!$C:$C, A78, ))</f>
        <v/>
      </c>
      <c r="E78" t="str" cm="1">
        <f t="array" ref="E78">IF(A78="", "", INDEX(Sheet1!$D:$D, A78, ))</f>
        <v/>
      </c>
      <c r="F78" t="str" cm="1">
        <f t="array" ref="F78">IF(A78="", "", INDEX(Sheet1!$E:$E, A78, ))</f>
        <v/>
      </c>
      <c r="G78" t="str" cm="1">
        <f t="array" ref="G78">IF(A78="", "", INDEX(Sheet1!$F:$F, A78, ))</f>
        <v/>
      </c>
      <c r="H78" t="str" cm="1">
        <f t="array" ref="H78">IF(A78="", "", INDEX(Sheet1!$G:$G, A78, ))</f>
        <v/>
      </c>
      <c r="I78" t="str" cm="1">
        <f t="array" ref="I78">IF(A78="", "", INDEX(Sheet1!$H:$H, A78, ))</f>
        <v/>
      </c>
      <c r="J78" t="str">
        <f t="shared" si="7"/>
        <v/>
      </c>
      <c r="K78" t="str">
        <f t="shared" si="8"/>
        <v/>
      </c>
      <c r="L78" t="str">
        <f t="shared" si="9"/>
        <v/>
      </c>
      <c r="M78" t="str">
        <f t="shared" si="10"/>
        <v/>
      </c>
      <c r="N78" t="str">
        <f t="shared" si="11"/>
        <v/>
      </c>
      <c r="O78" t="str">
        <f t="shared" si="12"/>
        <v/>
      </c>
      <c r="P78" t="str">
        <f t="shared" si="13"/>
        <v/>
      </c>
    </row>
    <row r="79" spans="1:16" x14ac:dyDescent="0.75">
      <c r="A79" t="str">
        <f>IFERROR(SMALL(Sheet1!K:K, ROW(A78)), "")</f>
        <v/>
      </c>
      <c r="B79" t="str" cm="1">
        <f t="array" ref="B79">IF(A79="", "", INDEX(Sheet1!$A:$A, A79, ))</f>
        <v/>
      </c>
      <c r="C79" t="str" cm="1">
        <f t="array" ref="C79">IF(A79="", "", INDEX(Sheet1!$B:$B, A79, ))</f>
        <v/>
      </c>
      <c r="D79" t="str" cm="1">
        <f t="array" ref="D79">IF(A79="", "", INDEX(Sheet1!$C:$C, A79, ))</f>
        <v/>
      </c>
      <c r="E79" t="str" cm="1">
        <f t="array" ref="E79">IF(A79="", "", INDEX(Sheet1!$D:$D, A79, ))</f>
        <v/>
      </c>
      <c r="F79" t="str" cm="1">
        <f t="array" ref="F79">IF(A79="", "", INDEX(Sheet1!$E:$E, A79, ))</f>
        <v/>
      </c>
      <c r="G79" t="str" cm="1">
        <f t="array" ref="G79">IF(A79="", "", INDEX(Sheet1!$F:$F, A79, ))</f>
        <v/>
      </c>
      <c r="H79" t="str" cm="1">
        <f t="array" ref="H79">IF(A79="", "", INDEX(Sheet1!$G:$G, A79, ))</f>
        <v/>
      </c>
      <c r="I79" t="str" cm="1">
        <f t="array" ref="I79">IF(A79="", "", INDEX(Sheet1!$H:$H, A79, ))</f>
        <v/>
      </c>
      <c r="J79" t="str">
        <f t="shared" si="7"/>
        <v/>
      </c>
      <c r="K79" t="str">
        <f t="shared" si="8"/>
        <v/>
      </c>
      <c r="L79" t="str">
        <f t="shared" si="9"/>
        <v/>
      </c>
      <c r="M79" t="str">
        <f t="shared" si="10"/>
        <v/>
      </c>
      <c r="N79" t="str">
        <f t="shared" si="11"/>
        <v/>
      </c>
      <c r="O79" t="str">
        <f t="shared" si="12"/>
        <v/>
      </c>
      <c r="P79" t="str">
        <f t="shared" si="13"/>
        <v/>
      </c>
    </row>
    <row r="80" spans="1:16" x14ac:dyDescent="0.75">
      <c r="A80" t="str">
        <f>IFERROR(SMALL(Sheet1!K:K, ROW(A79)), "")</f>
        <v/>
      </c>
      <c r="B80" t="str" cm="1">
        <f t="array" ref="B80">IF(A80="", "", INDEX(Sheet1!$A:$A, A80, ))</f>
        <v/>
      </c>
      <c r="C80" t="str" cm="1">
        <f t="array" ref="C80">IF(A80="", "", INDEX(Sheet1!$B:$B, A80, ))</f>
        <v/>
      </c>
      <c r="D80" t="str" cm="1">
        <f t="array" ref="D80">IF(A80="", "", INDEX(Sheet1!$C:$C, A80, ))</f>
        <v/>
      </c>
      <c r="E80" t="str" cm="1">
        <f t="array" ref="E80">IF(A80="", "", INDEX(Sheet1!$D:$D, A80, ))</f>
        <v/>
      </c>
      <c r="F80" t="str" cm="1">
        <f t="array" ref="F80">IF(A80="", "", INDEX(Sheet1!$E:$E, A80, ))</f>
        <v/>
      </c>
      <c r="G80" t="str" cm="1">
        <f t="array" ref="G80">IF(A80="", "", INDEX(Sheet1!$F:$F, A80, ))</f>
        <v/>
      </c>
      <c r="H80" t="str" cm="1">
        <f t="array" ref="H80">IF(A80="", "", INDEX(Sheet1!$G:$G, A80, ))</f>
        <v/>
      </c>
      <c r="I80" t="str" cm="1">
        <f t="array" ref="I80">IF(A80="", "", INDEX(Sheet1!$H:$H, A80, ))</f>
        <v/>
      </c>
      <c r="J80" t="str">
        <f t="shared" si="7"/>
        <v/>
      </c>
      <c r="K80" t="str">
        <f t="shared" si="8"/>
        <v/>
      </c>
      <c r="L80" t="str">
        <f t="shared" si="9"/>
        <v/>
      </c>
      <c r="M80" t="str">
        <f t="shared" si="10"/>
        <v/>
      </c>
      <c r="N80" t="str">
        <f t="shared" si="11"/>
        <v/>
      </c>
      <c r="O80" t="str">
        <f t="shared" si="12"/>
        <v/>
      </c>
      <c r="P80" t="str">
        <f t="shared" si="13"/>
        <v/>
      </c>
    </row>
    <row r="81" spans="1:16" x14ac:dyDescent="0.75">
      <c r="A81" t="str">
        <f>IFERROR(SMALL(Sheet1!K:K, ROW(A80)), "")</f>
        <v/>
      </c>
      <c r="B81" t="str" cm="1">
        <f t="array" ref="B81">IF(A81="", "", INDEX(Sheet1!$A:$A, A81, ))</f>
        <v/>
      </c>
      <c r="C81" t="str" cm="1">
        <f t="array" ref="C81">IF(A81="", "", INDEX(Sheet1!$B:$B, A81, ))</f>
        <v/>
      </c>
      <c r="D81" t="str" cm="1">
        <f t="array" ref="D81">IF(A81="", "", INDEX(Sheet1!$C:$C, A81, ))</f>
        <v/>
      </c>
      <c r="E81" t="str" cm="1">
        <f t="array" ref="E81">IF(A81="", "", INDEX(Sheet1!$D:$D, A81, ))</f>
        <v/>
      </c>
      <c r="F81" t="str" cm="1">
        <f t="array" ref="F81">IF(A81="", "", INDEX(Sheet1!$E:$E, A81, ))</f>
        <v/>
      </c>
      <c r="G81" t="str" cm="1">
        <f t="array" ref="G81">IF(A81="", "", INDEX(Sheet1!$F:$F, A81, ))</f>
        <v/>
      </c>
      <c r="H81" t="str" cm="1">
        <f t="array" ref="H81">IF(A81="", "", INDEX(Sheet1!$G:$G, A81, ))</f>
        <v/>
      </c>
      <c r="I81" t="str" cm="1">
        <f t="array" ref="I81">IF(A81="", "", INDEX(Sheet1!$H:$H, A81, ))</f>
        <v/>
      </c>
      <c r="J81" t="str">
        <f t="shared" si="7"/>
        <v/>
      </c>
      <c r="K81" t="str">
        <f t="shared" si="8"/>
        <v/>
      </c>
      <c r="L81" t="str">
        <f t="shared" si="9"/>
        <v/>
      </c>
      <c r="M81" t="str">
        <f t="shared" si="10"/>
        <v/>
      </c>
      <c r="N81" t="str">
        <f t="shared" si="11"/>
        <v/>
      </c>
      <c r="O81" t="str">
        <f t="shared" si="12"/>
        <v/>
      </c>
      <c r="P81" t="str">
        <f t="shared" si="13"/>
        <v/>
      </c>
    </row>
    <row r="82" spans="1:16" x14ac:dyDescent="0.75">
      <c r="A82" t="str">
        <f>IFERROR(SMALL(Sheet1!K:K, ROW(A81)), "")</f>
        <v/>
      </c>
      <c r="B82" t="str" cm="1">
        <f t="array" ref="B82">IF(A82="", "", INDEX(Sheet1!$A:$A, A82, ))</f>
        <v/>
      </c>
      <c r="C82" t="str" cm="1">
        <f t="array" ref="C82">IF(A82="", "", INDEX(Sheet1!$B:$B, A82, ))</f>
        <v/>
      </c>
      <c r="D82" t="str" cm="1">
        <f t="array" ref="D82">IF(A82="", "", INDEX(Sheet1!$C:$C, A82, ))</f>
        <v/>
      </c>
      <c r="E82" t="str" cm="1">
        <f t="array" ref="E82">IF(A82="", "", INDEX(Sheet1!$D:$D, A82, ))</f>
        <v/>
      </c>
      <c r="F82" t="str" cm="1">
        <f t="array" ref="F82">IF(A82="", "", INDEX(Sheet1!$E:$E, A82, ))</f>
        <v/>
      </c>
      <c r="G82" t="str" cm="1">
        <f t="array" ref="G82">IF(A82="", "", INDEX(Sheet1!$F:$F, A82, ))</f>
        <v/>
      </c>
      <c r="H82" t="str" cm="1">
        <f t="array" ref="H82">IF(A82="", "", INDEX(Sheet1!$G:$G, A82, ))</f>
        <v/>
      </c>
      <c r="I82" t="str" cm="1">
        <f t="array" ref="I82">IF(A82="", "", INDEX(Sheet1!$H:$H, A82, ))</f>
        <v/>
      </c>
      <c r="J82" t="str">
        <f t="shared" si="7"/>
        <v/>
      </c>
      <c r="K82" t="str">
        <f t="shared" si="8"/>
        <v/>
      </c>
      <c r="L82" t="str">
        <f t="shared" si="9"/>
        <v/>
      </c>
      <c r="M82" t="str">
        <f t="shared" si="10"/>
        <v/>
      </c>
      <c r="N82" t="str">
        <f t="shared" si="11"/>
        <v/>
      </c>
      <c r="O82" t="str">
        <f t="shared" si="12"/>
        <v/>
      </c>
      <c r="P82" t="str">
        <f t="shared" si="13"/>
        <v/>
      </c>
    </row>
    <row r="83" spans="1:16" x14ac:dyDescent="0.75">
      <c r="A83" t="str">
        <f>IFERROR(SMALL(Sheet1!K:K, ROW(A82)), "")</f>
        <v/>
      </c>
      <c r="B83" t="str" cm="1">
        <f t="array" ref="B83">IF(A83="", "", INDEX(Sheet1!$A:$A, A83, ))</f>
        <v/>
      </c>
      <c r="C83" t="str" cm="1">
        <f t="array" ref="C83">IF(A83="", "", INDEX(Sheet1!$B:$B, A83, ))</f>
        <v/>
      </c>
      <c r="D83" t="str" cm="1">
        <f t="array" ref="D83">IF(A83="", "", INDEX(Sheet1!$C:$C, A83, ))</f>
        <v/>
      </c>
      <c r="E83" t="str" cm="1">
        <f t="array" ref="E83">IF(A83="", "", INDEX(Sheet1!$D:$D, A83, ))</f>
        <v/>
      </c>
      <c r="F83" t="str" cm="1">
        <f t="array" ref="F83">IF(A83="", "", INDEX(Sheet1!$E:$E, A83, ))</f>
        <v/>
      </c>
      <c r="G83" t="str" cm="1">
        <f t="array" ref="G83">IF(A83="", "", INDEX(Sheet1!$F:$F, A83, ))</f>
        <v/>
      </c>
      <c r="H83" t="str" cm="1">
        <f t="array" ref="H83">IF(A83="", "", INDEX(Sheet1!$G:$G, A83, ))</f>
        <v/>
      </c>
      <c r="I83" t="str" cm="1">
        <f t="array" ref="I83">IF(A83="", "", INDEX(Sheet1!$H:$H, A83, ))</f>
        <v/>
      </c>
      <c r="J83" t="str">
        <f t="shared" si="7"/>
        <v/>
      </c>
      <c r="K83" t="str">
        <f t="shared" si="8"/>
        <v/>
      </c>
      <c r="L83" t="str">
        <f t="shared" si="9"/>
        <v/>
      </c>
      <c r="M83" t="str">
        <f t="shared" si="10"/>
        <v/>
      </c>
      <c r="N83" t="str">
        <f t="shared" si="11"/>
        <v/>
      </c>
      <c r="O83" t="str">
        <f t="shared" si="12"/>
        <v/>
      </c>
      <c r="P83" t="str">
        <f t="shared" si="13"/>
        <v/>
      </c>
    </row>
    <row r="84" spans="1:16" x14ac:dyDescent="0.75">
      <c r="A84" t="str">
        <f>IFERROR(SMALL(Sheet1!K:K, ROW(A83)), "")</f>
        <v/>
      </c>
      <c r="B84" t="str" cm="1">
        <f t="array" ref="B84">IF(A84="", "", INDEX(Sheet1!$A:$A, A84, ))</f>
        <v/>
      </c>
      <c r="C84" t="str" cm="1">
        <f t="array" ref="C84">IF(A84="", "", INDEX(Sheet1!$B:$B, A84, ))</f>
        <v/>
      </c>
      <c r="D84" t="str" cm="1">
        <f t="array" ref="D84">IF(A84="", "", INDEX(Sheet1!$C:$C, A84, ))</f>
        <v/>
      </c>
      <c r="E84" t="str" cm="1">
        <f t="array" ref="E84">IF(A84="", "", INDEX(Sheet1!$D:$D, A84, ))</f>
        <v/>
      </c>
      <c r="F84" t="str" cm="1">
        <f t="array" ref="F84">IF(A84="", "", INDEX(Sheet1!$E:$E, A84, ))</f>
        <v/>
      </c>
      <c r="G84" t="str" cm="1">
        <f t="array" ref="G84">IF(A84="", "", INDEX(Sheet1!$F:$F, A84, ))</f>
        <v/>
      </c>
      <c r="H84" t="str" cm="1">
        <f t="array" ref="H84">IF(A84="", "", INDEX(Sheet1!$G:$G, A84, ))</f>
        <v/>
      </c>
      <c r="I84" t="str" cm="1">
        <f t="array" ref="I84">IF(A84="", "", INDEX(Sheet1!$H:$H, A84, ))</f>
        <v/>
      </c>
      <c r="J84" t="str">
        <f t="shared" si="7"/>
        <v/>
      </c>
      <c r="K84" t="str">
        <f t="shared" si="8"/>
        <v/>
      </c>
      <c r="L84" t="str">
        <f t="shared" si="9"/>
        <v/>
      </c>
      <c r="M84" t="str">
        <f t="shared" si="10"/>
        <v/>
      </c>
      <c r="N84" t="str">
        <f t="shared" si="11"/>
        <v/>
      </c>
      <c r="O84" t="str">
        <f t="shared" si="12"/>
        <v/>
      </c>
      <c r="P84" t="str">
        <f t="shared" si="13"/>
        <v/>
      </c>
    </row>
    <row r="85" spans="1:16" x14ac:dyDescent="0.75">
      <c r="A85" t="str">
        <f>IFERROR(SMALL(Sheet1!K:K, ROW(A84)), "")</f>
        <v/>
      </c>
      <c r="B85" t="str" cm="1">
        <f t="array" ref="B85">IF(A85="", "", INDEX(Sheet1!$A:$A, A85, ))</f>
        <v/>
      </c>
      <c r="C85" t="str" cm="1">
        <f t="array" ref="C85">IF(A85="", "", INDEX(Sheet1!$B:$B, A85, ))</f>
        <v/>
      </c>
      <c r="D85" t="str" cm="1">
        <f t="array" ref="D85">IF(A85="", "", INDEX(Sheet1!$C:$C, A85, ))</f>
        <v/>
      </c>
      <c r="E85" t="str" cm="1">
        <f t="array" ref="E85">IF(A85="", "", INDEX(Sheet1!$D:$D, A85, ))</f>
        <v/>
      </c>
      <c r="F85" t="str" cm="1">
        <f t="array" ref="F85">IF(A85="", "", INDEX(Sheet1!$E:$E, A85, ))</f>
        <v/>
      </c>
      <c r="G85" t="str" cm="1">
        <f t="array" ref="G85">IF(A85="", "", INDEX(Sheet1!$F:$F, A85, ))</f>
        <v/>
      </c>
      <c r="H85" t="str" cm="1">
        <f t="array" ref="H85">IF(A85="", "", INDEX(Sheet1!$G:$G, A85, ))</f>
        <v/>
      </c>
      <c r="I85" t="str" cm="1">
        <f t="array" ref="I85">IF(A85="", "", INDEX(Sheet1!$H:$H, A85, ))</f>
        <v/>
      </c>
      <c r="J85" t="str">
        <f t="shared" si="7"/>
        <v/>
      </c>
      <c r="K85" t="str">
        <f t="shared" si="8"/>
        <v/>
      </c>
      <c r="L85" t="str">
        <f t="shared" si="9"/>
        <v/>
      </c>
      <c r="M85" t="str">
        <f t="shared" si="10"/>
        <v/>
      </c>
      <c r="N85" t="str">
        <f t="shared" si="11"/>
        <v/>
      </c>
      <c r="O85" t="str">
        <f t="shared" si="12"/>
        <v/>
      </c>
      <c r="P85" t="str">
        <f t="shared" si="13"/>
        <v/>
      </c>
    </row>
    <row r="86" spans="1:16" x14ac:dyDescent="0.75">
      <c r="A86" t="str">
        <f>IFERROR(SMALL(Sheet1!K:K, ROW(A85)), "")</f>
        <v/>
      </c>
      <c r="B86" t="str" cm="1">
        <f t="array" ref="B86">IF(A86="", "", INDEX(Sheet1!$A:$A, A86, ))</f>
        <v/>
      </c>
      <c r="C86" t="str" cm="1">
        <f t="array" ref="C86">IF(A86="", "", INDEX(Sheet1!$B:$B, A86, ))</f>
        <v/>
      </c>
      <c r="D86" t="str" cm="1">
        <f t="array" ref="D86">IF(A86="", "", INDEX(Sheet1!$C:$C, A86, ))</f>
        <v/>
      </c>
      <c r="E86" t="str" cm="1">
        <f t="array" ref="E86">IF(A86="", "", INDEX(Sheet1!$D:$D, A86, ))</f>
        <v/>
      </c>
      <c r="F86" t="str" cm="1">
        <f t="array" ref="F86">IF(A86="", "", INDEX(Sheet1!$E:$E, A86, ))</f>
        <v/>
      </c>
      <c r="G86" t="str" cm="1">
        <f t="array" ref="G86">IF(A86="", "", INDEX(Sheet1!$F:$F, A86, ))</f>
        <v/>
      </c>
      <c r="H86" t="str" cm="1">
        <f t="array" ref="H86">IF(A86="", "", INDEX(Sheet1!$G:$G, A86, ))</f>
        <v/>
      </c>
      <c r="I86" t="str" cm="1">
        <f t="array" ref="I86">IF(A86="", "", INDEX(Sheet1!$H:$H, A86, ))</f>
        <v/>
      </c>
      <c r="J86" t="str">
        <f t="shared" si="7"/>
        <v/>
      </c>
      <c r="K86" t="str">
        <f t="shared" si="8"/>
        <v/>
      </c>
      <c r="L86" t="str">
        <f t="shared" si="9"/>
        <v/>
      </c>
      <c r="M86" t="str">
        <f t="shared" si="10"/>
        <v/>
      </c>
      <c r="N86" t="str">
        <f t="shared" si="11"/>
        <v/>
      </c>
      <c r="O86" t="str">
        <f t="shared" si="12"/>
        <v/>
      </c>
      <c r="P86" t="str">
        <f t="shared" si="13"/>
        <v/>
      </c>
    </row>
    <row r="87" spans="1:16" x14ac:dyDescent="0.75">
      <c r="A87" t="str">
        <f>IFERROR(SMALL(Sheet1!K:K, ROW(A86)), "")</f>
        <v/>
      </c>
      <c r="B87" t="str" cm="1">
        <f t="array" ref="B87">IF(A87="", "", INDEX(Sheet1!$A:$A, A87, ))</f>
        <v/>
      </c>
      <c r="D87" t="str" cm="1">
        <f t="array" ref="D87">IF(A87="", "", INDEX(Sheet1!$C:$C, A87, ))</f>
        <v/>
      </c>
      <c r="E87" t="str" cm="1">
        <f t="array" ref="E87">IF(A87="", "", INDEX(Sheet1!$D:$D, A87, ))</f>
        <v/>
      </c>
      <c r="F87" t="str" cm="1">
        <f t="array" ref="F87">IF(A87="", "", INDEX(Sheet1!$E:$E, A87, ))</f>
        <v/>
      </c>
      <c r="G87" t="str" cm="1">
        <f t="array" ref="G87">IF(A87="", "", INDEX(Sheet1!$F:$F, A87, ))</f>
        <v/>
      </c>
      <c r="H87" t="str" cm="1">
        <f t="array" ref="H87">IF(A87="", "", INDEX(Sheet1!$G:$G, A87, ))</f>
        <v/>
      </c>
      <c r="I87" t="str" cm="1">
        <f t="array" ref="I87">IF(A87="", "", INDEX(Sheet1!$H:$H, A87, ))</f>
        <v/>
      </c>
      <c r="J87" t="str">
        <f t="shared" si="7"/>
        <v/>
      </c>
      <c r="K87" t="str">
        <f t="shared" si="8"/>
        <v/>
      </c>
      <c r="L87" t="str">
        <f t="shared" si="9"/>
        <v/>
      </c>
      <c r="M87" t="str">
        <f t="shared" si="10"/>
        <v/>
      </c>
      <c r="N87" t="str">
        <f t="shared" si="11"/>
        <v/>
      </c>
      <c r="O87" t="str">
        <f t="shared" si="12"/>
        <v/>
      </c>
      <c r="P87" t="str">
        <f t="shared" si="13"/>
        <v/>
      </c>
    </row>
    <row r="88" spans="1:16" x14ac:dyDescent="0.75">
      <c r="A88" t="str">
        <f>IFERROR(SMALL(Sheet1!K:K, ROW(A87)), "")</f>
        <v/>
      </c>
      <c r="B88" t="str" cm="1">
        <f t="array" ref="B88">IF(A88="", "", INDEX(Sheet1!$A:$A, A88, ))</f>
        <v/>
      </c>
      <c r="D88" t="str" cm="1">
        <f t="array" ref="D88">IF(A88="", "", INDEX(Sheet1!$C:$C, A88, ))</f>
        <v/>
      </c>
      <c r="E88" t="str" cm="1">
        <f t="array" ref="E88">IF(A88="", "", INDEX(Sheet1!$D:$D, A88, ))</f>
        <v/>
      </c>
      <c r="F88" t="str" cm="1">
        <f t="array" ref="F88">IF(A88="", "", INDEX(Sheet1!$E:$E, A88, ))</f>
        <v/>
      </c>
      <c r="G88" t="str" cm="1">
        <f t="array" ref="G88">IF(A88="", "", INDEX(Sheet1!$F:$F, A88, ))</f>
        <v/>
      </c>
      <c r="H88" t="str" cm="1">
        <f t="array" ref="H88">IF(A88="", "", INDEX(Sheet1!$G:$G, A88, ))</f>
        <v/>
      </c>
      <c r="I88" t="str" cm="1">
        <f t="array" ref="I88">IF(A88="", "", INDEX(Sheet1!$H:$H, A88, ))</f>
        <v/>
      </c>
      <c r="J88" t="str">
        <f t="shared" si="7"/>
        <v/>
      </c>
      <c r="K88" t="str">
        <f t="shared" si="8"/>
        <v/>
      </c>
      <c r="L88" t="str">
        <f t="shared" si="9"/>
        <v/>
      </c>
      <c r="M88" t="str">
        <f t="shared" si="10"/>
        <v/>
      </c>
      <c r="N88" t="str">
        <f t="shared" si="11"/>
        <v/>
      </c>
      <c r="O88" t="str">
        <f t="shared" si="12"/>
        <v/>
      </c>
      <c r="P88" t="str">
        <f t="shared" si="13"/>
        <v/>
      </c>
    </row>
    <row r="89" spans="1:16" x14ac:dyDescent="0.75">
      <c r="A89" t="str">
        <f>IFERROR(SMALL(Sheet1!K:K, ROW(A88)), "")</f>
        <v/>
      </c>
      <c r="B89" t="str" cm="1">
        <f t="array" ref="B89">IF(A89="", "", INDEX(Sheet1!$A:$A, A89, ))</f>
        <v/>
      </c>
      <c r="D89" t="str" cm="1">
        <f t="array" ref="D89">IF(A89="", "", INDEX(Sheet1!$C:$C, A89, ))</f>
        <v/>
      </c>
      <c r="E89" t="str" cm="1">
        <f t="array" ref="E89">IF(A89="", "", INDEX(Sheet1!$D:$D, A89, ))</f>
        <v/>
      </c>
      <c r="F89" t="str" cm="1">
        <f t="array" ref="F89">IF(A89="", "", INDEX(Sheet1!$E:$E, A89, ))</f>
        <v/>
      </c>
      <c r="G89" t="str" cm="1">
        <f t="array" ref="G89">IF(A89="", "", INDEX(Sheet1!$F:$F, A89, ))</f>
        <v/>
      </c>
      <c r="H89" t="str" cm="1">
        <f t="array" ref="H89">IF(A89="", "", INDEX(Sheet1!$G:$G, A89, ))</f>
        <v/>
      </c>
      <c r="I89" t="str" cm="1">
        <f t="array" ref="I89">IF(A89="", "", INDEX(Sheet1!$H:$H, A89, ))</f>
        <v/>
      </c>
      <c r="J89" t="str">
        <f t="shared" si="7"/>
        <v/>
      </c>
      <c r="K89" t="str">
        <f t="shared" si="8"/>
        <v/>
      </c>
      <c r="L89" t="str">
        <f t="shared" si="9"/>
        <v/>
      </c>
      <c r="M89" t="str">
        <f t="shared" si="10"/>
        <v/>
      </c>
      <c r="N89" t="str">
        <f t="shared" si="11"/>
        <v/>
      </c>
      <c r="O89" t="str">
        <f t="shared" si="12"/>
        <v/>
      </c>
      <c r="P89" t="str">
        <f t="shared" si="13"/>
        <v/>
      </c>
    </row>
    <row r="90" spans="1:16" x14ac:dyDescent="0.75">
      <c r="A90" t="str">
        <f>IFERROR(SMALL(Sheet1!K:K, ROW(A89)), "")</f>
        <v/>
      </c>
      <c r="B90" t="str" cm="1">
        <f t="array" ref="B90">IF(A90="", "", INDEX(Sheet1!$A:$A, A90, ))</f>
        <v/>
      </c>
      <c r="D90" t="str" cm="1">
        <f t="array" ref="D90">IF(A90="", "", INDEX(Sheet1!$C:$C, A90, ))</f>
        <v/>
      </c>
      <c r="E90" t="str" cm="1">
        <f t="array" ref="E90">IF(A90="", "", INDEX(Sheet1!$D:$D, A90, ))</f>
        <v/>
      </c>
      <c r="F90" t="str" cm="1">
        <f t="array" ref="F90">IF(A90="", "", INDEX(Sheet1!$E:$E, A90, ))</f>
        <v/>
      </c>
      <c r="G90" t="str" cm="1">
        <f t="array" ref="G90">IF(A90="", "", INDEX(Sheet1!$F:$F, A90, ))</f>
        <v/>
      </c>
      <c r="H90" t="str" cm="1">
        <f t="array" ref="H90">IF(A90="", "", INDEX(Sheet1!$G:$G, A90, ))</f>
        <v/>
      </c>
      <c r="I90" t="str" cm="1">
        <f t="array" ref="I90">IF(A90="", "", INDEX(Sheet1!$H:$H, A90, ))</f>
        <v/>
      </c>
      <c r="J90" t="str">
        <f t="shared" si="7"/>
        <v/>
      </c>
      <c r="K90" t="str">
        <f t="shared" si="8"/>
        <v/>
      </c>
      <c r="L90" t="str">
        <f t="shared" si="9"/>
        <v/>
      </c>
      <c r="M90" t="str">
        <f t="shared" si="10"/>
        <v/>
      </c>
      <c r="N90" t="str">
        <f t="shared" si="11"/>
        <v/>
      </c>
      <c r="O90" t="str">
        <f t="shared" si="12"/>
        <v/>
      </c>
      <c r="P90" t="str">
        <f t="shared" si="13"/>
        <v/>
      </c>
    </row>
    <row r="91" spans="1:16" x14ac:dyDescent="0.75">
      <c r="A91" t="str">
        <f>IFERROR(SMALL(Sheet1!K:K, ROW(A90)), "")</f>
        <v/>
      </c>
      <c r="B91" t="str" cm="1">
        <f t="array" ref="B91">IF(A91="", "", INDEX(Sheet1!$A:$A, A91, ))</f>
        <v/>
      </c>
      <c r="D91" t="str" cm="1">
        <f t="array" ref="D91">IF(A91="", "", INDEX(Sheet1!$C:$C, A91, ))</f>
        <v/>
      </c>
      <c r="E91" t="str" cm="1">
        <f t="array" ref="E91">IF(A91="", "", INDEX(Sheet1!$D:$D, A91, ))</f>
        <v/>
      </c>
      <c r="F91" t="str" cm="1">
        <f t="array" ref="F91">IF(A91="", "", INDEX(Sheet1!$E:$E, A91, ))</f>
        <v/>
      </c>
      <c r="G91" t="str" cm="1">
        <f t="array" ref="G91">IF(A91="", "", INDEX(Sheet1!$F:$F, A91, ))</f>
        <v/>
      </c>
      <c r="H91" t="str" cm="1">
        <f t="array" ref="H91">IF(A91="", "", INDEX(Sheet1!$G:$G, A91, ))</f>
        <v/>
      </c>
      <c r="I91" t="str" cm="1">
        <f t="array" ref="I91">IF(A91="", "", INDEX(Sheet1!$H:$H, A91, ))</f>
        <v/>
      </c>
      <c r="J91" t="str">
        <f t="shared" si="7"/>
        <v/>
      </c>
      <c r="K91" t="str">
        <f t="shared" si="8"/>
        <v/>
      </c>
      <c r="L91" t="str">
        <f t="shared" si="9"/>
        <v/>
      </c>
      <c r="M91" t="str">
        <f t="shared" si="10"/>
        <v/>
      </c>
      <c r="N91" t="str">
        <f t="shared" si="11"/>
        <v/>
      </c>
      <c r="O91" t="str">
        <f t="shared" si="12"/>
        <v/>
      </c>
      <c r="P91" t="str">
        <f t="shared" si="13"/>
        <v/>
      </c>
    </row>
    <row r="92" spans="1:16" x14ac:dyDescent="0.75">
      <c r="A92" t="str">
        <f>IFERROR(SMALL(Sheet1!K:K, ROW(A91)), "")</f>
        <v/>
      </c>
      <c r="B92" t="str" cm="1">
        <f t="array" ref="B92">IF(A92="", "", INDEX(Sheet1!$A:$A, A92, ))</f>
        <v/>
      </c>
      <c r="D92" t="str" cm="1">
        <f t="array" ref="D92">IF(A92="", "", INDEX(Sheet1!$C:$C, A92, ))</f>
        <v/>
      </c>
      <c r="E92" t="str" cm="1">
        <f t="array" ref="E92">IF(A92="", "", INDEX(Sheet1!$D:$D, A92, ))</f>
        <v/>
      </c>
      <c r="F92" t="str" cm="1">
        <f t="array" ref="F92">IF(A92="", "", INDEX(Sheet1!$E:$E, A92, ))</f>
        <v/>
      </c>
      <c r="G92" t="str" cm="1">
        <f t="array" ref="G92">IF(A92="", "", INDEX(Sheet1!$F:$F, A92, ))</f>
        <v/>
      </c>
      <c r="H92" t="str" cm="1">
        <f t="array" ref="H92">IF(A92="", "", INDEX(Sheet1!$G:$G, A92, ))</f>
        <v/>
      </c>
      <c r="I92" t="str" cm="1">
        <f t="array" ref="I92">IF(A92="", "", INDEX(Sheet1!$H:$H, A92, ))</f>
        <v/>
      </c>
      <c r="J92" t="str">
        <f t="shared" si="7"/>
        <v/>
      </c>
      <c r="K92" t="str">
        <f t="shared" si="8"/>
        <v/>
      </c>
      <c r="L92" t="str">
        <f t="shared" si="9"/>
        <v/>
      </c>
      <c r="M92" t="str">
        <f t="shared" si="10"/>
        <v/>
      </c>
      <c r="N92" t="str">
        <f t="shared" si="11"/>
        <v/>
      </c>
      <c r="O92" t="str">
        <f t="shared" si="12"/>
        <v/>
      </c>
      <c r="P92" t="str">
        <f t="shared" si="13"/>
        <v/>
      </c>
    </row>
    <row r="93" spans="1:16" x14ac:dyDescent="0.75">
      <c r="A93" t="str">
        <f>IFERROR(SMALL(Sheet1!K:K, ROW(A92)), "")</f>
        <v/>
      </c>
      <c r="B93" t="str" cm="1">
        <f t="array" ref="B93">IF(A93="", "", INDEX(Sheet1!$A:$A, A93, ))</f>
        <v/>
      </c>
      <c r="D93" t="str" cm="1">
        <f t="array" ref="D93">IF(A93="", "", INDEX(Sheet1!$C:$C, A93, ))</f>
        <v/>
      </c>
      <c r="E93" t="str" cm="1">
        <f t="array" ref="E93">IF(A93="", "", INDEX(Sheet1!$D:$D, A93, ))</f>
        <v/>
      </c>
      <c r="F93" t="str" cm="1">
        <f t="array" ref="F93">IF(A93="", "", INDEX(Sheet1!$E:$E, A93, ))</f>
        <v/>
      </c>
      <c r="G93" t="str" cm="1">
        <f t="array" ref="G93">IF(A93="", "", INDEX(Sheet1!$F:$F, A93, ))</f>
        <v/>
      </c>
      <c r="H93" t="str" cm="1">
        <f t="array" ref="H93">IF(A93="", "", INDEX(Sheet1!$G:$G, A93, ))</f>
        <v/>
      </c>
      <c r="I93" t="str" cm="1">
        <f t="array" ref="I93">IF(A93="", "", INDEX(Sheet1!$H:$H, A93, ))</f>
        <v/>
      </c>
      <c r="J93" t="str">
        <f t="shared" si="7"/>
        <v/>
      </c>
      <c r="K93" t="str">
        <f t="shared" si="8"/>
        <v/>
      </c>
      <c r="L93" t="str">
        <f t="shared" si="9"/>
        <v/>
      </c>
      <c r="M93" t="str">
        <f t="shared" si="10"/>
        <v/>
      </c>
      <c r="N93" t="str">
        <f t="shared" si="11"/>
        <v/>
      </c>
      <c r="O93" t="str">
        <f t="shared" si="12"/>
        <v/>
      </c>
      <c r="P93" t="str">
        <f t="shared" si="13"/>
        <v/>
      </c>
    </row>
    <row r="94" spans="1:16" x14ac:dyDescent="0.75">
      <c r="A94" t="str">
        <f>IFERROR(SMALL(Sheet1!K:K, ROW(A93)), "")</f>
        <v/>
      </c>
      <c r="B94" t="str" cm="1">
        <f t="array" ref="B94">IF(A94="", "", INDEX(Sheet1!$A:$A, A94, ))</f>
        <v/>
      </c>
      <c r="D94" t="str" cm="1">
        <f t="array" ref="D94">IF(A94="", "", INDEX(Sheet1!$C:$C, A94, ))</f>
        <v/>
      </c>
      <c r="E94" t="str" cm="1">
        <f t="array" ref="E94">IF(A94="", "", INDEX(Sheet1!$D:$D, A94, ))</f>
        <v/>
      </c>
      <c r="F94" t="str" cm="1">
        <f t="array" ref="F94">IF(A94="", "", INDEX(Sheet1!$E:$E, A94, ))</f>
        <v/>
      </c>
      <c r="G94" t="str" cm="1">
        <f t="array" ref="G94">IF(A94="", "", INDEX(Sheet1!$F:$F, A94, ))</f>
        <v/>
      </c>
      <c r="H94" t="str" cm="1">
        <f t="array" ref="H94">IF(A94="", "", INDEX(Sheet1!$G:$G, A94, ))</f>
        <v/>
      </c>
      <c r="I94" t="str" cm="1">
        <f t="array" ref="I94">IF(A94="", "", INDEX(Sheet1!$H:$H, A94, ))</f>
        <v/>
      </c>
      <c r="J94" t="str">
        <f t="shared" si="7"/>
        <v/>
      </c>
      <c r="K94" t="str">
        <f t="shared" si="8"/>
        <v/>
      </c>
      <c r="L94" t="str">
        <f t="shared" si="9"/>
        <v/>
      </c>
      <c r="M94" t="str">
        <f t="shared" si="10"/>
        <v/>
      </c>
      <c r="N94" t="str">
        <f t="shared" si="11"/>
        <v/>
      </c>
      <c r="O94" t="str">
        <f t="shared" si="12"/>
        <v/>
      </c>
      <c r="P94" t="str">
        <f t="shared" si="13"/>
        <v/>
      </c>
    </row>
    <row r="95" spans="1:16" x14ac:dyDescent="0.75">
      <c r="A95" t="str">
        <f>IFERROR(SMALL(Sheet1!K:K, ROW(A94)), "")</f>
        <v/>
      </c>
      <c r="B95" t="str" cm="1">
        <f t="array" ref="B95">IF(A95="", "", INDEX(Sheet1!$A:$A, A95, ))</f>
        <v/>
      </c>
      <c r="D95" t="str" cm="1">
        <f t="array" ref="D95">IF(A95="", "", INDEX(Sheet1!$C:$C, A95, ))</f>
        <v/>
      </c>
      <c r="E95" t="str" cm="1">
        <f t="array" ref="E95">IF(A95="", "", INDEX(Sheet1!$D:$D, A95, ))</f>
        <v/>
      </c>
      <c r="F95" t="str" cm="1">
        <f t="array" ref="F95">IF(A95="", "", INDEX(Sheet1!$E:$E, A95, ))</f>
        <v/>
      </c>
      <c r="G95" t="str" cm="1">
        <f t="array" ref="G95">IF(A95="", "", INDEX(Sheet1!$F:$F, A95, ))</f>
        <v/>
      </c>
      <c r="H95" t="str" cm="1">
        <f t="array" ref="H95">IF(A95="", "", INDEX(Sheet1!$G:$G, A95, ))</f>
        <v/>
      </c>
      <c r="I95" t="str" cm="1">
        <f t="array" ref="I95">IF(A95="", "", INDEX(Sheet1!$H:$H, A95, ))</f>
        <v/>
      </c>
      <c r="J95" t="str">
        <f t="shared" si="7"/>
        <v/>
      </c>
      <c r="K95" t="str">
        <f t="shared" si="8"/>
        <v/>
      </c>
      <c r="L95" t="str">
        <f t="shared" si="9"/>
        <v/>
      </c>
      <c r="M95" t="str">
        <f t="shared" si="10"/>
        <v/>
      </c>
      <c r="N95" t="str">
        <f t="shared" si="11"/>
        <v/>
      </c>
      <c r="O95" t="str">
        <f t="shared" si="12"/>
        <v/>
      </c>
      <c r="P95" t="str">
        <f t="shared" si="13"/>
        <v/>
      </c>
    </row>
    <row r="96" spans="1:16" x14ac:dyDescent="0.75">
      <c r="A96" t="str">
        <f>IFERROR(SMALL(Sheet1!K:K, ROW(A95)), "")</f>
        <v/>
      </c>
      <c r="B96" t="str" cm="1">
        <f t="array" ref="B96">IF(A96="", "", INDEX(Sheet1!$A:$A, A96, ))</f>
        <v/>
      </c>
      <c r="D96" t="str" cm="1">
        <f t="array" ref="D96">IF(A96="", "", INDEX(Sheet1!$C:$C, A96, ))</f>
        <v/>
      </c>
      <c r="E96" t="str" cm="1">
        <f t="array" ref="E96">IF(A96="", "", INDEX(Sheet1!$D:$D, A96, ))</f>
        <v/>
      </c>
      <c r="F96" t="str" cm="1">
        <f t="array" ref="F96">IF(A96="", "", INDEX(Sheet1!$E:$E, A96, ))</f>
        <v/>
      </c>
      <c r="G96" t="str" cm="1">
        <f t="array" ref="G96">IF(A96="", "", INDEX(Sheet1!$F:$F, A96, ))</f>
        <v/>
      </c>
      <c r="H96" t="str" cm="1">
        <f t="array" ref="H96">IF(A96="", "", INDEX(Sheet1!$G:$G, A96, ))</f>
        <v/>
      </c>
      <c r="I96" t="str" cm="1">
        <f t="array" ref="I96">IF(A96="", "", INDEX(Sheet1!$H:$H, A96, ))</f>
        <v/>
      </c>
      <c r="J96" t="str">
        <f t="shared" si="7"/>
        <v/>
      </c>
      <c r="K96" t="str">
        <f t="shared" si="8"/>
        <v/>
      </c>
      <c r="L96" t="str">
        <f t="shared" si="9"/>
        <v/>
      </c>
      <c r="M96" t="str">
        <f t="shared" si="10"/>
        <v/>
      </c>
      <c r="N96" t="str">
        <f t="shared" si="11"/>
        <v/>
      </c>
      <c r="O96" t="str">
        <f t="shared" si="12"/>
        <v/>
      </c>
      <c r="P96" t="str">
        <f t="shared" si="13"/>
        <v/>
      </c>
    </row>
    <row r="97" spans="1:16" x14ac:dyDescent="0.75">
      <c r="A97" t="str">
        <f>IFERROR(SMALL(Sheet1!K:K, ROW(A96)), "")</f>
        <v/>
      </c>
      <c r="B97" t="str" cm="1">
        <f t="array" ref="B97">IF(A97="", "", INDEX(Sheet1!$A:$A, A97, ))</f>
        <v/>
      </c>
      <c r="D97" t="str" cm="1">
        <f t="array" ref="D97">IF(A97="", "", INDEX(Sheet1!$C:$C, A97, ))</f>
        <v/>
      </c>
      <c r="E97" t="str" cm="1">
        <f t="array" ref="E97">IF(A97="", "", INDEX(Sheet1!$D:$D, A97, ))</f>
        <v/>
      </c>
      <c r="F97" t="str" cm="1">
        <f t="array" ref="F97">IF(A97="", "", INDEX(Sheet1!$E:$E, A97, ))</f>
        <v/>
      </c>
      <c r="G97" t="str" cm="1">
        <f t="array" ref="G97">IF(A97="", "", INDEX(Sheet1!$F:$F, A97, ))</f>
        <v/>
      </c>
      <c r="H97" t="str" cm="1">
        <f t="array" ref="H97">IF(A97="", "", INDEX(Sheet1!$G:$G, A97, ))</f>
        <v/>
      </c>
      <c r="I97" t="str" cm="1">
        <f t="array" ref="I97">IF(A97="", "", INDEX(Sheet1!$H:$H, A97, ))</f>
        <v/>
      </c>
      <c r="J97" t="str">
        <f t="shared" si="7"/>
        <v/>
      </c>
      <c r="K97" t="str">
        <f t="shared" si="8"/>
        <v/>
      </c>
      <c r="L97" t="str">
        <f t="shared" si="9"/>
        <v/>
      </c>
      <c r="M97" t="str">
        <f t="shared" si="10"/>
        <v/>
      </c>
      <c r="N97" t="str">
        <f t="shared" si="11"/>
        <v/>
      </c>
      <c r="O97" t="str">
        <f t="shared" si="12"/>
        <v/>
      </c>
      <c r="P97" t="str">
        <f t="shared" si="13"/>
        <v/>
      </c>
    </row>
    <row r="98" spans="1:16" x14ac:dyDescent="0.75">
      <c r="A98" t="str">
        <f>IFERROR(SMALL(Sheet1!K:K, ROW(A97)), "")</f>
        <v/>
      </c>
      <c r="B98" t="str" cm="1">
        <f t="array" ref="B98">IF(A98="", "", INDEX(Sheet1!$A:$A, A98, ))</f>
        <v/>
      </c>
      <c r="D98" t="str" cm="1">
        <f t="array" ref="D98">IF(A98="", "", INDEX(Sheet1!$C:$C, A98, ))</f>
        <v/>
      </c>
      <c r="E98" t="str" cm="1">
        <f t="array" ref="E98">IF(A98="", "", INDEX(Sheet1!$D:$D, A98, ))</f>
        <v/>
      </c>
      <c r="F98" t="str" cm="1">
        <f t="array" ref="F98">IF(A98="", "", INDEX(Sheet1!$E:$E, A98, ))</f>
        <v/>
      </c>
      <c r="G98" t="str" cm="1">
        <f t="array" ref="G98">IF(A98="", "", INDEX(Sheet1!$F:$F, A98, ))</f>
        <v/>
      </c>
      <c r="H98" t="str" cm="1">
        <f t="array" ref="H98">IF(A98="", "", INDEX(Sheet1!$G:$G, A98, ))</f>
        <v/>
      </c>
      <c r="I98" t="str" cm="1">
        <f t="array" ref="I98">IF(A98="", "", INDEX(Sheet1!$H:$H, A98, ))</f>
        <v/>
      </c>
      <c r="J98" t="str">
        <f t="shared" si="7"/>
        <v/>
      </c>
      <c r="K98" t="str">
        <f t="shared" si="8"/>
        <v/>
      </c>
      <c r="L98" t="str">
        <f t="shared" si="9"/>
        <v/>
      </c>
      <c r="M98" t="str">
        <f t="shared" si="10"/>
        <v/>
      </c>
      <c r="N98" t="str">
        <f t="shared" si="11"/>
        <v/>
      </c>
      <c r="O98" t="str">
        <f t="shared" si="12"/>
        <v/>
      </c>
      <c r="P98" t="str">
        <f t="shared" si="13"/>
        <v/>
      </c>
    </row>
    <row r="99" spans="1:16" x14ac:dyDescent="0.75">
      <c r="A99" t="str">
        <f>IFERROR(SMALL(Sheet1!K:K, ROW(A98)), "")</f>
        <v/>
      </c>
      <c r="B99" t="str" cm="1">
        <f t="array" ref="B99">IF(A99="", "", INDEX(Sheet1!$A:$A, A99, ))</f>
        <v/>
      </c>
      <c r="D99" t="str" cm="1">
        <f t="array" ref="D99">IF(A99="", "", INDEX(Sheet1!$C:$C, A99, ))</f>
        <v/>
      </c>
      <c r="E99" t="str" cm="1">
        <f t="array" ref="E99">IF(A99="", "", INDEX(Sheet1!$D:$D, A99, ))</f>
        <v/>
      </c>
      <c r="F99" t="str" cm="1">
        <f t="array" ref="F99">IF(A99="", "", INDEX(Sheet1!$E:$E, A99, ))</f>
        <v/>
      </c>
      <c r="G99" t="str" cm="1">
        <f t="array" ref="G99">IF(A99="", "", INDEX(Sheet1!$F:$F, A99, ))</f>
        <v/>
      </c>
      <c r="H99" t="str" cm="1">
        <f t="array" ref="H99">IF(A99="", "", INDEX(Sheet1!$G:$G, A99, ))</f>
        <v/>
      </c>
      <c r="I99" t="str" cm="1">
        <f t="array" ref="I99">IF(A99="", "", INDEX(Sheet1!$H:$H, A99, ))</f>
        <v/>
      </c>
      <c r="J99" t="str">
        <f t="shared" si="7"/>
        <v/>
      </c>
      <c r="K99" t="str">
        <f t="shared" si="8"/>
        <v/>
      </c>
      <c r="L99" t="str">
        <f t="shared" si="9"/>
        <v/>
      </c>
      <c r="M99" t="str">
        <f t="shared" si="10"/>
        <v/>
      </c>
      <c r="N99" t="str">
        <f t="shared" si="11"/>
        <v/>
      </c>
      <c r="O99" t="str">
        <f t="shared" si="12"/>
        <v/>
      </c>
      <c r="P99" t="str">
        <f t="shared" si="13"/>
        <v/>
      </c>
    </row>
    <row r="100" spans="1:16" x14ac:dyDescent="0.75">
      <c r="A100" t="str">
        <f>IFERROR(SMALL(Sheet1!K:K, ROW(A99)), "")</f>
        <v/>
      </c>
      <c r="B100" t="str" cm="1">
        <f t="array" ref="B100">IF(A100="", "", INDEX(Sheet1!$A:$A, A100, ))</f>
        <v/>
      </c>
      <c r="D100" t="str" cm="1">
        <f t="array" ref="D100">IF(A100="", "", INDEX(Sheet1!$C:$C, A100, ))</f>
        <v/>
      </c>
      <c r="E100" t="str" cm="1">
        <f t="array" ref="E100">IF(A100="", "", INDEX(Sheet1!$D:$D, A100, ))</f>
        <v/>
      </c>
      <c r="F100" t="str" cm="1">
        <f t="array" ref="F100">IF(A100="", "", INDEX(Sheet1!$E:$E, A100, ))</f>
        <v/>
      </c>
      <c r="G100" t="str" cm="1">
        <f t="array" ref="G100">IF(A100="", "", INDEX(Sheet1!$F:$F, A100, ))</f>
        <v/>
      </c>
      <c r="H100" t="str" cm="1">
        <f t="array" ref="H100">IF(A100="", "", INDEX(Sheet1!$G:$G, A100, ))</f>
        <v/>
      </c>
      <c r="I100" t="str" cm="1">
        <f t="array" ref="I100">IF(A100="", "", INDEX(Sheet1!$H:$H, A100, ))</f>
        <v/>
      </c>
      <c r="J100" t="str">
        <f t="shared" si="7"/>
        <v/>
      </c>
      <c r="K100" t="str">
        <f t="shared" si="8"/>
        <v/>
      </c>
      <c r="L100" t="str">
        <f t="shared" si="9"/>
        <v/>
      </c>
      <c r="M100" t="str">
        <f t="shared" si="10"/>
        <v/>
      </c>
      <c r="N100" t="str">
        <f t="shared" si="11"/>
        <v/>
      </c>
      <c r="O100" t="str">
        <f t="shared" si="12"/>
        <v/>
      </c>
      <c r="P100" t="str">
        <f t="shared" si="13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063E-285E-4DCA-9FB5-27F9BEFF5418}">
  <dimension ref="A1:D100"/>
  <sheetViews>
    <sheetView tabSelected="1" workbookViewId="0">
      <selection activeCell="J10" sqref="J10"/>
    </sheetView>
  </sheetViews>
  <sheetFormatPr defaultColWidth="8.81640625" defaultRowHeight="14.75" x14ac:dyDescent="0.75"/>
  <cols>
    <col min="1" max="1" width="14.1796875" customWidth="1"/>
    <col min="2" max="2" width="14.6796875" customWidth="1"/>
    <col min="3" max="3" width="8.6796875" style="4"/>
    <col min="4" max="4" width="10.5" style="4" customWidth="1"/>
  </cols>
  <sheetData>
    <row r="1" spans="1:4" x14ac:dyDescent="0.75">
      <c r="A1" s="1" t="s">
        <v>0</v>
      </c>
      <c r="B1" s="1" t="s">
        <v>14</v>
      </c>
      <c r="C1" s="3" t="s">
        <v>1</v>
      </c>
      <c r="D1" s="3" t="s">
        <v>2</v>
      </c>
    </row>
    <row r="2" spans="1:4" x14ac:dyDescent="0.75">
      <c r="A2" t="str">
        <f>IF(Sheet2!K2="","",Sheet2!K2&amp;" [SN:"&amp;Sheet2!P2&amp;"]")</f>
        <v/>
      </c>
      <c r="B2" t="str">
        <f>IF(Sheet2!N2="","",TEXT(Sheet2!N2,"#,##0.00")&amp;" "&amp;IF(Sheet2!O2="Monthly", "Month",IF(Sheet2!O2="Cycles","Flight Cycle",IF(Sheet2!O2="Hours","Flight Hour",Sheet2!O2))))</f>
        <v/>
      </c>
      <c r="C2" s="5" t="str">
        <f>IF(Sheet2!M2="","",IF(Sheet2!M2=0,"N/A",TEXT(Sheet2!M2,"#,##0.00")))</f>
        <v/>
      </c>
      <c r="D2" s="5" t="str">
        <f>IF(Sheet2!L2="","",TEXT(Sheet2!L2,"#,##0.00"))</f>
        <v/>
      </c>
    </row>
    <row r="3" spans="1:4" x14ac:dyDescent="0.75">
      <c r="A3" t="str">
        <f>IF(Sheet2!K3="","",Sheet2!K3&amp;" [SN:"&amp;Sheet2!P3&amp;"]")</f>
        <v/>
      </c>
      <c r="B3" t="str">
        <f>IF(Sheet2!N3="","",TEXT(Sheet2!N3,"#,##0.00")&amp;" "&amp;IF(Sheet2!O3="Monthly", "Month",IF(Sheet2!O3="Cycles","Flight Cycle",IF(Sheet2!O3="Hours","Flight Hour",Sheet2!O3))))</f>
        <v/>
      </c>
      <c r="C3" s="5" t="str">
        <f>IF(Sheet2!M3="","",IF(Sheet2!M3=0,"N/A",TEXT(Sheet2!M3,"#,##0.00")))</f>
        <v/>
      </c>
      <c r="D3" s="5" t="str">
        <f>IF(Sheet2!L3="","",TEXT(Sheet2!L3,"#,##0.00"))</f>
        <v/>
      </c>
    </row>
    <row r="4" spans="1:4" x14ac:dyDescent="0.75">
      <c r="A4" t="str">
        <f>IF(Sheet2!K4="","",Sheet2!K4&amp;" [SN:"&amp;Sheet2!P4&amp;"]")</f>
        <v/>
      </c>
      <c r="B4" t="str">
        <f>IF(Sheet2!N4="","",TEXT(Sheet2!N4,"#,##0.00")&amp;" "&amp;IF(Sheet2!O4="Monthly", "Month",IF(Sheet2!O4="Cycles","Flight Cycle",IF(Sheet2!O4="Hours","Flight Hour",Sheet2!O4))))</f>
        <v/>
      </c>
      <c r="C4" s="5" t="str">
        <f>IF(Sheet2!M4="","",IF(Sheet2!M4=0,"N/A",TEXT(Sheet2!M4,"#,##0.00")))</f>
        <v/>
      </c>
      <c r="D4" s="5" t="str">
        <f>IF(Sheet2!L4="","",TEXT(Sheet2!L4,"#,##0.00"))</f>
        <v/>
      </c>
    </row>
    <row r="5" spans="1:4" x14ac:dyDescent="0.75">
      <c r="A5" t="str">
        <f>IF(Sheet2!K5="","",Sheet2!K5&amp;" [SN:"&amp;Sheet2!P5&amp;"]")</f>
        <v/>
      </c>
      <c r="B5" t="str">
        <f>IF(Sheet2!N5="","",TEXT(Sheet2!N5,"#,##0.00")&amp;" "&amp;IF(Sheet2!O5="Monthly", "Month",IF(Sheet2!O5="Cycles","Flight Cycle",IF(Sheet2!O5="Hours","Flight Hour",Sheet2!O5))))</f>
        <v/>
      </c>
      <c r="C5" s="5" t="str">
        <f>IF(Sheet2!M5="","",IF(Sheet2!M5=0,"N/A",TEXT(Sheet2!M5,"#,##0.00")))</f>
        <v/>
      </c>
      <c r="D5" s="5" t="str">
        <f>IF(Sheet2!L5="","",TEXT(Sheet2!L5,"#,##0.00"))</f>
        <v/>
      </c>
    </row>
    <row r="6" spans="1:4" x14ac:dyDescent="0.75">
      <c r="A6" t="str">
        <f>IF(Sheet2!K6="","",Sheet2!K6&amp;" [SN:"&amp;Sheet2!P6&amp;"]")</f>
        <v/>
      </c>
      <c r="B6" t="str">
        <f>IF(Sheet2!N6="","",TEXT(Sheet2!N6,"#,##0.00")&amp;" "&amp;IF(Sheet2!O6="Monthly", "Month",IF(Sheet2!O6="Cycles","Flight Cycle",IF(Sheet2!O6="Hours","Flight Hour",Sheet2!O6))))</f>
        <v/>
      </c>
      <c r="C6" s="5" t="str">
        <f>IF(Sheet2!M6="","",IF(Sheet2!M6=0,"N/A",TEXT(Sheet2!M6,"#,##0.00")))</f>
        <v/>
      </c>
      <c r="D6" s="5" t="str">
        <f>IF(Sheet2!L6="","",TEXT(Sheet2!L6,"#,##0.00"))</f>
        <v/>
      </c>
    </row>
    <row r="7" spans="1:4" x14ac:dyDescent="0.75">
      <c r="A7" t="str">
        <f>IF(Sheet2!K7="","",Sheet2!K7&amp;" [SN:"&amp;Sheet2!P7&amp;"]")</f>
        <v/>
      </c>
      <c r="B7" t="str">
        <f>IF(Sheet2!N7="","",TEXT(Sheet2!N7,"#,##0.00")&amp;" "&amp;IF(Sheet2!O7="Monthly", "Month",IF(Sheet2!O7="Cycles","Flight Cycle",IF(Sheet2!O7="Hours","Flight Hour",Sheet2!O7))))</f>
        <v/>
      </c>
      <c r="C7" s="5" t="str">
        <f>IF(Sheet2!M7="","",IF(Sheet2!M7=0,"N/A",TEXT(Sheet2!M7,"#,##0.00")))</f>
        <v/>
      </c>
      <c r="D7" s="5" t="str">
        <f>IF(Sheet2!L7="","",TEXT(Sheet2!L7,"#,##0.00"))</f>
        <v/>
      </c>
    </row>
    <row r="8" spans="1:4" x14ac:dyDescent="0.75">
      <c r="A8" t="str">
        <f>IF(Sheet2!K8="","",Sheet2!K8&amp;" [SN:"&amp;Sheet2!P8&amp;"]")</f>
        <v/>
      </c>
      <c r="B8" t="str">
        <f>IF(Sheet2!N8="","",TEXT(Sheet2!N8,"#,##0.00")&amp;" "&amp;IF(Sheet2!O8="Monthly", "Month",IF(Sheet2!O8="Cycles","Flight Cycle",IF(Sheet2!O8="Hours","Flight Hour",Sheet2!O8))))</f>
        <v/>
      </c>
      <c r="C8" s="5" t="str">
        <f>IF(Sheet2!M8="","",IF(Sheet2!M8=0,"N/A",TEXT(Sheet2!M8,"#,##0.00")))</f>
        <v/>
      </c>
      <c r="D8" s="5" t="str">
        <f>IF(Sheet2!L8="","",TEXT(Sheet2!L8,"#,##0.00"))</f>
        <v/>
      </c>
    </row>
    <row r="9" spans="1:4" x14ac:dyDescent="0.75">
      <c r="A9" t="str">
        <f>IF(Sheet2!K9="","",Sheet2!K9&amp;" [SN:"&amp;Sheet2!P9&amp;"]")</f>
        <v/>
      </c>
      <c r="B9" t="str">
        <f>IF(Sheet2!N9="","",TEXT(Sheet2!N9,"#,##0.00")&amp;" "&amp;IF(Sheet2!O9="Monthly", "Month",IF(Sheet2!O9="Cycles","Flight Cycle",IF(Sheet2!O9="Hours","Flight Hour",Sheet2!O9))))</f>
        <v/>
      </c>
      <c r="C9" s="5" t="str">
        <f>IF(Sheet2!M9="","",IF(Sheet2!M9=0,"N/A",TEXT(Sheet2!M9,"#,##0.00")))</f>
        <v/>
      </c>
      <c r="D9" s="5" t="str">
        <f>IF(Sheet2!L9="","",TEXT(Sheet2!L9,"#,##0.00"))</f>
        <v/>
      </c>
    </row>
    <row r="10" spans="1:4" x14ac:dyDescent="0.75">
      <c r="A10" t="str">
        <f>IF(Sheet2!K10="","",Sheet2!K10&amp;" [SN:"&amp;Sheet2!P10&amp;"]")</f>
        <v/>
      </c>
      <c r="B10" t="str">
        <f>IF(Sheet2!N10="","",TEXT(Sheet2!N10,"#,##0.00")&amp;" "&amp;IF(Sheet2!O10="Monthly", "Month",IF(Sheet2!O10="Cycles","Flight Cycle",IF(Sheet2!O10="Hours","Flight Hour",Sheet2!O10))))</f>
        <v/>
      </c>
      <c r="C10" s="5" t="str">
        <f>IF(Sheet2!M10="","",IF(Sheet2!M10=0,"N/A",TEXT(Sheet2!M10,"#,##0.00")))</f>
        <v/>
      </c>
      <c r="D10" s="5" t="str">
        <f>IF(Sheet2!L10="","",TEXT(Sheet2!L10,"#,##0.00"))</f>
        <v/>
      </c>
    </row>
    <row r="11" spans="1:4" x14ac:dyDescent="0.75">
      <c r="A11" t="str">
        <f>IF(Sheet2!K11="","",Sheet2!K11&amp;" [SN:"&amp;Sheet2!P11&amp;"]")</f>
        <v/>
      </c>
      <c r="B11" t="str">
        <f>IF(Sheet2!N11="","",TEXT(Sheet2!N11,"#,##0.00")&amp;" "&amp;IF(Sheet2!O11="Monthly", "Month",IF(Sheet2!O11="Cycles","Flight Cycle",IF(Sheet2!O11="Hours","Flight Hour",Sheet2!O11))))</f>
        <v/>
      </c>
      <c r="C11" s="5" t="str">
        <f>IF(Sheet2!M11="","",IF(Sheet2!M11=0,"N/A",TEXT(Sheet2!M11,"#,##0.00")))</f>
        <v/>
      </c>
      <c r="D11" s="5" t="str">
        <f>IF(Sheet2!L11="","",TEXT(Sheet2!L11,"#,##0.00"))</f>
        <v/>
      </c>
    </row>
    <row r="12" spans="1:4" x14ac:dyDescent="0.75">
      <c r="A12" t="str">
        <f>IF(Sheet2!K12="","",Sheet2!K12&amp;" [SN:"&amp;Sheet2!P12&amp;"]")</f>
        <v/>
      </c>
      <c r="B12" t="str">
        <f>IF(Sheet2!N12="","",TEXT(Sheet2!N12,"#,##0.00")&amp;" "&amp;IF(Sheet2!O12="Monthly", "Month",IF(Sheet2!O12="Cycles","Flight Cycle",IF(Sheet2!O12="Hours","Flight Hour",Sheet2!O12))))</f>
        <v/>
      </c>
      <c r="C12" s="5" t="str">
        <f>IF(Sheet2!M12="","",IF(Sheet2!M12=0,"N/A",TEXT(Sheet2!M12,"#,##0.00")))</f>
        <v/>
      </c>
      <c r="D12" s="5" t="str">
        <f>IF(Sheet2!L12="","",TEXT(Sheet2!L12,"#,##0.00"))</f>
        <v/>
      </c>
    </row>
    <row r="13" spans="1:4" x14ac:dyDescent="0.75">
      <c r="A13" t="str">
        <f>IF(Sheet2!K13="","",Sheet2!K13&amp;" [SN:"&amp;Sheet2!P13&amp;"]")</f>
        <v/>
      </c>
      <c r="B13" t="str">
        <f>IF(Sheet2!N13="","",TEXT(Sheet2!N13,"#,##0.00")&amp;" "&amp;IF(Sheet2!O13="Monthly", "Month",IF(Sheet2!O13="Cycles","Flight Cycle",IF(Sheet2!O13="Hours","Flight Hour",Sheet2!O13))))</f>
        <v/>
      </c>
      <c r="C13" s="5" t="str">
        <f>IF(Sheet2!M13="","",IF(Sheet2!M13=0,"N/A",TEXT(Sheet2!M13,"#,##0.00")))</f>
        <v/>
      </c>
      <c r="D13" s="5" t="str">
        <f>IF(Sheet2!L13="","",TEXT(Sheet2!L13,"#,##0.00"))</f>
        <v/>
      </c>
    </row>
    <row r="14" spans="1:4" x14ac:dyDescent="0.75">
      <c r="A14" t="str">
        <f>IF(Sheet2!K14="","",Sheet2!K14&amp;" [SN:"&amp;Sheet2!P14&amp;"]")</f>
        <v/>
      </c>
      <c r="B14" t="str">
        <f>IF(Sheet2!N14="","",TEXT(Sheet2!N14,"#,##0.00")&amp;" "&amp;IF(Sheet2!O14="Monthly", "Month",IF(Sheet2!O14="Cycles","Flight Cycle",IF(Sheet2!O14="Hours","Flight Hour",Sheet2!O14))))</f>
        <v/>
      </c>
      <c r="C14" s="5" t="str">
        <f>IF(Sheet2!M14="","",IF(Sheet2!M14=0,"N/A",TEXT(Sheet2!M14,"#,##0.00")))</f>
        <v/>
      </c>
      <c r="D14" s="5" t="str">
        <f>IF(Sheet2!L14="","",TEXT(Sheet2!L14,"#,##0.00"))</f>
        <v/>
      </c>
    </row>
    <row r="15" spans="1:4" x14ac:dyDescent="0.75">
      <c r="A15" t="str">
        <f>IF(Sheet2!K15="","",Sheet2!K15&amp;" [SN:"&amp;Sheet2!P15&amp;"]")</f>
        <v/>
      </c>
      <c r="B15" t="str">
        <f>IF(Sheet2!N15="","",TEXT(Sheet2!N15,"#,##0.00")&amp;" "&amp;IF(Sheet2!O15="Monthly", "Month",IF(Sheet2!O15="Cycles","Flight Cycle",IF(Sheet2!O15="Hours","Flight Hour",Sheet2!O15))))</f>
        <v/>
      </c>
      <c r="C15" s="5" t="str">
        <f>IF(Sheet2!M15="","",IF(Sheet2!M15=0,"N/A",TEXT(Sheet2!M15,"#,##0.00")))</f>
        <v/>
      </c>
      <c r="D15" s="5" t="str">
        <f>IF(Sheet2!L15="","",TEXT(Sheet2!L15,"#,##0.00"))</f>
        <v/>
      </c>
    </row>
    <row r="16" spans="1:4" x14ac:dyDescent="0.75">
      <c r="A16" t="str">
        <f>IF(Sheet2!K16="","",Sheet2!K16&amp;" [SN:"&amp;Sheet2!P16&amp;"]")</f>
        <v/>
      </c>
      <c r="B16" t="str">
        <f>IF(Sheet2!N16="","",TEXT(Sheet2!N16,"#,##0.00")&amp;" "&amp;IF(Sheet2!O16="Monthly", "Month",IF(Sheet2!O16="Cycles","Flight Cycle",IF(Sheet2!O16="Hours","Flight Hour",Sheet2!O16))))</f>
        <v/>
      </c>
      <c r="C16" s="5" t="str">
        <f>IF(Sheet2!M16="","",IF(Sheet2!M16=0,"N/A",TEXT(Sheet2!M16,"#,##0.00")))</f>
        <v/>
      </c>
      <c r="D16" s="5" t="str">
        <f>IF(Sheet2!L16="","",TEXT(Sheet2!L16,"#,##0.00"))</f>
        <v/>
      </c>
    </row>
    <row r="17" spans="1:4" x14ac:dyDescent="0.75">
      <c r="A17" t="str">
        <f>IF(Sheet2!K17="","",Sheet2!K17&amp;" [SN:"&amp;Sheet2!P17&amp;"]")</f>
        <v/>
      </c>
      <c r="B17" t="str">
        <f>IF(Sheet2!N17="","",TEXT(Sheet2!N17,"#,##0.00")&amp;" "&amp;IF(Sheet2!O17="Monthly", "Month",IF(Sheet2!O17="Cycles","Flight Cycle",IF(Sheet2!O17="Hours","Flight Hour",Sheet2!O17))))</f>
        <v/>
      </c>
      <c r="C17" s="5" t="str">
        <f>IF(Sheet2!M17="","",IF(Sheet2!M17=0,"N/A",TEXT(Sheet2!M17,"#,##0.00")))</f>
        <v/>
      </c>
      <c r="D17" s="5" t="str">
        <f>IF(Sheet2!L17="","",TEXT(Sheet2!L17,"#,##0.00"))</f>
        <v/>
      </c>
    </row>
    <row r="18" spans="1:4" x14ac:dyDescent="0.75">
      <c r="A18" t="str">
        <f>IF(Sheet2!K18="","",Sheet2!K18&amp;" [SN:"&amp;Sheet2!P18&amp;"]")</f>
        <v/>
      </c>
      <c r="B18" t="str">
        <f>IF(Sheet2!N18="","",TEXT(Sheet2!N18,"#,##0.00")&amp;" "&amp;IF(Sheet2!O18="Monthly", "Month",IF(Sheet2!O18="Cycles","Flight Cycle",IF(Sheet2!O18="Hours","Flight Hour",Sheet2!O18))))</f>
        <v/>
      </c>
      <c r="C18" s="5" t="str">
        <f>IF(Sheet2!M18="","",IF(Sheet2!M18=0,"N/A",TEXT(Sheet2!M18,"#,##0.00")))</f>
        <v/>
      </c>
      <c r="D18" s="5" t="str">
        <f>IF(Sheet2!L18="","",TEXT(Sheet2!L18,"#,##0.00"))</f>
        <v/>
      </c>
    </row>
    <row r="19" spans="1:4" x14ac:dyDescent="0.75">
      <c r="A19" t="str">
        <f>IF(Sheet2!K19="","",Sheet2!K19&amp;" [SN:"&amp;Sheet2!P19&amp;"]")</f>
        <v/>
      </c>
      <c r="B19" t="str">
        <f>IF(Sheet2!N19="","",TEXT(Sheet2!N19,"#,##0.00")&amp;" "&amp;IF(Sheet2!O19="Monthly", "Month",IF(Sheet2!O19="Cycles","Flight Cycle",IF(Sheet2!O19="Hours","Flight Hour",Sheet2!O19))))</f>
        <v/>
      </c>
      <c r="C19" s="5" t="str">
        <f>IF(Sheet2!M19="","",IF(Sheet2!M19=0,"N/A",TEXT(Sheet2!M19,"#,##0.00")))</f>
        <v/>
      </c>
      <c r="D19" s="5" t="str">
        <f>IF(Sheet2!L19="","",TEXT(Sheet2!L19,"#,##0.00"))</f>
        <v/>
      </c>
    </row>
    <row r="20" spans="1:4" x14ac:dyDescent="0.75">
      <c r="A20" t="str">
        <f>IF(Sheet2!K20="","",Sheet2!K20&amp;" [SN:"&amp;Sheet2!P20&amp;"]")</f>
        <v/>
      </c>
      <c r="B20" t="str">
        <f>IF(Sheet2!N20="","",TEXT(Sheet2!N20,"#,##0.00")&amp;" "&amp;IF(Sheet2!O20="Monthly", "Month",IF(Sheet2!O20="Cycles","Flight Cycle",IF(Sheet2!O20="Hours","Flight Hour",Sheet2!O20))))</f>
        <v/>
      </c>
      <c r="C20" s="5" t="str">
        <f>IF(Sheet2!M20="","",IF(Sheet2!M20=0,"N/A",TEXT(Sheet2!M20,"#,##0.00")))</f>
        <v/>
      </c>
      <c r="D20" s="5" t="str">
        <f>IF(Sheet2!L20="","",TEXT(Sheet2!L20,"#,##0.00"))</f>
        <v/>
      </c>
    </row>
    <row r="21" spans="1:4" x14ac:dyDescent="0.75">
      <c r="A21" t="str">
        <f>IF(Sheet2!K21="","",Sheet2!K21&amp;" [SN:"&amp;Sheet2!P21&amp;"]")</f>
        <v/>
      </c>
      <c r="B21" t="str">
        <f>IF(Sheet2!N21="","",TEXT(Sheet2!N21,"#,##0.00")&amp;" "&amp;IF(Sheet2!O21="Monthly", "Month",IF(Sheet2!O21="Cycles","Flight Cycle",IF(Sheet2!O21="Hours","Flight Hour",Sheet2!O21))))</f>
        <v/>
      </c>
      <c r="C21" s="5" t="str">
        <f>IF(Sheet2!M21="","",IF(Sheet2!M21=0,"N/A",TEXT(Sheet2!M21,"#,##0.00")))</f>
        <v/>
      </c>
      <c r="D21" s="5" t="str">
        <f>IF(Sheet2!L21="","",TEXT(Sheet2!L21,"#,##0.00"))</f>
        <v/>
      </c>
    </row>
    <row r="22" spans="1:4" x14ac:dyDescent="0.75">
      <c r="A22" t="str">
        <f>IF(Sheet2!K22="","",Sheet2!K22&amp;" [SN:"&amp;Sheet2!P22&amp;"]")</f>
        <v/>
      </c>
      <c r="B22" t="str">
        <f>IF(Sheet2!N22="","",TEXT(Sheet2!N22,"#,##0.00")&amp;" "&amp;IF(Sheet2!O22="Monthly", "Month",IF(Sheet2!O22="Cycles","Flight Cycle",IF(Sheet2!O22="Hours","Flight Hour",Sheet2!O22))))</f>
        <v/>
      </c>
      <c r="C22" s="5" t="str">
        <f>IF(Sheet2!M22="","",IF(Sheet2!M22=0,"N/A",TEXT(Sheet2!M22,"#,##0.00")))</f>
        <v/>
      </c>
      <c r="D22" s="5" t="str">
        <f>IF(Sheet2!L22="","",TEXT(Sheet2!L22,"#,##0.00"))</f>
        <v/>
      </c>
    </row>
    <row r="23" spans="1:4" x14ac:dyDescent="0.75">
      <c r="A23" t="str">
        <f>IF(Sheet2!K23="","",Sheet2!K23&amp;" [SN:"&amp;Sheet2!P23&amp;"]")</f>
        <v/>
      </c>
      <c r="B23" t="str">
        <f>IF(Sheet2!N23="","",TEXT(Sheet2!N23,"#,##0.00")&amp;" "&amp;IF(Sheet2!O23="Monthly", "Month",IF(Sheet2!O23="Cycles","Flight Cycle",IF(Sheet2!O23="Hours","Flight Hour",Sheet2!O23))))</f>
        <v/>
      </c>
      <c r="C23" s="5" t="str">
        <f>IF(Sheet2!M23="","",IF(Sheet2!M23=0,"N/A",TEXT(Sheet2!M23,"#,##0.00")))</f>
        <v/>
      </c>
      <c r="D23" s="5" t="str">
        <f>IF(Sheet2!L23="","",TEXT(Sheet2!L23,"#,##0.00"))</f>
        <v/>
      </c>
    </row>
    <row r="24" spans="1:4" x14ac:dyDescent="0.75">
      <c r="A24" t="str">
        <f>IF(Sheet2!K24="","",Sheet2!K24&amp;" [SN:"&amp;Sheet2!P24&amp;"]")</f>
        <v/>
      </c>
      <c r="B24" t="str">
        <f>IF(Sheet2!N24="","",TEXT(Sheet2!N24,"#,##0.00")&amp;" "&amp;IF(Sheet2!O24="Monthly", "Month",IF(Sheet2!O24="Cycles","Flight Cycle",IF(Sheet2!O24="Hours","Flight Hour",Sheet2!O24))))</f>
        <v/>
      </c>
      <c r="C24" s="5" t="str">
        <f>IF(Sheet2!M24="","",IF(Sheet2!M24=0,"N/A",TEXT(Sheet2!M24,"#,##0.00")))</f>
        <v/>
      </c>
      <c r="D24" s="5" t="str">
        <f>IF(Sheet2!L24="","",TEXT(Sheet2!L24,"#,##0.00"))</f>
        <v/>
      </c>
    </row>
    <row r="25" spans="1:4" x14ac:dyDescent="0.75">
      <c r="A25" t="str">
        <f>IF(Sheet2!K25="","",Sheet2!K25&amp;" [SN:"&amp;Sheet2!P25&amp;"]")</f>
        <v/>
      </c>
      <c r="B25" t="str">
        <f>IF(Sheet2!N25="","",TEXT(Sheet2!N25,"#,##0.00")&amp;" "&amp;IF(Sheet2!O25="Monthly", "Month",IF(Sheet2!O25="Cycles","Flight Cycle",IF(Sheet2!O25="Hours","Flight Hour",Sheet2!O25))))</f>
        <v/>
      </c>
      <c r="C25" s="5" t="str">
        <f>IF(Sheet2!M25="","",IF(Sheet2!M25=0,"N/A",TEXT(Sheet2!M25,"#,##0.00")))</f>
        <v/>
      </c>
      <c r="D25" s="5" t="str">
        <f>IF(Sheet2!L25="","",TEXT(Sheet2!L25,"#,##0.00"))</f>
        <v/>
      </c>
    </row>
    <row r="26" spans="1:4" x14ac:dyDescent="0.75">
      <c r="A26" t="str">
        <f>IF(Sheet2!K26="","",Sheet2!K26&amp;" [SN:"&amp;Sheet2!P26&amp;"]")</f>
        <v/>
      </c>
      <c r="B26" t="str">
        <f>IF(Sheet2!N26="","",TEXT(Sheet2!N26,"#,##0.00")&amp;" "&amp;IF(Sheet2!O26="Monthly", "Month",IF(Sheet2!O26="Cycles","Flight Cycle",IF(Sheet2!O26="Hours","Flight Hour",Sheet2!O26))))</f>
        <v/>
      </c>
      <c r="C26" s="5" t="str">
        <f>IF(Sheet2!M26="","",IF(Sheet2!M26=0,"N/A",TEXT(Sheet2!M26,"#,##0.00")))</f>
        <v/>
      </c>
      <c r="D26" s="5" t="str">
        <f>IF(Sheet2!L26="","",TEXT(Sheet2!L26,"#,##0.00"))</f>
        <v/>
      </c>
    </row>
    <row r="27" spans="1:4" x14ac:dyDescent="0.75">
      <c r="A27" t="str">
        <f>IF(Sheet2!K27="","",Sheet2!K27&amp;" [SN:"&amp;Sheet2!P27&amp;"]")</f>
        <v/>
      </c>
      <c r="B27" t="str">
        <f>IF(Sheet2!N27="","",TEXT(Sheet2!N27,"#,##0.00")&amp;" "&amp;IF(Sheet2!O27="Monthly", "Month",IF(Sheet2!O27="Cycles","Flight Cycle",IF(Sheet2!O27="Hours","Flight Hour",Sheet2!O27))))</f>
        <v/>
      </c>
      <c r="C27" s="5" t="str">
        <f>IF(Sheet2!M27="","",IF(Sheet2!M27=0,"N/A",TEXT(Sheet2!M27,"#,##0.00")))</f>
        <v/>
      </c>
      <c r="D27" s="5" t="str">
        <f>IF(Sheet2!L27="","",TEXT(Sheet2!L27,"#,##0.00"))</f>
        <v/>
      </c>
    </row>
    <row r="28" spans="1:4" x14ac:dyDescent="0.75">
      <c r="A28" t="str">
        <f>IF(Sheet2!K28="","",Sheet2!K28&amp;" [SN:"&amp;Sheet2!P28&amp;"]")</f>
        <v/>
      </c>
      <c r="B28" t="str">
        <f>IF(Sheet2!N28="","",TEXT(Sheet2!N28,"#,##0.00")&amp;" "&amp;IF(Sheet2!O28="Monthly", "Month",IF(Sheet2!O28="Cycles","Flight Cycle",IF(Sheet2!O28="Hours","Flight Hour",Sheet2!O28))))</f>
        <v/>
      </c>
      <c r="C28" s="5" t="str">
        <f>IF(Sheet2!M28="","",IF(Sheet2!M28=0,"N/A",TEXT(Sheet2!M28,"#,##0.00")))</f>
        <v/>
      </c>
      <c r="D28" s="5" t="str">
        <f>IF(Sheet2!L28="","",TEXT(Sheet2!L28,"#,##0.00"))</f>
        <v/>
      </c>
    </row>
    <row r="29" spans="1:4" x14ac:dyDescent="0.75">
      <c r="A29" t="str">
        <f>IF(Sheet2!K29="","",Sheet2!K29&amp;" [SN:"&amp;Sheet2!P29&amp;"]")</f>
        <v/>
      </c>
      <c r="B29" t="str">
        <f>IF(Sheet2!N29="","",TEXT(Sheet2!N29,"#,##0.00")&amp;" "&amp;IF(Sheet2!O29="Monthly", "Month",IF(Sheet2!O29="Cycles","Flight Cycle",IF(Sheet2!O29="Hours","Flight Hour",Sheet2!O29))))</f>
        <v/>
      </c>
      <c r="C29" s="5" t="str">
        <f>IF(Sheet2!M29="","",IF(Sheet2!M29=0,"N/A",TEXT(Sheet2!M29,"#,##0.00")))</f>
        <v/>
      </c>
      <c r="D29" s="5" t="str">
        <f>IF(Sheet2!L29="","",TEXT(Sheet2!L29,"#,##0.00"))</f>
        <v/>
      </c>
    </row>
    <row r="30" spans="1:4" x14ac:dyDescent="0.75">
      <c r="A30" t="str">
        <f>IF(Sheet2!K30="","",Sheet2!K30&amp;" [SN:"&amp;Sheet2!P30&amp;"]")</f>
        <v/>
      </c>
      <c r="B30" t="str">
        <f>IF(Sheet2!N30="","",TEXT(Sheet2!N30,"#,##0.00")&amp;" "&amp;IF(Sheet2!O30="Monthly", "Month",IF(Sheet2!O30="Cycles","Flight Cycle",IF(Sheet2!O30="Hours","Flight Hour",Sheet2!O30))))</f>
        <v/>
      </c>
      <c r="C30" s="5" t="str">
        <f>IF(Sheet2!M30="","",IF(Sheet2!M30=0,"N/A",TEXT(Sheet2!M30,"#,##0.00")))</f>
        <v/>
      </c>
      <c r="D30" s="5" t="str">
        <f>IF(Sheet2!L30="","",TEXT(Sheet2!L30,"#,##0.00"))</f>
        <v/>
      </c>
    </row>
    <row r="31" spans="1:4" x14ac:dyDescent="0.75">
      <c r="A31" t="str">
        <f>IF(Sheet2!K31="","",Sheet2!K31&amp;" [SN:"&amp;Sheet2!P31&amp;"]")</f>
        <v/>
      </c>
      <c r="B31" t="str">
        <f>IF(Sheet2!N31="","",TEXT(Sheet2!N31,"#,##0.00")&amp;" "&amp;IF(Sheet2!O31="Monthly", "Month",IF(Sheet2!O31="Cycles","Flight Cycle",IF(Sheet2!O31="Hours","Flight Hour",Sheet2!O31))))</f>
        <v/>
      </c>
      <c r="C31" s="5" t="str">
        <f>IF(Sheet2!M31="","",IF(Sheet2!M31=0,"N/A",TEXT(Sheet2!M31,"#,##0.00")))</f>
        <v/>
      </c>
      <c r="D31" s="5" t="str">
        <f>IF(Sheet2!L31="","",TEXT(Sheet2!L31,"#,##0.00"))</f>
        <v/>
      </c>
    </row>
    <row r="32" spans="1:4" x14ac:dyDescent="0.75">
      <c r="A32" t="str">
        <f>IF(Sheet2!K32="","",Sheet2!K32&amp;" [SN:"&amp;Sheet2!P32&amp;"]")</f>
        <v/>
      </c>
      <c r="B32" t="str">
        <f>IF(Sheet2!N32="","",TEXT(Sheet2!N32,"#,##0.00")&amp;" "&amp;IF(Sheet2!O32="Monthly", "Month",IF(Sheet2!O32="Cycles","Flight Cycle",IF(Sheet2!O32="Hours","Flight Hour",Sheet2!O32))))</f>
        <v/>
      </c>
      <c r="C32" s="5" t="str">
        <f>IF(Sheet2!M32="","",IF(Sheet2!M32=0,"N/A",TEXT(Sheet2!M32,"#,##0.00")))</f>
        <v/>
      </c>
      <c r="D32" s="5" t="str">
        <f>IF(Sheet2!L32="","",TEXT(Sheet2!L32,"#,##0.00"))</f>
        <v/>
      </c>
    </row>
    <row r="33" spans="1:4" x14ac:dyDescent="0.75">
      <c r="A33" t="str">
        <f>IF(Sheet2!K33="","",Sheet2!K33&amp;" [SN:"&amp;Sheet2!P33&amp;"]")</f>
        <v/>
      </c>
      <c r="B33" t="str">
        <f>IF(Sheet2!N33="","",TEXT(Sheet2!N33,"#,##0.00")&amp;" "&amp;IF(Sheet2!O33="Monthly", "Month",IF(Sheet2!O33="Cycles","Flight Cycle",IF(Sheet2!O33="Hours","Flight Hour",Sheet2!O33))))</f>
        <v/>
      </c>
      <c r="C33" s="5" t="str">
        <f>IF(Sheet2!M33="","",IF(Sheet2!M33=0,"N/A",TEXT(Sheet2!M33,"#,##0.00")))</f>
        <v/>
      </c>
      <c r="D33" s="5" t="str">
        <f>IF(Sheet2!L33="","",TEXT(Sheet2!L33,"#,##0.00"))</f>
        <v/>
      </c>
    </row>
    <row r="34" spans="1:4" x14ac:dyDescent="0.75">
      <c r="A34" t="str">
        <f>IF(Sheet2!K34="","",Sheet2!K34&amp;" [SN:"&amp;Sheet2!P34&amp;"]")</f>
        <v/>
      </c>
      <c r="B34" t="str">
        <f>IF(Sheet2!N34="","",TEXT(Sheet2!N34,"#,##0.00")&amp;" "&amp;IF(Sheet2!O34="Monthly", "Month",IF(Sheet2!O34="Cycles","Flight Cycle",IF(Sheet2!O34="Hours","Flight Hour",Sheet2!O34))))</f>
        <v/>
      </c>
      <c r="C34" s="5" t="str">
        <f>IF(Sheet2!M34="","",IF(Sheet2!M34=0,"N/A",TEXT(Sheet2!M34,"#,##0.00")))</f>
        <v/>
      </c>
      <c r="D34" s="5" t="str">
        <f>IF(Sheet2!L34="","",TEXT(Sheet2!L34,"#,##0.00"))</f>
        <v/>
      </c>
    </row>
    <row r="35" spans="1:4" x14ac:dyDescent="0.75">
      <c r="A35" t="str">
        <f>IF(Sheet2!K35="","",Sheet2!K35&amp;" [SN:"&amp;Sheet2!P35&amp;"]")</f>
        <v/>
      </c>
      <c r="B35" t="str">
        <f>IF(Sheet2!N35="","",TEXT(Sheet2!N35,"#,##0.00")&amp;" "&amp;IF(Sheet2!O35="Monthly", "Month",IF(Sheet2!O35="Cycles","Flight Cycle",IF(Sheet2!O35="Hours","Flight Hour",Sheet2!O35))))</f>
        <v/>
      </c>
      <c r="C35" s="5" t="str">
        <f>IF(Sheet2!M35="","",IF(Sheet2!M35=0,"N/A",TEXT(Sheet2!M35,"#,##0.00")))</f>
        <v/>
      </c>
      <c r="D35" s="5" t="str">
        <f>IF(Sheet2!L35="","",TEXT(Sheet2!L35,"#,##0.00"))</f>
        <v/>
      </c>
    </row>
    <row r="36" spans="1:4" x14ac:dyDescent="0.75">
      <c r="A36" t="str">
        <f>IF(Sheet2!K36="","",Sheet2!K36&amp;" [SN:"&amp;Sheet2!P36&amp;"]")</f>
        <v/>
      </c>
      <c r="B36" t="str">
        <f>IF(Sheet2!N36="","",TEXT(Sheet2!N36,"#,##0.00")&amp;" "&amp;IF(Sheet2!O36="Monthly", "Month",IF(Sheet2!O36="Cycles","Flight Cycle",IF(Sheet2!O36="Hours","Flight Hour",Sheet2!O36))))</f>
        <v/>
      </c>
      <c r="C36" s="5" t="str">
        <f>IF(Sheet2!M36="","",IF(Sheet2!M36=0,"N/A",TEXT(Sheet2!M36,"#,##0.00")))</f>
        <v/>
      </c>
      <c r="D36" s="5" t="str">
        <f>IF(Sheet2!L36="","",TEXT(Sheet2!L36,"#,##0.00"))</f>
        <v/>
      </c>
    </row>
    <row r="37" spans="1:4" x14ac:dyDescent="0.75">
      <c r="A37" t="str">
        <f>IF(Sheet2!K37="","",Sheet2!K37&amp;" [SN:"&amp;Sheet2!P37&amp;"]")</f>
        <v/>
      </c>
      <c r="B37" t="str">
        <f>IF(Sheet2!N37="","",TEXT(Sheet2!N37,"#,##0.00")&amp;" "&amp;IF(Sheet2!O37="Monthly", "Month",IF(Sheet2!O37="Cycles","Flight Cycle",IF(Sheet2!O37="Hours","Flight Hour",Sheet2!O37))))</f>
        <v/>
      </c>
      <c r="C37" s="5" t="str">
        <f>IF(Sheet2!M37="","",IF(Sheet2!M37=0,"N/A",TEXT(Sheet2!M37,"#,##0.00")))</f>
        <v/>
      </c>
      <c r="D37" s="5" t="str">
        <f>IF(Sheet2!L37="","",TEXT(Sheet2!L37,"#,##0.00"))</f>
        <v/>
      </c>
    </row>
    <row r="38" spans="1:4" x14ac:dyDescent="0.75">
      <c r="A38" t="str">
        <f>IF(Sheet2!K38="","",Sheet2!K38&amp;" [SN:"&amp;Sheet2!P38&amp;"]")</f>
        <v/>
      </c>
      <c r="B38" t="str">
        <f>IF(Sheet2!N38="","",TEXT(Sheet2!N38,"#,##0.00")&amp;" "&amp;IF(Sheet2!O38="Monthly", "Month",IF(Sheet2!O38="Cycles","Flight Cycle",IF(Sheet2!O38="Hours","Flight Hour",Sheet2!O38))))</f>
        <v/>
      </c>
      <c r="C38" s="5" t="str">
        <f>IF(Sheet2!M38="","",IF(Sheet2!M38=0,"N/A",TEXT(Sheet2!M38,"#,##0.00")))</f>
        <v/>
      </c>
      <c r="D38" s="5" t="str">
        <f>IF(Sheet2!L38="","",TEXT(Sheet2!L38,"#,##0.00"))</f>
        <v/>
      </c>
    </row>
    <row r="39" spans="1:4" x14ac:dyDescent="0.75">
      <c r="A39" t="str">
        <f>IF(Sheet2!K39="","",Sheet2!K39&amp;" [SN:"&amp;Sheet2!P39&amp;"]")</f>
        <v/>
      </c>
      <c r="B39" t="str">
        <f>IF(Sheet2!N39="","",TEXT(Sheet2!N39,"#,##0.00")&amp;" "&amp;IF(Sheet2!O39="Monthly", "Month",IF(Sheet2!O39="Cycles","Flight Cycle",IF(Sheet2!O39="Hours","Flight Hour",Sheet2!O39))))</f>
        <v/>
      </c>
      <c r="C39" s="5" t="str">
        <f>IF(Sheet2!M39="","",IF(Sheet2!M39=0,"N/A",TEXT(Sheet2!M39,"#,##0.00")))</f>
        <v/>
      </c>
      <c r="D39" s="5" t="str">
        <f>IF(Sheet2!L39="","",TEXT(Sheet2!L39,"#,##0.00"))</f>
        <v/>
      </c>
    </row>
    <row r="40" spans="1:4" x14ac:dyDescent="0.75">
      <c r="A40" t="str">
        <f>IF(Sheet2!K40="","",Sheet2!K40&amp;" [SN:"&amp;Sheet2!P40&amp;"]")</f>
        <v/>
      </c>
      <c r="B40" t="str">
        <f>IF(Sheet2!N40="","",TEXT(Sheet2!N40,"#,##0.00")&amp;" "&amp;IF(Sheet2!O40="Monthly", "Month",IF(Sheet2!O40="Cycles","Flight Cycle",IF(Sheet2!O40="Hours","Flight Hour",Sheet2!O40))))</f>
        <v/>
      </c>
      <c r="C40" s="5" t="str">
        <f>IF(Sheet2!M40="","",IF(Sheet2!M40=0,"N/A",TEXT(Sheet2!M40,"#,##0.00")))</f>
        <v/>
      </c>
      <c r="D40" s="5" t="str">
        <f>IF(Sheet2!L40="","",TEXT(Sheet2!L40,"#,##0.00"))</f>
        <v/>
      </c>
    </row>
    <row r="41" spans="1:4" x14ac:dyDescent="0.75">
      <c r="A41" t="str">
        <f>IF(Sheet2!K41="","",Sheet2!K41&amp;" [SN:"&amp;Sheet2!P41&amp;"]")</f>
        <v/>
      </c>
      <c r="B41" t="str">
        <f>IF(Sheet2!N41="","",TEXT(Sheet2!N41,"#,##0.00")&amp;" "&amp;IF(Sheet2!O41="Monthly", "Month",IF(Sheet2!O41="Cycles","Flight Cycle",IF(Sheet2!O41="Hours","Flight Hour",Sheet2!O41))))</f>
        <v/>
      </c>
      <c r="C41" s="5" t="str">
        <f>IF(Sheet2!M41="","",IF(Sheet2!M41=0,"N/A",TEXT(Sheet2!M41,"#,##0.00")))</f>
        <v/>
      </c>
      <c r="D41" s="5" t="str">
        <f>IF(Sheet2!L41="","",TEXT(Sheet2!L41,"#,##0.00"))</f>
        <v/>
      </c>
    </row>
    <row r="42" spans="1:4" x14ac:dyDescent="0.75">
      <c r="A42" t="str">
        <f>IF(Sheet2!K42="","",Sheet2!K42&amp;" [SN:"&amp;Sheet2!P42&amp;"]")</f>
        <v/>
      </c>
      <c r="B42" t="str">
        <f>IF(Sheet2!N42="","",TEXT(Sheet2!N42,"#,##0.00")&amp;" "&amp;IF(Sheet2!O42="Monthly", "Month",IF(Sheet2!O42="Cycles","Flight Cycle",IF(Sheet2!O42="Hours","Flight Hour",Sheet2!O42))))</f>
        <v/>
      </c>
      <c r="C42" s="5" t="str">
        <f>IF(Sheet2!M42="","",IF(Sheet2!M42=0,"N/A",TEXT(Sheet2!M42,"#,##0.00")))</f>
        <v/>
      </c>
      <c r="D42" s="5" t="str">
        <f>IF(Sheet2!L42="","",TEXT(Sheet2!L42,"#,##0.00"))</f>
        <v/>
      </c>
    </row>
    <row r="43" spans="1:4" x14ac:dyDescent="0.75">
      <c r="A43" t="str">
        <f>IF(Sheet2!K43="","",Sheet2!K43&amp;" [SN:"&amp;Sheet2!P43&amp;"]")</f>
        <v/>
      </c>
      <c r="B43" t="str">
        <f>IF(Sheet2!N43="","",TEXT(Sheet2!N43,"#,##0.00")&amp;" "&amp;IF(Sheet2!O43="Monthly", "Month",IF(Sheet2!O43="Cycles","Flight Cycle",IF(Sheet2!O43="Hours","Flight Hour",Sheet2!O43))))</f>
        <v/>
      </c>
      <c r="C43" s="5" t="str">
        <f>IF(Sheet2!M43="","",IF(Sheet2!M43=0,"N/A",TEXT(Sheet2!M43,"#,##0.00")))</f>
        <v/>
      </c>
      <c r="D43" s="5" t="str">
        <f>IF(Sheet2!L43="","",TEXT(Sheet2!L43,"#,##0.00"))</f>
        <v/>
      </c>
    </row>
    <row r="44" spans="1:4" x14ac:dyDescent="0.75">
      <c r="A44" t="str">
        <f>IF(Sheet2!K44="","",Sheet2!K44&amp;" [SN:"&amp;Sheet2!P44&amp;"]")</f>
        <v/>
      </c>
      <c r="B44" t="str">
        <f>IF(Sheet2!N44="","",TEXT(Sheet2!N44,"#,##0.00")&amp;" "&amp;IF(Sheet2!O44="Monthly", "Month",IF(Sheet2!O44="Cycles","Flight Cycle",IF(Sheet2!O44="Hours","Flight Hour",Sheet2!O44))))</f>
        <v/>
      </c>
      <c r="C44" s="5" t="str">
        <f>IF(Sheet2!M44="","",IF(Sheet2!M44=0,"N/A",TEXT(Sheet2!M44,"#,##0.00")))</f>
        <v/>
      </c>
      <c r="D44" s="5" t="str">
        <f>IF(Sheet2!L44="","",TEXT(Sheet2!L44,"#,##0.00"))</f>
        <v/>
      </c>
    </row>
    <row r="45" spans="1:4" x14ac:dyDescent="0.75">
      <c r="A45" t="str">
        <f>IF(Sheet2!K45="","",Sheet2!K45&amp;" [SN:"&amp;Sheet2!P45&amp;"]")</f>
        <v/>
      </c>
      <c r="B45" t="str">
        <f>IF(Sheet2!N45="","",TEXT(Sheet2!N45,"#,##0.00")&amp;" "&amp;IF(Sheet2!O45="Monthly", "Month",IF(Sheet2!O45="Cycles","Flight Cycle",IF(Sheet2!O45="Hours","Flight Hour",Sheet2!O45))))</f>
        <v/>
      </c>
      <c r="C45" s="5" t="str">
        <f>IF(Sheet2!M45="","",IF(Sheet2!M45=0,"N/A",TEXT(Sheet2!M45,"#,##0.00")))</f>
        <v/>
      </c>
      <c r="D45" s="5" t="str">
        <f>IF(Sheet2!L45="","",TEXT(Sheet2!L45,"#,##0.00"))</f>
        <v/>
      </c>
    </row>
    <row r="46" spans="1:4" x14ac:dyDescent="0.75">
      <c r="A46" t="str">
        <f>IF(Sheet2!K46="","",Sheet2!K46&amp;" [SN:"&amp;Sheet2!P46&amp;"]")</f>
        <v/>
      </c>
      <c r="B46" t="str">
        <f>IF(Sheet2!N46="","",TEXT(Sheet2!N46,"#,##0.00")&amp;" "&amp;IF(Sheet2!O46="Monthly", "Month",IF(Sheet2!O46="Cycles","Flight Cycle",IF(Sheet2!O46="Hours","Flight Hour",Sheet2!O46))))</f>
        <v/>
      </c>
      <c r="C46" s="5" t="str">
        <f>IF(Sheet2!M46="","",IF(Sheet2!M46=0,"N/A",TEXT(Sheet2!M46,"#,##0.00")))</f>
        <v/>
      </c>
      <c r="D46" s="5" t="str">
        <f>IF(Sheet2!L46="","",TEXT(Sheet2!L46,"#,##0.00"))</f>
        <v/>
      </c>
    </row>
    <row r="47" spans="1:4" x14ac:dyDescent="0.75">
      <c r="A47" t="str">
        <f>IF(Sheet2!K47="","",Sheet2!K47&amp;" [SN:"&amp;Sheet2!P47&amp;"]")</f>
        <v/>
      </c>
      <c r="B47" t="str">
        <f>IF(Sheet2!N47="","",TEXT(Sheet2!N47,"#,##0.00")&amp;" "&amp;IF(Sheet2!O47="Monthly", "Month",IF(Sheet2!O47="Cycles","Flight Cycle",IF(Sheet2!O47="Hours","Flight Hour",Sheet2!O47))))</f>
        <v/>
      </c>
      <c r="C47" s="5" t="str">
        <f>IF(Sheet2!M47="","",IF(Sheet2!M47=0,"N/A",TEXT(Sheet2!M47,"#,##0.00")))</f>
        <v/>
      </c>
      <c r="D47" s="5" t="str">
        <f>IF(Sheet2!L47="","",TEXT(Sheet2!L47,"#,##0.00"))</f>
        <v/>
      </c>
    </row>
    <row r="48" spans="1:4" x14ac:dyDescent="0.75">
      <c r="A48" t="str">
        <f>IF(Sheet2!K48="","",Sheet2!K48&amp;" [SN:"&amp;Sheet2!P48&amp;"]")</f>
        <v/>
      </c>
      <c r="B48" t="str">
        <f>IF(Sheet2!N48="","",TEXT(Sheet2!N48,"#,##0.00")&amp;" "&amp;IF(Sheet2!O48="Monthly", "Month",IF(Sheet2!O48="Cycles","Flight Cycle",IF(Sheet2!O48="Hours","Flight Hour",Sheet2!O48))))</f>
        <v/>
      </c>
      <c r="C48" s="5" t="str">
        <f>IF(Sheet2!M48="","",IF(Sheet2!M48=0,"N/A",TEXT(Sheet2!M48,"#,##0.00")))</f>
        <v/>
      </c>
      <c r="D48" s="5" t="str">
        <f>IF(Sheet2!L48="","",TEXT(Sheet2!L48,"#,##0.00"))</f>
        <v/>
      </c>
    </row>
    <row r="49" spans="1:4" x14ac:dyDescent="0.75">
      <c r="A49" t="str">
        <f>IF(Sheet2!K49="","",Sheet2!K49&amp;" [SN:"&amp;Sheet2!P49&amp;"]")</f>
        <v/>
      </c>
      <c r="B49" t="str">
        <f>IF(Sheet2!N49="","",TEXT(Sheet2!N49,"#,##0.00")&amp;" "&amp;IF(Sheet2!O49="Monthly", "Month",IF(Sheet2!O49="Cycles","Flight Cycle",IF(Sheet2!O49="Hours","Flight Hour",Sheet2!O49))))</f>
        <v/>
      </c>
      <c r="C49" s="5" t="str">
        <f>IF(Sheet2!M49="","",IF(Sheet2!M49=0,"N/A",TEXT(Sheet2!M49,"#,##0.00")))</f>
        <v/>
      </c>
      <c r="D49" s="5" t="str">
        <f>IF(Sheet2!L49="","",TEXT(Sheet2!L49,"#,##0.00"))</f>
        <v/>
      </c>
    </row>
    <row r="50" spans="1:4" x14ac:dyDescent="0.75">
      <c r="A50" t="str">
        <f>IF(Sheet2!K50="","",Sheet2!K50&amp;" [SN:"&amp;Sheet2!P50&amp;"]")</f>
        <v/>
      </c>
      <c r="B50" t="str">
        <f>IF(Sheet2!N50="","",TEXT(Sheet2!N50,"#,##0.00")&amp;" "&amp;IF(Sheet2!O50="Monthly", "Month",IF(Sheet2!O50="Cycles","Flight Cycle",IF(Sheet2!O50="Hours","Flight Hour",Sheet2!O50))))</f>
        <v/>
      </c>
      <c r="C50" s="5" t="str">
        <f>IF(Sheet2!M50="","",IF(Sheet2!M50=0,"N/A",TEXT(Sheet2!M50,"#,##0.00")))</f>
        <v/>
      </c>
      <c r="D50" s="5" t="str">
        <f>IF(Sheet2!L50="","",TEXT(Sheet2!L50,"#,##0.00"))</f>
        <v/>
      </c>
    </row>
    <row r="51" spans="1:4" x14ac:dyDescent="0.75">
      <c r="A51" t="str">
        <f>IF(Sheet2!K51="","",Sheet2!K51&amp;" [SN:"&amp;Sheet2!P51&amp;"]")</f>
        <v/>
      </c>
      <c r="B51" t="str">
        <f>IF(Sheet2!N51="","",TEXT(Sheet2!N51,"#,##0.00")&amp;" "&amp;IF(Sheet2!O51="Monthly", "Month",IF(Sheet2!O51="Cycles","Flight Cycle",IF(Sheet2!O51="Hours","Flight Hour",Sheet2!O51))))</f>
        <v/>
      </c>
      <c r="C51" s="5" t="str">
        <f>IF(Sheet2!M51="","",IF(Sheet2!M51=0,"N/A",TEXT(Sheet2!M51,"#,##0.00")))</f>
        <v/>
      </c>
      <c r="D51" s="5" t="str">
        <f>IF(Sheet2!L51="","",TEXT(Sheet2!L51,"#,##0.00"))</f>
        <v/>
      </c>
    </row>
    <row r="52" spans="1:4" x14ac:dyDescent="0.75">
      <c r="A52" t="str">
        <f>IF(Sheet2!K52="","",Sheet2!K52&amp;" [SN:"&amp;Sheet2!P52&amp;"]")</f>
        <v/>
      </c>
      <c r="B52" t="str">
        <f>IF(Sheet2!N52="","",TEXT(Sheet2!N52,"#,##0.00")&amp;" "&amp;IF(Sheet2!O52="Monthly", "Month",IF(Sheet2!O52="Cycles","Flight Cycle",IF(Sheet2!O52="Hours","Flight Hour",Sheet2!O52))))</f>
        <v/>
      </c>
      <c r="C52" s="5" t="str">
        <f>IF(Sheet2!M52="","",IF(Sheet2!M52=0,"N/A",TEXT(Sheet2!M52,"#,##0.00")))</f>
        <v/>
      </c>
      <c r="D52" s="5" t="str">
        <f>IF(Sheet2!L52="","",TEXT(Sheet2!L52,"#,##0.00"))</f>
        <v/>
      </c>
    </row>
    <row r="53" spans="1:4" x14ac:dyDescent="0.75">
      <c r="A53" t="str">
        <f>IF(Sheet2!K53="","",Sheet2!K53&amp;" [SN:"&amp;Sheet2!P53&amp;"]")</f>
        <v/>
      </c>
      <c r="B53" t="str">
        <f>IF(Sheet2!N53="","",TEXT(Sheet2!N53,"#,##0.00")&amp;" "&amp;IF(Sheet2!O53="Monthly", "Month",IF(Sheet2!O53="Cycles","Flight Cycle",IF(Sheet2!O53="Hours","Flight Hour",Sheet2!O53))))</f>
        <v/>
      </c>
      <c r="C53" s="5" t="str">
        <f>IF(Sheet2!M53="","",IF(Sheet2!M53=0,"N/A",TEXT(Sheet2!M53,"#,##0.00")))</f>
        <v/>
      </c>
      <c r="D53" s="5" t="str">
        <f>IF(Sheet2!L53="","",TEXT(Sheet2!L53,"#,##0.00"))</f>
        <v/>
      </c>
    </row>
    <row r="54" spans="1:4" x14ac:dyDescent="0.75">
      <c r="A54" t="str">
        <f>IF(Sheet2!K54="","",Sheet2!K54&amp;" [SN:"&amp;Sheet2!P54&amp;"]")</f>
        <v/>
      </c>
      <c r="B54" t="str">
        <f>IF(Sheet2!N54="","",TEXT(Sheet2!N54,"#,##0.00")&amp;" "&amp;IF(Sheet2!O54="Monthly", "Month",IF(Sheet2!O54="Cycles","Flight Cycle",IF(Sheet2!O54="Hours","Flight Hour",Sheet2!O54))))</f>
        <v/>
      </c>
      <c r="C54" s="5" t="str">
        <f>IF(Sheet2!M54="","",IF(Sheet2!M54=0,"N/A",TEXT(Sheet2!M54,"#,##0.00")))</f>
        <v/>
      </c>
      <c r="D54" s="5" t="str">
        <f>IF(Sheet2!L54="","",TEXT(Sheet2!L54,"#,##0.00"))</f>
        <v/>
      </c>
    </row>
    <row r="55" spans="1:4" x14ac:dyDescent="0.75">
      <c r="A55" t="str">
        <f>IF(Sheet2!K55="","",Sheet2!K55&amp;" [SN:"&amp;Sheet2!P55&amp;"]")</f>
        <v/>
      </c>
      <c r="B55" t="str">
        <f>IF(Sheet2!N55="","",TEXT(Sheet2!N55,"#,##0.00")&amp;" "&amp;IF(Sheet2!O55="Monthly", "Month",IF(Sheet2!O55="Cycles","Flight Cycle",IF(Sheet2!O55="Hours","Flight Hour",Sheet2!O55))))</f>
        <v/>
      </c>
      <c r="C55" s="5" t="str">
        <f>IF(Sheet2!M55="","",IF(Sheet2!M55=0,"N/A",TEXT(Sheet2!M55,"#,##0.00")))</f>
        <v/>
      </c>
      <c r="D55" s="5" t="str">
        <f>IF(Sheet2!L55="","",TEXT(Sheet2!L55,"#,##0.00"))</f>
        <v/>
      </c>
    </row>
    <row r="56" spans="1:4" x14ac:dyDescent="0.75">
      <c r="A56" t="str">
        <f>IF(Sheet2!K56="","",Sheet2!K56&amp;" [SN:"&amp;Sheet2!P56&amp;"]")</f>
        <v/>
      </c>
      <c r="B56" t="str">
        <f>IF(Sheet2!N56="","",TEXT(Sheet2!N56,"#,##0.00")&amp;" "&amp;IF(Sheet2!O56="Monthly", "Month",IF(Sheet2!O56="Cycles","Flight Cycle",IF(Sheet2!O56="Hours","Flight Hour",Sheet2!O56))))</f>
        <v/>
      </c>
      <c r="C56" s="5" t="str">
        <f>IF(Sheet2!M56="","",IF(Sheet2!M56=0,"N/A",TEXT(Sheet2!M56,"#,##0.00")))</f>
        <v/>
      </c>
      <c r="D56" s="5" t="str">
        <f>IF(Sheet2!L56="","",TEXT(Sheet2!L56,"#,##0.00"))</f>
        <v/>
      </c>
    </row>
    <row r="57" spans="1:4" x14ac:dyDescent="0.75">
      <c r="A57" t="str">
        <f>IF(Sheet2!K57="","",Sheet2!K57&amp;" [SN:"&amp;Sheet2!P57&amp;"]")</f>
        <v/>
      </c>
      <c r="B57" t="str">
        <f>IF(Sheet2!N57="","",TEXT(Sheet2!N57,"#,##0.00")&amp;" "&amp;IF(Sheet2!O57="Monthly", "Month",IF(Sheet2!O57="Cycles","Flight Cycle",IF(Sheet2!O57="Hours","Flight Hour",Sheet2!O57))))</f>
        <v/>
      </c>
      <c r="C57" s="5" t="str">
        <f>IF(Sheet2!M57="","",IF(Sheet2!M57=0,"N/A",TEXT(Sheet2!M57,"#,##0.00")))</f>
        <v/>
      </c>
      <c r="D57" s="5" t="str">
        <f>IF(Sheet2!L57="","",TEXT(Sheet2!L57,"#,##0.00"))</f>
        <v/>
      </c>
    </row>
    <row r="58" spans="1:4" x14ac:dyDescent="0.75">
      <c r="A58" t="str">
        <f>IF(Sheet2!K58="","",Sheet2!K58&amp;" [SN:"&amp;Sheet2!P58&amp;"]")</f>
        <v/>
      </c>
      <c r="B58" t="str">
        <f>IF(Sheet2!N58="","",TEXT(Sheet2!N58,"#,##0.00")&amp;" "&amp;IF(Sheet2!O58="Monthly", "Month",IF(Sheet2!O58="Cycles","Flight Cycle",IF(Sheet2!O58="Hours","Flight Hour",Sheet2!O58))))</f>
        <v/>
      </c>
      <c r="C58" s="5" t="str">
        <f>IF(Sheet2!M58="","",IF(Sheet2!M58=0,"N/A",TEXT(Sheet2!M58,"#,##0.00")))</f>
        <v/>
      </c>
      <c r="D58" s="5" t="str">
        <f>IF(Sheet2!L58="","",TEXT(Sheet2!L58,"#,##0.00"))</f>
        <v/>
      </c>
    </row>
    <row r="59" spans="1:4" x14ac:dyDescent="0.75">
      <c r="A59" t="str">
        <f>IF(Sheet2!K59="","",Sheet2!K59&amp;" [SN:"&amp;Sheet2!P59&amp;"]")</f>
        <v/>
      </c>
      <c r="B59" t="str">
        <f>IF(Sheet2!N59="","",TEXT(Sheet2!N59,"#,##0.00")&amp;" "&amp;IF(Sheet2!O59="Monthly", "Month",IF(Sheet2!O59="Cycles","Flight Cycle",IF(Sheet2!O59="Hours","Flight Hour",Sheet2!O59))))</f>
        <v/>
      </c>
      <c r="C59" s="5" t="str">
        <f>IF(Sheet2!M59="","",IF(Sheet2!M59=0,"N/A",TEXT(Sheet2!M59,"#,##0.00")))</f>
        <v/>
      </c>
      <c r="D59" s="5" t="str">
        <f>IF(Sheet2!L59="","",TEXT(Sheet2!L59,"#,##0.00"))</f>
        <v/>
      </c>
    </row>
    <row r="60" spans="1:4" x14ac:dyDescent="0.75">
      <c r="A60" t="str">
        <f>IF(Sheet2!K60="","",Sheet2!K60&amp;" [SN:"&amp;Sheet2!P60&amp;"]")</f>
        <v/>
      </c>
      <c r="B60" t="str">
        <f>IF(Sheet2!N60="","",TEXT(Sheet2!N60,"#,##0.00")&amp;" "&amp;IF(Sheet2!O60="Monthly", "Month",IF(Sheet2!O60="Cycles","Flight Cycle",IF(Sheet2!O60="Hours","Flight Hour",Sheet2!O60))))</f>
        <v/>
      </c>
      <c r="C60" s="5" t="str">
        <f>IF(Sheet2!M60="","",IF(Sheet2!M60=0,"N/A",TEXT(Sheet2!M60,"#,##0.00")))</f>
        <v/>
      </c>
      <c r="D60" s="5" t="str">
        <f>IF(Sheet2!L60="","",TEXT(Sheet2!L60,"#,##0.00"))</f>
        <v/>
      </c>
    </row>
    <row r="61" spans="1:4" x14ac:dyDescent="0.75">
      <c r="A61" t="str">
        <f>IF(Sheet2!K61="","",Sheet2!K61&amp;" [SN:"&amp;Sheet2!P61&amp;"]")</f>
        <v/>
      </c>
      <c r="B61" t="str">
        <f>IF(Sheet2!N61="","",TEXT(Sheet2!N61,"#,##0.00")&amp;" "&amp;IF(Sheet2!O61="Monthly", "Month",IF(Sheet2!O61="Cycles","Flight Cycle",IF(Sheet2!O61="Hours","Flight Hour",Sheet2!O61))))</f>
        <v/>
      </c>
      <c r="C61" s="5" t="str">
        <f>IF(Sheet2!M61="","",IF(Sheet2!M61=0,"N/A",TEXT(Sheet2!M61,"#,##0.00")))</f>
        <v/>
      </c>
      <c r="D61" s="5" t="str">
        <f>IF(Sheet2!L61="","",TEXT(Sheet2!L61,"#,##0.00"))</f>
        <v/>
      </c>
    </row>
    <row r="62" spans="1:4" x14ac:dyDescent="0.75">
      <c r="A62" t="str">
        <f>IF(Sheet2!K62="","",Sheet2!K62&amp;" [SN:"&amp;Sheet2!P62&amp;"]")</f>
        <v/>
      </c>
      <c r="B62" t="str">
        <f>IF(Sheet2!N62="","",TEXT(Sheet2!N62,"#,##0.00")&amp;" "&amp;IF(Sheet2!O62="Monthly", "Month",IF(Sheet2!O62="Cycles","Flight Cycle",IF(Sheet2!O62="Hours","Flight Hour",Sheet2!O62))))</f>
        <v/>
      </c>
      <c r="C62" s="5" t="str">
        <f>IF(Sheet2!M62="","",IF(Sheet2!M62=0,"N/A",TEXT(Sheet2!M62,"#,##0.00")))</f>
        <v/>
      </c>
      <c r="D62" s="5" t="str">
        <f>IF(Sheet2!L62="","",TEXT(Sheet2!L62,"#,##0.00"))</f>
        <v/>
      </c>
    </row>
    <row r="63" spans="1:4" x14ac:dyDescent="0.75">
      <c r="A63" t="str">
        <f>IF(Sheet2!K63="","",Sheet2!K63&amp;" [SN:"&amp;Sheet2!P63&amp;"]")</f>
        <v/>
      </c>
      <c r="B63" t="str">
        <f>IF(Sheet2!N63="","",TEXT(Sheet2!N63,"#,##0.00")&amp;" "&amp;IF(Sheet2!O63="Monthly", "Month",IF(Sheet2!O63="Cycles","Flight Cycle",IF(Sheet2!O63="Hours","Flight Hour",Sheet2!O63))))</f>
        <v/>
      </c>
      <c r="C63" s="5" t="str">
        <f>IF(Sheet2!M63="","",IF(Sheet2!M63=0,"N/A",TEXT(Sheet2!M63,"#,##0.00")))</f>
        <v/>
      </c>
      <c r="D63" s="5" t="str">
        <f>IF(Sheet2!L63="","",TEXT(Sheet2!L63,"#,##0.00"))</f>
        <v/>
      </c>
    </row>
    <row r="64" spans="1:4" x14ac:dyDescent="0.75">
      <c r="A64" t="str">
        <f>IF(Sheet2!K64="","",Sheet2!K64&amp;" [SN:"&amp;Sheet2!P64&amp;"]")</f>
        <v/>
      </c>
      <c r="B64" t="str">
        <f>IF(Sheet2!N64="","",TEXT(Sheet2!N64,"#,##0.00")&amp;" "&amp;IF(Sheet2!O64="Monthly", "Month",IF(Sheet2!O64="Cycles","Flight Cycle",IF(Sheet2!O64="Hours","Flight Hour",Sheet2!O64))))</f>
        <v/>
      </c>
      <c r="C64" s="5" t="str">
        <f>IF(Sheet2!M64="","",IF(Sheet2!M64=0,"N/A",TEXT(Sheet2!M64,"#,##0.00")))</f>
        <v/>
      </c>
      <c r="D64" s="5" t="str">
        <f>IF(Sheet2!L64="","",TEXT(Sheet2!L64,"#,##0.00"))</f>
        <v/>
      </c>
    </row>
    <row r="65" spans="1:4" x14ac:dyDescent="0.75">
      <c r="A65" t="str">
        <f>IF(Sheet2!K65="","",Sheet2!K65&amp;" [SN:"&amp;Sheet2!P65&amp;"]")</f>
        <v/>
      </c>
      <c r="B65" t="str">
        <f>IF(Sheet2!N65="","",TEXT(Sheet2!N65,"#,##0.00")&amp;" "&amp;IF(Sheet2!O65="Monthly", "Month",IF(Sheet2!O65="Cycles","Flight Cycle",IF(Sheet2!O65="Hours","Flight Hour",Sheet2!O65))))</f>
        <v/>
      </c>
      <c r="C65" s="5" t="str">
        <f>IF(Sheet2!M65="","",IF(Sheet2!M65=0,"N/A",TEXT(Sheet2!M65,"#,##0.00")))</f>
        <v/>
      </c>
      <c r="D65" s="5" t="str">
        <f>IF(Sheet2!L65="","",TEXT(Sheet2!L65,"#,##0.00"))</f>
        <v/>
      </c>
    </row>
    <row r="66" spans="1:4" x14ac:dyDescent="0.75">
      <c r="A66" t="str">
        <f>IF(Sheet2!K66="","",Sheet2!K66&amp;" [SN:"&amp;Sheet2!P66&amp;"]")</f>
        <v/>
      </c>
      <c r="B66" t="str">
        <f>IF(Sheet2!N66="","",TEXT(Sheet2!N66,"#,##0.00")&amp;" "&amp;IF(Sheet2!O66="Monthly", "Month",IF(Sheet2!O66="Cycles","Flight Cycle",IF(Sheet2!O66="Hours","Flight Hour",Sheet2!O66))))</f>
        <v/>
      </c>
      <c r="C66" s="5" t="str">
        <f>IF(Sheet2!M66="","",IF(Sheet2!M66=0,"N/A",TEXT(Sheet2!M66,"#,##0.00")))</f>
        <v/>
      </c>
      <c r="D66" s="5" t="str">
        <f>IF(Sheet2!L66="","",TEXT(Sheet2!L66,"#,##0.00"))</f>
        <v/>
      </c>
    </row>
    <row r="67" spans="1:4" x14ac:dyDescent="0.75">
      <c r="A67" t="str">
        <f>IF(Sheet2!K67="","",Sheet2!K67&amp;" [SN:"&amp;Sheet2!P67&amp;"]")</f>
        <v/>
      </c>
      <c r="B67" t="str">
        <f>IF(Sheet2!N67="","",TEXT(Sheet2!N67,"#,##0.00")&amp;" "&amp;IF(Sheet2!O67="Monthly", "Month",IF(Sheet2!O67="Cycles","Flight Cycle",IF(Sheet2!O67="Hours","Flight Hour",Sheet2!O67))))</f>
        <v/>
      </c>
      <c r="C67" s="5" t="str">
        <f>IF(Sheet2!M67="","",IF(Sheet2!M67=0,"N/A",TEXT(Sheet2!M67,"#,##0.00")))</f>
        <v/>
      </c>
      <c r="D67" s="5" t="str">
        <f>IF(Sheet2!L67="","",TEXT(Sheet2!L67,"#,##0.00"))</f>
        <v/>
      </c>
    </row>
    <row r="68" spans="1:4" x14ac:dyDescent="0.75">
      <c r="A68" t="str">
        <f>IF(Sheet2!K68="","",Sheet2!K68&amp;" [SN:"&amp;Sheet2!P68&amp;"]")</f>
        <v/>
      </c>
      <c r="B68" t="str">
        <f>IF(Sheet2!N68="","",TEXT(Sheet2!N68,"#,##0.00")&amp;" "&amp;IF(Sheet2!O68="Monthly", "Month",IF(Sheet2!O68="Cycles","Flight Cycle",IF(Sheet2!O68="Hours","Flight Hour",Sheet2!O68))))</f>
        <v/>
      </c>
      <c r="C68" s="5" t="str">
        <f>IF(Sheet2!M68="","",IF(Sheet2!M68=0,"N/A",TEXT(Sheet2!M68,"#,##0.00")))</f>
        <v/>
      </c>
      <c r="D68" s="5" t="str">
        <f>IF(Sheet2!L68="","",TEXT(Sheet2!L68,"#,##0.00"))</f>
        <v/>
      </c>
    </row>
    <row r="69" spans="1:4" x14ac:dyDescent="0.75">
      <c r="A69" t="str">
        <f>IF(Sheet2!K69="","",Sheet2!K69&amp;" [SN:"&amp;Sheet2!P69&amp;"]")</f>
        <v/>
      </c>
      <c r="B69" t="str">
        <f>IF(Sheet2!N69="","",TEXT(Sheet2!N69,"#,##0.00")&amp;" "&amp;IF(Sheet2!O69="Monthly", "Month",IF(Sheet2!O69="Cycles","Flight Cycle",IF(Sheet2!O69="Hours","Flight Hour",Sheet2!O69))))</f>
        <v/>
      </c>
      <c r="C69" s="5" t="str">
        <f>IF(Sheet2!M69="","",IF(Sheet2!M69=0,"N/A",TEXT(Sheet2!M69,"#,##0.00")))</f>
        <v/>
      </c>
      <c r="D69" s="5" t="str">
        <f>IF(Sheet2!L69="","",TEXT(Sheet2!L69,"#,##0.00"))</f>
        <v/>
      </c>
    </row>
    <row r="70" spans="1:4" x14ac:dyDescent="0.75">
      <c r="A70" t="str">
        <f>IF(Sheet2!K70="","",Sheet2!K70&amp;" [SN:"&amp;Sheet2!P70&amp;"]")</f>
        <v/>
      </c>
      <c r="B70" t="str">
        <f>IF(Sheet2!N70="","",TEXT(Sheet2!N70,"#,##0.00")&amp;" "&amp;IF(Sheet2!O70="Monthly", "Month",IF(Sheet2!O70="Cycles","Flight Cycle",IF(Sheet2!O70="Hours","Flight Hour",Sheet2!O70))))</f>
        <v/>
      </c>
      <c r="C70" s="5" t="str">
        <f>IF(Sheet2!M70="","",IF(Sheet2!M70=0,"N/A",TEXT(Sheet2!M70,"#,##0.00")))</f>
        <v/>
      </c>
      <c r="D70" s="5" t="str">
        <f>IF(Sheet2!L70="","",TEXT(Sheet2!L70,"#,##0.00"))</f>
        <v/>
      </c>
    </row>
    <row r="71" spans="1:4" x14ac:dyDescent="0.75">
      <c r="A71" t="str">
        <f>IF(Sheet2!K71="","",Sheet2!K71&amp;" [SN:"&amp;Sheet2!P71&amp;"]")</f>
        <v/>
      </c>
      <c r="B71" t="str">
        <f>IF(Sheet2!N71="","",TEXT(Sheet2!N71,"#,##0.00")&amp;" "&amp;IF(Sheet2!O71="Monthly", "Month",IF(Sheet2!O71="Cycles","Flight Cycle",IF(Sheet2!O71="Hours","Flight Hour",Sheet2!O71))))</f>
        <v/>
      </c>
      <c r="C71" s="5" t="str">
        <f>IF(Sheet2!M71="","",IF(Sheet2!M71=0,"N/A",TEXT(Sheet2!M71,"#,##0.00")))</f>
        <v/>
      </c>
      <c r="D71" s="5" t="str">
        <f>IF(Sheet2!L71="","",TEXT(Sheet2!L71,"#,##0.00"))</f>
        <v/>
      </c>
    </row>
    <row r="72" spans="1:4" x14ac:dyDescent="0.75">
      <c r="A72" t="str">
        <f>IF(Sheet2!K72="","",Sheet2!K72&amp;" [SN:"&amp;Sheet2!P72&amp;"]")</f>
        <v/>
      </c>
      <c r="B72" t="str">
        <f>IF(Sheet2!N72="","",TEXT(Sheet2!N72,"#,##0.00")&amp;" "&amp;IF(Sheet2!O72="Monthly", "Month",IF(Sheet2!O72="Cycles","Flight Cycle",IF(Sheet2!O72="Hours","Flight Hour",Sheet2!O72))))</f>
        <v/>
      </c>
      <c r="C72" s="5" t="str">
        <f>IF(Sheet2!M72="","",IF(Sheet2!M72=0,"N/A",TEXT(Sheet2!M72,"#,##0.00")))</f>
        <v/>
      </c>
      <c r="D72" s="5" t="str">
        <f>IF(Sheet2!L72="","",TEXT(Sheet2!L72,"#,##0.00"))</f>
        <v/>
      </c>
    </row>
    <row r="73" spans="1:4" x14ac:dyDescent="0.75">
      <c r="A73" t="str">
        <f>IF(Sheet2!K73="","",Sheet2!K73&amp;" [SN:"&amp;Sheet2!P73&amp;"]")</f>
        <v/>
      </c>
      <c r="B73" t="str">
        <f>IF(Sheet2!N73="","",TEXT(Sheet2!N73,"#,##0.00")&amp;" "&amp;IF(Sheet2!O73="Monthly", "Month",IF(Sheet2!O73="Cycles","Flight Cycle",IF(Sheet2!O73="Hours","Flight Hour",Sheet2!O73))))</f>
        <v/>
      </c>
      <c r="C73" s="5" t="str">
        <f>IF(Sheet2!M73="","",IF(Sheet2!M73=0,"N/A",TEXT(Sheet2!M73,"#,##0.00")))</f>
        <v/>
      </c>
      <c r="D73" s="5" t="str">
        <f>IF(Sheet2!L73="","",TEXT(Sheet2!L73,"#,##0.00"))</f>
        <v/>
      </c>
    </row>
    <row r="74" spans="1:4" x14ac:dyDescent="0.75">
      <c r="A74" t="str">
        <f>IF(Sheet2!K74="","",Sheet2!K74&amp;" [SN:"&amp;Sheet2!P74&amp;"]")</f>
        <v/>
      </c>
      <c r="B74" t="str">
        <f>IF(Sheet2!N74="","",TEXT(Sheet2!N74,"#,##0.00")&amp;" "&amp;IF(Sheet2!O74="Monthly", "Month",IF(Sheet2!O74="Cycles","Flight Cycle",IF(Sheet2!O74="Hours","Flight Hour",Sheet2!O74))))</f>
        <v/>
      </c>
      <c r="C74" s="5" t="str">
        <f>IF(Sheet2!M74="","",IF(Sheet2!M74=0,"N/A",TEXT(Sheet2!M74,"#,##0.00")))</f>
        <v/>
      </c>
      <c r="D74" s="5" t="str">
        <f>IF(Sheet2!L74="","",TEXT(Sheet2!L74,"#,##0.00"))</f>
        <v/>
      </c>
    </row>
    <row r="75" spans="1:4" x14ac:dyDescent="0.75">
      <c r="A75" t="str">
        <f>IF(Sheet2!K75="","",Sheet2!K75&amp;" [SN:"&amp;Sheet2!P75&amp;"]")</f>
        <v/>
      </c>
      <c r="B75" t="str">
        <f>IF(Sheet2!N75="","",TEXT(Sheet2!N75,"#,##0.00")&amp;" "&amp;IF(Sheet2!O75="Monthly", "Month",IF(Sheet2!O75="Cycles","Flight Cycle",IF(Sheet2!O75="Hours","Flight Hour",Sheet2!O75))))</f>
        <v/>
      </c>
      <c r="C75" s="5" t="str">
        <f>IF(Sheet2!M75="","",IF(Sheet2!M75=0,"N/A",TEXT(Sheet2!M75,"#,##0.00")))</f>
        <v/>
      </c>
      <c r="D75" s="5" t="str">
        <f>IF(Sheet2!L75="","",TEXT(Sheet2!L75,"#,##0.00"))</f>
        <v/>
      </c>
    </row>
    <row r="76" spans="1:4" x14ac:dyDescent="0.75">
      <c r="A76" t="str">
        <f>IF(Sheet2!K76="","",Sheet2!K76&amp;" [SN:"&amp;Sheet2!P76&amp;"]")</f>
        <v/>
      </c>
      <c r="B76" t="str">
        <f>IF(Sheet2!N76="","",TEXT(Sheet2!N76,"#,##0.00")&amp;" "&amp;IF(Sheet2!O76="Monthly", "Month",IF(Sheet2!O76="Cycles","Flight Cycle",IF(Sheet2!O76="Hours","Flight Hour",Sheet2!O76))))</f>
        <v/>
      </c>
      <c r="C76" s="5" t="str">
        <f>IF(Sheet2!M76="","",IF(Sheet2!M76=0,"N/A",TEXT(Sheet2!M76,"#,##0.00")))</f>
        <v/>
      </c>
      <c r="D76" s="5" t="str">
        <f>IF(Sheet2!L76="","",TEXT(Sheet2!L76,"#,##0.00"))</f>
        <v/>
      </c>
    </row>
    <row r="77" spans="1:4" x14ac:dyDescent="0.75">
      <c r="A77" t="str">
        <f>IF(Sheet2!K77="","",Sheet2!K77&amp;" [SN:"&amp;Sheet2!P77&amp;"]")</f>
        <v/>
      </c>
      <c r="B77" t="str">
        <f>IF(Sheet2!N77="","",TEXT(Sheet2!N77,"#,##0.00")&amp;" "&amp;IF(Sheet2!O77="Monthly", "Month",IF(Sheet2!O77="Cycles","Flight Cycle",IF(Sheet2!O77="Hours","Flight Hour",Sheet2!O77))))</f>
        <v/>
      </c>
      <c r="C77" s="5" t="str">
        <f>IF(Sheet2!M77="","",IF(Sheet2!M77=0,"N/A",TEXT(Sheet2!M77,"#,##0.00")))</f>
        <v/>
      </c>
      <c r="D77" s="5" t="str">
        <f>IF(Sheet2!L77="","",TEXT(Sheet2!L77,"#,##0.00"))</f>
        <v/>
      </c>
    </row>
    <row r="78" spans="1:4" x14ac:dyDescent="0.75">
      <c r="A78" t="str">
        <f>IF(Sheet2!K78="","",Sheet2!K78&amp;" [SN:"&amp;Sheet2!P78&amp;"]")</f>
        <v/>
      </c>
      <c r="B78" t="str">
        <f>IF(Sheet2!N78="","",TEXT(Sheet2!N78,"#,##0.00")&amp;" "&amp;IF(Sheet2!O78="Monthly", "Month",IF(Sheet2!O78="Cycles","Flight Cycle",IF(Sheet2!O78="Hours","Flight Hour",Sheet2!O78))))</f>
        <v/>
      </c>
      <c r="C78" s="5" t="str">
        <f>IF(Sheet2!M78="","",IF(Sheet2!M78=0,"N/A",TEXT(Sheet2!M78,"#,##0.00")))</f>
        <v/>
      </c>
      <c r="D78" s="5" t="str">
        <f>IF(Sheet2!L78="","",TEXT(Sheet2!L78,"#,##0.00"))</f>
        <v/>
      </c>
    </row>
    <row r="79" spans="1:4" x14ac:dyDescent="0.75">
      <c r="A79" t="str">
        <f>IF(Sheet2!K79="","",Sheet2!K79&amp;" [SN:"&amp;Sheet2!P79&amp;"]")</f>
        <v/>
      </c>
      <c r="B79" t="str">
        <f>IF(Sheet2!N79="","",TEXT(Sheet2!N79,"#,##0.00")&amp;" "&amp;IF(Sheet2!O79="Monthly", "Month",IF(Sheet2!O79="Cycles","Flight Cycle",IF(Sheet2!O79="Hours","Flight Hour",Sheet2!O79))))</f>
        <v/>
      </c>
      <c r="C79" s="5" t="str">
        <f>IF(Sheet2!M79="","",IF(Sheet2!M79=0,"N/A",TEXT(Sheet2!M79,"#,##0.00")))</f>
        <v/>
      </c>
      <c r="D79" s="5" t="str">
        <f>IF(Sheet2!L79="","",TEXT(Sheet2!L79,"#,##0.00"))</f>
        <v/>
      </c>
    </row>
    <row r="80" spans="1:4" x14ac:dyDescent="0.75">
      <c r="A80" t="str">
        <f>IF(Sheet2!K80="","",Sheet2!K80&amp;" [SN:"&amp;Sheet2!P80&amp;"]")</f>
        <v/>
      </c>
      <c r="B80" t="str">
        <f>IF(Sheet2!N80="","",TEXT(Sheet2!N80,"#,##0.00")&amp;" "&amp;IF(Sheet2!O80="Monthly", "Month",IF(Sheet2!O80="Cycles","Flight Cycle",IF(Sheet2!O80="Hours","Flight Hour",Sheet2!O80))))</f>
        <v/>
      </c>
      <c r="C80" s="5" t="str">
        <f>IF(Sheet2!M80="","",IF(Sheet2!M80=0,"N/A",TEXT(Sheet2!M80,"#,##0.00")))</f>
        <v/>
      </c>
      <c r="D80" s="5" t="str">
        <f>IF(Sheet2!L80="","",TEXT(Sheet2!L80,"#,##0.00"))</f>
        <v/>
      </c>
    </row>
    <row r="81" spans="1:4" x14ac:dyDescent="0.75">
      <c r="A81" t="str">
        <f>IF(Sheet2!K81="","",Sheet2!K81&amp;" [SN:"&amp;Sheet2!P81&amp;"]")</f>
        <v/>
      </c>
      <c r="B81" t="str">
        <f>IF(Sheet2!N81="","",TEXT(Sheet2!N81,"#,##0.00")&amp;" "&amp;IF(Sheet2!O81="Monthly", "Month",IF(Sheet2!O81="Cycles","Flight Cycle",IF(Sheet2!O81="Hours","Flight Hour",Sheet2!O81))))</f>
        <v/>
      </c>
      <c r="C81" s="5" t="str">
        <f>IF(Sheet2!M81="","",IF(Sheet2!M81=0,"N/A",TEXT(Sheet2!M81,"#,##0.00")))</f>
        <v/>
      </c>
      <c r="D81" s="5" t="str">
        <f>IF(Sheet2!L81="","",TEXT(Sheet2!L81,"#,##0.00"))</f>
        <v/>
      </c>
    </row>
    <row r="82" spans="1:4" x14ac:dyDescent="0.75">
      <c r="A82" t="str">
        <f>IF(Sheet2!K82="","",Sheet2!K82&amp;" [SN:"&amp;Sheet2!P82&amp;"]")</f>
        <v/>
      </c>
      <c r="B82" t="str">
        <f>IF(Sheet2!N82="","",TEXT(Sheet2!N82,"#,##0.00")&amp;" "&amp;IF(Sheet2!O82="Monthly", "Month",IF(Sheet2!O82="Cycles","Flight Cycle",IF(Sheet2!O82="Hours","Flight Hour",Sheet2!O82))))</f>
        <v/>
      </c>
      <c r="C82" s="5" t="str">
        <f>IF(Sheet2!M82="","",IF(Sheet2!M82=0,"N/A",TEXT(Sheet2!M82,"#,##0.00")))</f>
        <v/>
      </c>
      <c r="D82" s="5" t="str">
        <f>IF(Sheet2!L82="","",TEXT(Sheet2!L82,"#,##0.00"))</f>
        <v/>
      </c>
    </row>
    <row r="83" spans="1:4" x14ac:dyDescent="0.75">
      <c r="A83" t="str">
        <f>IF(Sheet2!K83="","",Sheet2!K83&amp;" [SN:"&amp;Sheet2!P83&amp;"]")</f>
        <v/>
      </c>
      <c r="B83" t="str">
        <f>IF(Sheet2!N83="","",TEXT(Sheet2!N83,"#,##0.00")&amp;" "&amp;IF(Sheet2!O83="Monthly", "Month",IF(Sheet2!O83="Cycles","Flight Cycle",IF(Sheet2!O83="Hours","Flight Hour",Sheet2!O83))))</f>
        <v/>
      </c>
      <c r="C83" s="5" t="str">
        <f>IF(Sheet2!M83="","",IF(Sheet2!M83=0,"N/A",TEXT(Sheet2!M83,"#,##0.00")))</f>
        <v/>
      </c>
      <c r="D83" s="5" t="str">
        <f>IF(Sheet2!L83="","",TEXT(Sheet2!L83,"#,##0.00"))</f>
        <v/>
      </c>
    </row>
    <row r="84" spans="1:4" x14ac:dyDescent="0.75">
      <c r="A84" t="str">
        <f>IF(Sheet2!K84="","",Sheet2!K84&amp;" [SN:"&amp;Sheet2!P84&amp;"]")</f>
        <v/>
      </c>
      <c r="B84" t="str">
        <f>IF(Sheet2!N84="","",TEXT(Sheet2!N84,"#,##0.00")&amp;" "&amp;IF(Sheet2!O84="Monthly", "Month",IF(Sheet2!O84="Cycles","Flight Cycle",IF(Sheet2!O84="Hours","Flight Hour",Sheet2!O84))))</f>
        <v/>
      </c>
      <c r="C84" s="5" t="str">
        <f>IF(Sheet2!M84="","",IF(Sheet2!M84=0,"N/A",TEXT(Sheet2!M84,"#,##0.00")))</f>
        <v/>
      </c>
      <c r="D84" s="5" t="str">
        <f>IF(Sheet2!L84="","",TEXT(Sheet2!L84,"#,##0.00"))</f>
        <v/>
      </c>
    </row>
    <row r="85" spans="1:4" x14ac:dyDescent="0.75">
      <c r="A85" t="str">
        <f>IF(Sheet2!K85="","",Sheet2!K85&amp;" [SN:"&amp;Sheet2!P85&amp;"]")</f>
        <v/>
      </c>
      <c r="B85" t="str">
        <f>IF(Sheet2!N85="","",TEXT(Sheet2!N85,"#,##0.00")&amp;" "&amp;IF(Sheet2!O85="Monthly", "Month",IF(Sheet2!O85="Cycles","Flight Cycle",IF(Sheet2!O85="Hours","Flight Hour",Sheet2!O85))))</f>
        <v/>
      </c>
      <c r="C85" s="5" t="str">
        <f>IF(Sheet2!M85="","",IF(Sheet2!M85=0,"N/A",TEXT(Sheet2!M85,"#,##0.00")))</f>
        <v/>
      </c>
      <c r="D85" s="5" t="str">
        <f>IF(Sheet2!L85="","",TEXT(Sheet2!L85,"#,##0.00"))</f>
        <v/>
      </c>
    </row>
    <row r="86" spans="1:4" x14ac:dyDescent="0.75">
      <c r="A86" t="str">
        <f>IF(Sheet2!K86="","",Sheet2!K86&amp;" [SN:"&amp;Sheet2!P86&amp;"]")</f>
        <v/>
      </c>
      <c r="B86" t="str">
        <f>IF(Sheet2!N86="","",TEXT(Sheet2!N86,"#,##0.00")&amp;" "&amp;IF(Sheet2!O86="Monthly", "Month",IF(Sheet2!O86="Cycles","Flight Cycle",IF(Sheet2!O86="Hours","Flight Hour",Sheet2!O86))))</f>
        <v/>
      </c>
      <c r="C86" s="5" t="str">
        <f>IF(Sheet2!M86="","",IF(Sheet2!M86=0,"N/A",TEXT(Sheet2!M86,"#,##0.00")))</f>
        <v/>
      </c>
      <c r="D86" s="5" t="str">
        <f>IF(Sheet2!L86="","",TEXT(Sheet2!L86,"#,##0.00"))</f>
        <v/>
      </c>
    </row>
    <row r="87" spans="1:4" x14ac:dyDescent="0.75">
      <c r="A87" t="str">
        <f>IF(Sheet2!K87="","",Sheet2!K87&amp;" [SN:"&amp;Sheet2!P87&amp;"]")</f>
        <v/>
      </c>
      <c r="B87" t="str">
        <f>IF(Sheet2!N87="","",TEXT(Sheet2!N87,"#,##0.00")&amp;" "&amp;IF(Sheet2!O87="Monthly", "Month",IF(Sheet2!O87="Cycles","Flight Cycle",IF(Sheet2!O87="Hours","Flight Hour",Sheet2!O87))))</f>
        <v/>
      </c>
      <c r="C87" s="5" t="str">
        <f>IF(Sheet2!M87="","",IF(Sheet2!M87=0,"N/A",TEXT(Sheet2!M87,"#,##0.00")))</f>
        <v/>
      </c>
      <c r="D87" s="5" t="str">
        <f>IF(Sheet2!L87="","",TEXT(Sheet2!L87,"#,##0.00"))</f>
        <v/>
      </c>
    </row>
    <row r="88" spans="1:4" x14ac:dyDescent="0.75">
      <c r="A88" t="str">
        <f>IF(Sheet2!K88="","",Sheet2!K88&amp;" [SN:"&amp;Sheet2!P88&amp;"]")</f>
        <v/>
      </c>
      <c r="B88" t="str">
        <f>IF(Sheet2!N88="","",TEXT(Sheet2!N88,"#,##0.00")&amp;" "&amp;IF(Sheet2!O88="Monthly", "Month",IF(Sheet2!O88="Cycles","Flight Cycle",IF(Sheet2!O88="Hours","Flight Hour",Sheet2!O88))))</f>
        <v/>
      </c>
      <c r="C88" s="5" t="str">
        <f>IF(Sheet2!M88="","",IF(Sheet2!M88=0,"N/A",TEXT(Sheet2!M88,"#,##0.00")))</f>
        <v/>
      </c>
      <c r="D88" s="5" t="str">
        <f>IF(Sheet2!L88="","",TEXT(Sheet2!L88,"#,##0.00"))</f>
        <v/>
      </c>
    </row>
    <row r="89" spans="1:4" x14ac:dyDescent="0.75">
      <c r="A89" t="str">
        <f>IF(Sheet2!K89="","",Sheet2!K89&amp;" [SN:"&amp;Sheet2!P89&amp;"]")</f>
        <v/>
      </c>
      <c r="B89" t="str">
        <f>IF(Sheet2!N89="","",TEXT(Sheet2!N89,"#,##0.00")&amp;" "&amp;IF(Sheet2!O89="Monthly", "Month",IF(Sheet2!O89="Cycles","Flight Cycle",IF(Sheet2!O89="Hours","Flight Hour",Sheet2!O89))))</f>
        <v/>
      </c>
      <c r="C89" s="5" t="str">
        <f>IF(Sheet2!M89="","",IF(Sheet2!M89=0,"N/A",TEXT(Sheet2!M89,"#,##0.00")))</f>
        <v/>
      </c>
      <c r="D89" s="5" t="str">
        <f>IF(Sheet2!L89="","",TEXT(Sheet2!L89,"#,##0.00"))</f>
        <v/>
      </c>
    </row>
    <row r="90" spans="1:4" x14ac:dyDescent="0.75">
      <c r="A90" t="str">
        <f>IF(Sheet2!K90="","",Sheet2!K90&amp;" [SN:"&amp;Sheet2!P90&amp;"]")</f>
        <v/>
      </c>
      <c r="B90" t="str">
        <f>IF(Sheet2!N90="","",TEXT(Sheet2!N90,"#,##0.00")&amp;" "&amp;IF(Sheet2!O90="Monthly", "Month",IF(Sheet2!O90="Cycles","Flight Cycle",IF(Sheet2!O90="Hours","Flight Hour",Sheet2!O90))))</f>
        <v/>
      </c>
      <c r="C90" s="5" t="str">
        <f>IF(Sheet2!M90="","",IF(Sheet2!M90=0,"N/A",TEXT(Sheet2!M90,"#,##0.00")))</f>
        <v/>
      </c>
      <c r="D90" s="5" t="str">
        <f>IF(Sheet2!L90="","",TEXT(Sheet2!L90,"#,##0.00"))</f>
        <v/>
      </c>
    </row>
    <row r="91" spans="1:4" x14ac:dyDescent="0.75">
      <c r="A91" t="str">
        <f>IF(Sheet2!K91="","",Sheet2!K91&amp;" [SN:"&amp;Sheet2!P91&amp;"]")</f>
        <v/>
      </c>
      <c r="B91" t="str">
        <f>IF(Sheet2!N91="","",TEXT(Sheet2!N91,"#,##0.00")&amp;" "&amp;IF(Sheet2!O91="Monthly", "Month",IF(Sheet2!O91="Cycles","Flight Cycle",IF(Sheet2!O91="Hours","Flight Hour",Sheet2!O91))))</f>
        <v/>
      </c>
      <c r="C91" s="5" t="str">
        <f>IF(Sheet2!M91="","",IF(Sheet2!M91=0,"N/A",TEXT(Sheet2!M91,"#,##0.00")))</f>
        <v/>
      </c>
      <c r="D91" s="5" t="str">
        <f>IF(Sheet2!L91="","",TEXT(Sheet2!L91,"#,##0.00"))</f>
        <v/>
      </c>
    </row>
    <row r="92" spans="1:4" x14ac:dyDescent="0.75">
      <c r="A92" t="str">
        <f>IF(Sheet2!K92="","",Sheet2!K92&amp;" [SN:"&amp;Sheet2!P92&amp;"]")</f>
        <v/>
      </c>
      <c r="B92" t="str">
        <f>IF(Sheet2!N92="","",TEXT(Sheet2!N92,"#,##0.00")&amp;" "&amp;IF(Sheet2!O92="Monthly", "Month",IF(Sheet2!O92="Cycles","Flight Cycle",IF(Sheet2!O92="Hours","Flight Hour",Sheet2!O92))))</f>
        <v/>
      </c>
      <c r="C92" s="5" t="str">
        <f>IF(Sheet2!M92="","",IF(Sheet2!M92=0,"N/A",TEXT(Sheet2!M92,"#,##0.00")))</f>
        <v/>
      </c>
      <c r="D92" s="5" t="str">
        <f>IF(Sheet2!L92="","",TEXT(Sheet2!L92,"#,##0.00"))</f>
        <v/>
      </c>
    </row>
    <row r="93" spans="1:4" x14ac:dyDescent="0.75">
      <c r="A93" t="str">
        <f>IF(Sheet2!K93="","",Sheet2!K93&amp;" [SN:"&amp;Sheet2!P93&amp;"]")</f>
        <v/>
      </c>
      <c r="B93" t="str">
        <f>IF(Sheet2!N93="","",TEXT(Sheet2!N93,"#,##0.00")&amp;" "&amp;IF(Sheet2!O93="Monthly", "Month",IF(Sheet2!O93="Cycles","Flight Cycle",IF(Sheet2!O93="Hours","Flight Hour",Sheet2!O93))))</f>
        <v/>
      </c>
      <c r="C93" s="5" t="str">
        <f>IF(Sheet2!M93="","",IF(Sheet2!M93=0,"N/A",TEXT(Sheet2!M93,"#,##0.00")))</f>
        <v/>
      </c>
      <c r="D93" s="5" t="str">
        <f>IF(Sheet2!L93="","",TEXT(Sheet2!L93,"#,##0.00"))</f>
        <v/>
      </c>
    </row>
    <row r="94" spans="1:4" x14ac:dyDescent="0.75">
      <c r="A94" t="str">
        <f>IF(Sheet2!K94="","",Sheet2!K94&amp;" [SN:"&amp;Sheet2!P94&amp;"]")</f>
        <v/>
      </c>
      <c r="B94" t="str">
        <f>IF(Sheet2!N94="","",TEXT(Sheet2!N94,"#,##0.00")&amp;" "&amp;IF(Sheet2!O94="Monthly", "Month",IF(Sheet2!O94="Cycles","Flight Cycle",IF(Sheet2!O94="Hours","Flight Hour",Sheet2!O94))))</f>
        <v/>
      </c>
      <c r="C94" s="5" t="str">
        <f>IF(Sheet2!M94="","",IF(Sheet2!M94=0,"N/A",TEXT(Sheet2!M94,"#,##0.00")))</f>
        <v/>
      </c>
      <c r="D94" s="5" t="str">
        <f>IF(Sheet2!L94="","",TEXT(Sheet2!L94,"#,##0.00"))</f>
        <v/>
      </c>
    </row>
    <row r="95" spans="1:4" x14ac:dyDescent="0.75">
      <c r="A95" t="str">
        <f>IF(Sheet2!K95="","",Sheet2!K95&amp;" [SN:"&amp;Sheet2!P95&amp;"]")</f>
        <v/>
      </c>
      <c r="B95" t="str">
        <f>IF(Sheet2!N95="","",TEXT(Sheet2!N95,"#,##0.00")&amp;" "&amp;IF(Sheet2!O95="Monthly", "Month",IF(Sheet2!O95="Cycles","Flight Cycle",IF(Sheet2!O95="Hours","Flight Hour",Sheet2!O95))))</f>
        <v/>
      </c>
      <c r="C95" s="5" t="str">
        <f>IF(Sheet2!M95="","",IF(Sheet2!M95=0,"N/A",TEXT(Sheet2!M95,"#,##0.00")))</f>
        <v/>
      </c>
      <c r="D95" s="5" t="str">
        <f>IF(Sheet2!L95="","",TEXT(Sheet2!L95,"#,##0.00"))</f>
        <v/>
      </c>
    </row>
    <row r="96" spans="1:4" x14ac:dyDescent="0.75">
      <c r="A96" t="str">
        <f>IF(Sheet2!K96="","",Sheet2!K96&amp;" [SN:"&amp;Sheet2!P96&amp;"]")</f>
        <v/>
      </c>
      <c r="B96" t="str">
        <f>IF(Sheet2!N96="","",TEXT(Sheet2!N96,"#,##0.00")&amp;" "&amp;IF(Sheet2!O96="Monthly", "Month",IF(Sheet2!O96="Cycles","Flight Cycle",IF(Sheet2!O96="Hours","Flight Hour",Sheet2!O96))))</f>
        <v/>
      </c>
      <c r="C96" s="5" t="str">
        <f>IF(Sheet2!M96="","",IF(Sheet2!M96=0,"N/A",TEXT(Sheet2!M96,"#,##0.00")))</f>
        <v/>
      </c>
      <c r="D96" s="5" t="str">
        <f>IF(Sheet2!L96="","",TEXT(Sheet2!L96,"#,##0.00"))</f>
        <v/>
      </c>
    </row>
    <row r="97" spans="1:4" x14ac:dyDescent="0.75">
      <c r="A97" t="str">
        <f>IF(Sheet2!K97="","",Sheet2!K97&amp;" [SN:"&amp;Sheet2!P97&amp;"]")</f>
        <v/>
      </c>
      <c r="B97" t="str">
        <f>IF(Sheet2!N97="","",TEXT(Sheet2!N97,"#,##0.00")&amp;" "&amp;IF(Sheet2!O97="Monthly", "Month",IF(Sheet2!O97="Cycles","Flight Cycle",IF(Sheet2!O97="Hours","Flight Hour",Sheet2!O97))))</f>
        <v/>
      </c>
      <c r="C97" s="5" t="str">
        <f>IF(Sheet2!M97="","",IF(Sheet2!M97=0,"N/A",TEXT(Sheet2!M97,"#,##0.00")))</f>
        <v/>
      </c>
      <c r="D97" s="5" t="str">
        <f>IF(Sheet2!L97="","",TEXT(Sheet2!L97,"#,##0.00"))</f>
        <v/>
      </c>
    </row>
    <row r="98" spans="1:4" x14ac:dyDescent="0.75">
      <c r="A98" t="str">
        <f>IF(Sheet2!K98="","",Sheet2!K98&amp;" [SN:"&amp;Sheet2!P98&amp;"]")</f>
        <v/>
      </c>
      <c r="B98" t="str">
        <f>IF(Sheet2!N98="","",TEXT(Sheet2!N98,"#,##0.00")&amp;" "&amp;IF(Sheet2!O98="Monthly", "Month",IF(Sheet2!O98="Cycles","Flight Cycle",IF(Sheet2!O98="Hours","Flight Hour",Sheet2!O98))))</f>
        <v/>
      </c>
      <c r="C98" s="5" t="str">
        <f>IF(Sheet2!M98="","",IF(Sheet2!M98=0,"N/A",TEXT(Sheet2!M98,"#,##0.00")))</f>
        <v/>
      </c>
      <c r="D98" s="5" t="str">
        <f>IF(Sheet2!L98="","",TEXT(Sheet2!L98,"#,##0.00"))</f>
        <v/>
      </c>
    </row>
    <row r="99" spans="1:4" x14ac:dyDescent="0.75">
      <c r="A99" t="str">
        <f>IF(Sheet2!K99="","",Sheet2!K99&amp;" [SN:"&amp;Sheet2!P99&amp;"]")</f>
        <v/>
      </c>
      <c r="B99" t="str">
        <f>IF(Sheet2!N99="","",TEXT(Sheet2!N99,"#,##0.00")&amp;" "&amp;IF(Sheet2!O99="Monthly", "Month",IF(Sheet2!O99="Cycles","Flight Cycle",IF(Sheet2!O99="Hours","Flight Hour",Sheet2!O99))))</f>
        <v/>
      </c>
      <c r="C99" s="5" t="str">
        <f>IF(Sheet2!M99="","",IF(Sheet2!M99=0,"N/A",TEXT(Sheet2!M99,"#,##0.00")))</f>
        <v/>
      </c>
      <c r="D99" s="5" t="str">
        <f>IF(Sheet2!L99="","",TEXT(Sheet2!L99,"#,##0.00"))</f>
        <v/>
      </c>
    </row>
    <row r="100" spans="1:4" x14ac:dyDescent="0.75">
      <c r="A100" t="str">
        <f>IF(Sheet2!K100="","",Sheet2!K100&amp;" [SN:"&amp;Sheet2!P100&amp;"]")</f>
        <v/>
      </c>
      <c r="B100" t="str">
        <f>IF(Sheet2!N100="","",TEXT(Sheet2!N100,"#,##0.00")&amp;" "&amp;IF(Sheet2!O100="Monthly", "Month",IF(Sheet2!O100="Cycles","Flight Cycle",IF(Sheet2!O100="Hours","Flight Hour",Sheet2!O100))))</f>
        <v/>
      </c>
      <c r="C100" s="5" t="str">
        <f>IF(Sheet2!M100="","",IF(Sheet2!M100=0,"N/A",TEXT(Sheet2!M100,"#,##0.00")))</f>
        <v/>
      </c>
      <c r="D100" s="5" t="str">
        <f>IF(Sheet2!L100="","",TEXT(Sheet2!L100,"#,##0.00"))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SF_Data</vt:lpstr>
      <vt:lpstr>Sheet1</vt:lpstr>
      <vt:lpstr>Sheet2</vt:lpstr>
      <vt:lpstr>Final_Data</vt:lpstr>
      <vt:lpstr>Suppl_Rent_Final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Rohit Bilgi</cp:lastModifiedBy>
  <dcterms:created xsi:type="dcterms:W3CDTF">2024-12-12T10:33:52Z</dcterms:created>
  <dcterms:modified xsi:type="dcterms:W3CDTF">2025-09-23T10:43:30Z</dcterms:modified>
</cp:coreProperties>
</file>